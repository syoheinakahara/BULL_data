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426" codeName="{00000000-0000-0000-0000-000000000000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lb-test/GitHub/BULL_data/master_excel/"/>
    </mc:Choice>
  </mc:AlternateContent>
  <bookViews>
    <workbookView xWindow="860" yWindow="480" windowWidth="30880" windowHeight="10420" tabRatio="740" activeTab="5"/>
  </bookViews>
  <sheets>
    <sheet name="output" sheetId="16" r:id="rId1"/>
    <sheet name="floors" sheetId="2" r:id="rId2"/>
    <sheet name="enemy_habitats" sheetId="1" r:id="rId3"/>
    <sheet name="enemy_habitat_S" sheetId="7" r:id="rId4"/>
    <sheet name="enemy_skill_sets" sheetId="9" r:id="rId5"/>
    <sheet name="enemy_skills" sheetId="10" r:id="rId6"/>
    <sheet name="enemy_skill_triggers" sheetId="11" r:id="rId7"/>
    <sheet name="bugbonuses" sheetId="18" r:id="rId8"/>
    <sheet name="stage_hints_complete" sheetId="19" r:id="rId9"/>
    <sheet name="stage_hints_failure" sheetId="21" r:id="rId10"/>
    <sheet name="stage_bonuses" sheetId="22" r:id="rId11"/>
  </sheets>
  <externalReferences>
    <externalReference r:id="rId12"/>
    <externalReference r:id="rId13"/>
    <externalReference r:id="rId14"/>
    <externalReference r:id="rId15"/>
    <externalReference r:id="rId16"/>
    <externalReference r:id="rId17"/>
  </externalReferences>
  <definedNames>
    <definedName name="_xlnm._FilterDatabase" localSheetId="3" hidden="1">enemy_habitat_S!$B$1:$AA$2</definedName>
    <definedName name="_xlnm._FilterDatabase" localSheetId="2" hidden="1">enemy_habitats!$B$1:$AJ$2</definedName>
    <definedName name="_xlnm._FilterDatabase" localSheetId="4" hidden="1">enemy_skill_sets!$A$1:$R$1</definedName>
    <definedName name="_xlnm._FilterDatabase" localSheetId="6" hidden="1">enemy_skill_triggers!$A$1:$G$1</definedName>
    <definedName name="_xlnm._FilterDatabase" localSheetId="5" hidden="1">enemy_skills!$A$1:$AB$1</definedName>
    <definedName name="_xlnm._FilterDatabase" localSheetId="10" hidden="1">stage_bonuses!$B$1:$I$1</definedName>
    <definedName name="_xlnm._FilterDatabase" localSheetId="8" hidden="1">stage_hints_complete!$B$1:$L$1</definedName>
    <definedName name="_xlnm._FilterDatabase" localSheetId="9" hidden="1">stage_hints_failure!$B$1:$M$2</definedName>
    <definedName name="Excel_BuiltIn__FilterDatabase_6_1" localSheetId="4">[1]unit_skills!#REF!</definedName>
    <definedName name="Excel_BuiltIn__FilterDatabase_6_1" localSheetId="6">[1]unit_skills!#REF!</definedName>
  </definedNames>
  <calcPr calcId="150001" calcMode="manual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M82" i="10" l="1"/>
  <c r="T82" i="10"/>
  <c r="W82" i="10"/>
  <c r="V82" i="10"/>
  <c r="X82" i="10"/>
  <c r="U82" i="10"/>
  <c r="Y82" i="10"/>
  <c r="N82" i="10"/>
  <c r="Q82" i="10"/>
  <c r="P82" i="10"/>
  <c r="R82" i="10"/>
  <c r="O82" i="10"/>
  <c r="S82" i="10"/>
  <c r="G82" i="10"/>
  <c r="J82" i="10"/>
  <c r="I82" i="10"/>
  <c r="K82" i="10"/>
  <c r="H82" i="10"/>
  <c r="L82" i="10"/>
  <c r="M81" i="10"/>
  <c r="T81" i="10"/>
  <c r="W81" i="10"/>
  <c r="V81" i="10"/>
  <c r="X81" i="10"/>
  <c r="U81" i="10"/>
  <c r="Y81" i="10"/>
  <c r="N81" i="10"/>
  <c r="Q81" i="10"/>
  <c r="P81" i="10"/>
  <c r="R81" i="10"/>
  <c r="O81" i="10"/>
  <c r="S81" i="10"/>
  <c r="G81" i="10"/>
  <c r="J81" i="10"/>
  <c r="I81" i="10"/>
  <c r="K81" i="10"/>
  <c r="H81" i="10"/>
  <c r="L81" i="10"/>
  <c r="M80" i="10"/>
  <c r="T80" i="10"/>
  <c r="W80" i="10"/>
  <c r="V80" i="10"/>
  <c r="X80" i="10"/>
  <c r="U80" i="10"/>
  <c r="Y80" i="10"/>
  <c r="N80" i="10"/>
  <c r="Q80" i="10"/>
  <c r="P80" i="10"/>
  <c r="R80" i="10"/>
  <c r="O80" i="10"/>
  <c r="S80" i="10"/>
  <c r="G80" i="10"/>
  <c r="J80" i="10"/>
  <c r="I80" i="10"/>
  <c r="K80" i="10"/>
  <c r="H80" i="10"/>
  <c r="L80" i="10"/>
  <c r="M79" i="10"/>
  <c r="T79" i="10"/>
  <c r="W79" i="10"/>
  <c r="V79" i="10"/>
  <c r="X79" i="10"/>
  <c r="U79" i="10"/>
  <c r="Y79" i="10"/>
  <c r="N79" i="10"/>
  <c r="Q79" i="10"/>
  <c r="P79" i="10"/>
  <c r="R79" i="10"/>
  <c r="O79" i="10"/>
  <c r="S79" i="10"/>
  <c r="G79" i="10"/>
  <c r="J79" i="10"/>
  <c r="I79" i="10"/>
  <c r="K79" i="10"/>
  <c r="H79" i="10"/>
  <c r="L79" i="10"/>
  <c r="M78" i="10"/>
  <c r="T78" i="10"/>
  <c r="W78" i="10"/>
  <c r="V78" i="10"/>
  <c r="X78" i="10"/>
  <c r="U78" i="10"/>
  <c r="Y78" i="10"/>
  <c r="N78" i="10"/>
  <c r="Q78" i="10"/>
  <c r="P78" i="10"/>
  <c r="R78" i="10"/>
  <c r="O78" i="10"/>
  <c r="S78" i="10"/>
  <c r="G78" i="10"/>
  <c r="J78" i="10"/>
  <c r="I78" i="10"/>
  <c r="K78" i="10"/>
  <c r="H78" i="10"/>
  <c r="L78" i="10"/>
  <c r="J27" i="11"/>
  <c r="O107" i="9"/>
  <c r="N107" i="9"/>
  <c r="M107" i="9"/>
  <c r="L107" i="9"/>
  <c r="K107" i="9"/>
  <c r="J107" i="9"/>
  <c r="I107" i="9"/>
  <c r="H107" i="9"/>
  <c r="G107" i="9"/>
  <c r="E107" i="9"/>
  <c r="D107" i="9"/>
  <c r="A107" i="9"/>
  <c r="J26" i="11"/>
  <c r="O106" i="9"/>
  <c r="N106" i="9"/>
  <c r="M106" i="9"/>
  <c r="L106" i="9"/>
  <c r="K106" i="9"/>
  <c r="J106" i="9"/>
  <c r="I106" i="9"/>
  <c r="H106" i="9"/>
  <c r="G106" i="9"/>
  <c r="E106" i="9"/>
  <c r="D106" i="9"/>
  <c r="A106" i="9"/>
  <c r="J25" i="11"/>
  <c r="O105" i="9"/>
  <c r="N105" i="9"/>
  <c r="M105" i="9"/>
  <c r="L105" i="9"/>
  <c r="K105" i="9"/>
  <c r="J105" i="9"/>
  <c r="I105" i="9"/>
  <c r="H105" i="9"/>
  <c r="G105" i="9"/>
  <c r="E105" i="9"/>
  <c r="D105" i="9"/>
  <c r="A105" i="9"/>
  <c r="J24" i="11"/>
  <c r="O104" i="9"/>
  <c r="N104" i="9"/>
  <c r="M104" i="9"/>
  <c r="L104" i="9"/>
  <c r="K104" i="9"/>
  <c r="J104" i="9"/>
  <c r="I104" i="9"/>
  <c r="H104" i="9"/>
  <c r="G104" i="9"/>
  <c r="E104" i="9"/>
  <c r="D104" i="9"/>
  <c r="A104" i="9"/>
  <c r="J23" i="11"/>
  <c r="O103" i="9"/>
  <c r="N103" i="9"/>
  <c r="M103" i="9"/>
  <c r="L103" i="9"/>
  <c r="K103" i="9"/>
  <c r="J103" i="9"/>
  <c r="I103" i="9"/>
  <c r="H103" i="9"/>
  <c r="G103" i="9"/>
  <c r="E103" i="9"/>
  <c r="D103" i="9"/>
  <c r="A103" i="9"/>
  <c r="J22" i="11"/>
  <c r="O102" i="9"/>
  <c r="N102" i="9"/>
  <c r="M102" i="9"/>
  <c r="L102" i="9"/>
  <c r="K102" i="9"/>
  <c r="J102" i="9"/>
  <c r="I102" i="9"/>
  <c r="H102" i="9"/>
  <c r="G102" i="9"/>
  <c r="E102" i="9"/>
  <c r="D102" i="9"/>
  <c r="A102" i="9"/>
  <c r="J21" i="11"/>
  <c r="O101" i="9"/>
  <c r="N101" i="9"/>
  <c r="M101" i="9"/>
  <c r="L101" i="9"/>
  <c r="K101" i="9"/>
  <c r="J101" i="9"/>
  <c r="I101" i="9"/>
  <c r="H101" i="9"/>
  <c r="G101" i="9"/>
  <c r="E101" i="9"/>
  <c r="D101" i="9"/>
  <c r="A101" i="9"/>
  <c r="J20" i="11"/>
  <c r="O100" i="9"/>
  <c r="N100" i="9"/>
  <c r="M100" i="9"/>
  <c r="L100" i="9"/>
  <c r="K100" i="9"/>
  <c r="J100" i="9"/>
  <c r="I100" i="9"/>
  <c r="H100" i="9"/>
  <c r="G100" i="9"/>
  <c r="E100" i="9"/>
  <c r="D100" i="9"/>
  <c r="A100" i="9"/>
  <c r="J19" i="11"/>
  <c r="O99" i="9"/>
  <c r="N99" i="9"/>
  <c r="M99" i="9"/>
  <c r="L99" i="9"/>
  <c r="K99" i="9"/>
  <c r="J99" i="9"/>
  <c r="I99" i="9"/>
  <c r="H99" i="9"/>
  <c r="G99" i="9"/>
  <c r="E99" i="9"/>
  <c r="D99" i="9"/>
  <c r="A99" i="9"/>
  <c r="J18" i="11"/>
  <c r="O98" i="9"/>
  <c r="N98" i="9"/>
  <c r="M98" i="9"/>
  <c r="L98" i="9"/>
  <c r="K98" i="9"/>
  <c r="J98" i="9"/>
  <c r="I98" i="9"/>
  <c r="H98" i="9"/>
  <c r="G98" i="9"/>
  <c r="E98" i="9"/>
  <c r="D98" i="9"/>
  <c r="A98" i="9"/>
  <c r="J17" i="11"/>
  <c r="O97" i="9"/>
  <c r="N97" i="9"/>
  <c r="M97" i="9"/>
  <c r="L97" i="9"/>
  <c r="K97" i="9"/>
  <c r="J97" i="9"/>
  <c r="I97" i="9"/>
  <c r="H97" i="9"/>
  <c r="G97" i="9"/>
  <c r="E97" i="9"/>
  <c r="D97" i="9"/>
  <c r="A97" i="9"/>
  <c r="J16" i="11"/>
  <c r="O96" i="9"/>
  <c r="N96" i="9"/>
  <c r="M96" i="9"/>
  <c r="L96" i="9"/>
  <c r="K96" i="9"/>
  <c r="J96" i="9"/>
  <c r="I96" i="9"/>
  <c r="H96" i="9"/>
  <c r="G96" i="9"/>
  <c r="E96" i="9"/>
  <c r="D96" i="9"/>
  <c r="A96" i="9"/>
  <c r="J15" i="11"/>
  <c r="O95" i="9"/>
  <c r="N95" i="9"/>
  <c r="M95" i="9"/>
  <c r="L95" i="9"/>
  <c r="K95" i="9"/>
  <c r="J95" i="9"/>
  <c r="I95" i="9"/>
  <c r="H95" i="9"/>
  <c r="G95" i="9"/>
  <c r="E95" i="9"/>
  <c r="D95" i="9"/>
  <c r="A95" i="9"/>
  <c r="J14" i="11"/>
  <c r="O94" i="9"/>
  <c r="N94" i="9"/>
  <c r="M94" i="9"/>
  <c r="L94" i="9"/>
  <c r="K94" i="9"/>
  <c r="J94" i="9"/>
  <c r="I94" i="9"/>
  <c r="H94" i="9"/>
  <c r="G94" i="9"/>
  <c r="E94" i="9"/>
  <c r="D94" i="9"/>
  <c r="A94" i="9"/>
  <c r="J13" i="11"/>
  <c r="O93" i="9"/>
  <c r="N93" i="9"/>
  <c r="M93" i="9"/>
  <c r="L93" i="9"/>
  <c r="K93" i="9"/>
  <c r="J93" i="9"/>
  <c r="I93" i="9"/>
  <c r="H93" i="9"/>
  <c r="G93" i="9"/>
  <c r="E93" i="9"/>
  <c r="D93" i="9"/>
  <c r="A93" i="9"/>
  <c r="J12" i="11"/>
  <c r="O92" i="9"/>
  <c r="N92" i="9"/>
  <c r="M92" i="9"/>
  <c r="L92" i="9"/>
  <c r="K92" i="9"/>
  <c r="J92" i="9"/>
  <c r="I92" i="9"/>
  <c r="H92" i="9"/>
  <c r="G92" i="9"/>
  <c r="E92" i="9"/>
  <c r="D92" i="9"/>
  <c r="A92" i="9"/>
  <c r="J66" i="11"/>
  <c r="O91" i="9"/>
  <c r="N91" i="9"/>
  <c r="M91" i="9"/>
  <c r="L91" i="9"/>
  <c r="K91" i="9"/>
  <c r="J91" i="9"/>
  <c r="I91" i="9"/>
  <c r="H91" i="9"/>
  <c r="G91" i="9"/>
  <c r="E91" i="9"/>
  <c r="D91" i="9"/>
  <c r="A91" i="9"/>
  <c r="J65" i="11"/>
  <c r="O90" i="9"/>
  <c r="N90" i="9"/>
  <c r="M90" i="9"/>
  <c r="L90" i="9"/>
  <c r="K90" i="9"/>
  <c r="J90" i="9"/>
  <c r="I90" i="9"/>
  <c r="H90" i="9"/>
  <c r="G90" i="9"/>
  <c r="E90" i="9"/>
  <c r="D90" i="9"/>
  <c r="A90" i="9"/>
  <c r="J64" i="11"/>
  <c r="O89" i="9"/>
  <c r="N89" i="9"/>
  <c r="M89" i="9"/>
  <c r="L89" i="9"/>
  <c r="K89" i="9"/>
  <c r="J89" i="9"/>
  <c r="I89" i="9"/>
  <c r="H89" i="9"/>
  <c r="G89" i="9"/>
  <c r="E89" i="9"/>
  <c r="D89" i="9"/>
  <c r="A89" i="9"/>
  <c r="J63" i="11"/>
  <c r="O88" i="9"/>
  <c r="N88" i="9"/>
  <c r="M88" i="9"/>
  <c r="L88" i="9"/>
  <c r="K88" i="9"/>
  <c r="J88" i="9"/>
  <c r="I88" i="9"/>
  <c r="H88" i="9"/>
  <c r="G88" i="9"/>
  <c r="E88" i="9"/>
  <c r="D88" i="9"/>
  <c r="A88" i="9"/>
  <c r="J62" i="11"/>
  <c r="O87" i="9"/>
  <c r="N87" i="9"/>
  <c r="M87" i="9"/>
  <c r="L87" i="9"/>
  <c r="K87" i="9"/>
  <c r="J87" i="9"/>
  <c r="I87" i="9"/>
  <c r="H87" i="9"/>
  <c r="G87" i="9"/>
  <c r="E87" i="9"/>
  <c r="D87" i="9"/>
  <c r="A87" i="9"/>
  <c r="J61" i="11"/>
  <c r="O86" i="9"/>
  <c r="N86" i="9"/>
  <c r="M86" i="9"/>
  <c r="L86" i="9"/>
  <c r="K86" i="9"/>
  <c r="J86" i="9"/>
  <c r="I86" i="9"/>
  <c r="H86" i="9"/>
  <c r="G86" i="9"/>
  <c r="E86" i="9"/>
  <c r="D86" i="9"/>
  <c r="A86" i="9"/>
  <c r="J60" i="11"/>
  <c r="O85" i="9"/>
  <c r="N85" i="9"/>
  <c r="M85" i="9"/>
  <c r="L85" i="9"/>
  <c r="K85" i="9"/>
  <c r="J85" i="9"/>
  <c r="I85" i="9"/>
  <c r="H85" i="9"/>
  <c r="G85" i="9"/>
  <c r="E85" i="9"/>
  <c r="D85" i="9"/>
  <c r="A85" i="9"/>
  <c r="J59" i="11"/>
  <c r="O84" i="9"/>
  <c r="N84" i="9"/>
  <c r="M84" i="9"/>
  <c r="L84" i="9"/>
  <c r="K84" i="9"/>
  <c r="J84" i="9"/>
  <c r="I84" i="9"/>
  <c r="H84" i="9"/>
  <c r="G84" i="9"/>
  <c r="E84" i="9"/>
  <c r="D84" i="9"/>
  <c r="A84" i="9"/>
  <c r="J58" i="11"/>
  <c r="O83" i="9"/>
  <c r="N83" i="9"/>
  <c r="M83" i="9"/>
  <c r="L83" i="9"/>
  <c r="K83" i="9"/>
  <c r="J83" i="9"/>
  <c r="I83" i="9"/>
  <c r="H83" i="9"/>
  <c r="G83" i="9"/>
  <c r="E83" i="9"/>
  <c r="D83" i="9"/>
  <c r="A83" i="9"/>
  <c r="J57" i="11"/>
  <c r="O82" i="9"/>
  <c r="N82" i="9"/>
  <c r="M82" i="9"/>
  <c r="L82" i="9"/>
  <c r="K82" i="9"/>
  <c r="J82" i="9"/>
  <c r="I82" i="9"/>
  <c r="H82" i="9"/>
  <c r="G82" i="9"/>
  <c r="E82" i="9"/>
  <c r="D82" i="9"/>
  <c r="A82" i="9"/>
  <c r="J56" i="11"/>
  <c r="O81" i="9"/>
  <c r="N81" i="9"/>
  <c r="M81" i="9"/>
  <c r="L81" i="9"/>
  <c r="K81" i="9"/>
  <c r="J81" i="9"/>
  <c r="I81" i="9"/>
  <c r="H81" i="9"/>
  <c r="G81" i="9"/>
  <c r="E81" i="9"/>
  <c r="D81" i="9"/>
  <c r="A81" i="9"/>
  <c r="J55" i="11"/>
  <c r="O80" i="9"/>
  <c r="N80" i="9"/>
  <c r="M80" i="9"/>
  <c r="L80" i="9"/>
  <c r="K80" i="9"/>
  <c r="J80" i="9"/>
  <c r="I80" i="9"/>
  <c r="H80" i="9"/>
  <c r="G80" i="9"/>
  <c r="E80" i="9"/>
  <c r="D80" i="9"/>
  <c r="A80" i="9"/>
  <c r="J54" i="11"/>
  <c r="O79" i="9"/>
  <c r="N79" i="9"/>
  <c r="M79" i="9"/>
  <c r="L79" i="9"/>
  <c r="K79" i="9"/>
  <c r="J79" i="9"/>
  <c r="I79" i="9"/>
  <c r="H79" i="9"/>
  <c r="G79" i="9"/>
  <c r="E79" i="9"/>
  <c r="D79" i="9"/>
  <c r="A79" i="9"/>
  <c r="J53" i="11"/>
  <c r="O78" i="9"/>
  <c r="N78" i="9"/>
  <c r="M78" i="9"/>
  <c r="L78" i="9"/>
  <c r="K78" i="9"/>
  <c r="J78" i="9"/>
  <c r="I78" i="9"/>
  <c r="H78" i="9"/>
  <c r="G78" i="9"/>
  <c r="E78" i="9"/>
  <c r="D78" i="9"/>
  <c r="A78" i="9"/>
  <c r="J52" i="11"/>
  <c r="O77" i="9"/>
  <c r="N77" i="9"/>
  <c r="M77" i="9"/>
  <c r="L77" i="9"/>
  <c r="K77" i="9"/>
  <c r="J77" i="9"/>
  <c r="I77" i="9"/>
  <c r="H77" i="9"/>
  <c r="G77" i="9"/>
  <c r="E77" i="9"/>
  <c r="D77" i="9"/>
  <c r="A77" i="9"/>
  <c r="J51" i="11"/>
  <c r="O76" i="9"/>
  <c r="N76" i="9"/>
  <c r="M76" i="9"/>
  <c r="L76" i="9"/>
  <c r="K76" i="9"/>
  <c r="J76" i="9"/>
  <c r="I76" i="9"/>
  <c r="H76" i="9"/>
  <c r="G76" i="9"/>
  <c r="E76" i="9"/>
  <c r="D76" i="9"/>
  <c r="A76" i="9"/>
  <c r="J50" i="11"/>
  <c r="O75" i="9"/>
  <c r="N75" i="9"/>
  <c r="M75" i="9"/>
  <c r="L75" i="9"/>
  <c r="K75" i="9"/>
  <c r="J75" i="9"/>
  <c r="I75" i="9"/>
  <c r="H75" i="9"/>
  <c r="G75" i="9"/>
  <c r="E75" i="9"/>
  <c r="D75" i="9"/>
  <c r="A75" i="9"/>
  <c r="J49" i="11"/>
  <c r="O74" i="9"/>
  <c r="N74" i="9"/>
  <c r="M74" i="9"/>
  <c r="L74" i="9"/>
  <c r="K74" i="9"/>
  <c r="J74" i="9"/>
  <c r="I74" i="9"/>
  <c r="H74" i="9"/>
  <c r="G74" i="9"/>
  <c r="E74" i="9"/>
  <c r="D74" i="9"/>
  <c r="A74" i="9"/>
  <c r="J48" i="11"/>
  <c r="O73" i="9"/>
  <c r="N73" i="9"/>
  <c r="M73" i="9"/>
  <c r="L73" i="9"/>
  <c r="K73" i="9"/>
  <c r="J73" i="9"/>
  <c r="I73" i="9"/>
  <c r="H73" i="9"/>
  <c r="G73" i="9"/>
  <c r="E73" i="9"/>
  <c r="D73" i="9"/>
  <c r="A73" i="9"/>
  <c r="J47" i="11"/>
  <c r="O72" i="9"/>
  <c r="N72" i="9"/>
  <c r="M72" i="9"/>
  <c r="L72" i="9"/>
  <c r="K72" i="9"/>
  <c r="J72" i="9"/>
  <c r="I72" i="9"/>
  <c r="H72" i="9"/>
  <c r="G72" i="9"/>
  <c r="E72" i="9"/>
  <c r="D72" i="9"/>
  <c r="A72" i="9"/>
  <c r="J46" i="11"/>
  <c r="O71" i="9"/>
  <c r="N71" i="9"/>
  <c r="M71" i="9"/>
  <c r="L71" i="9"/>
  <c r="K71" i="9"/>
  <c r="J71" i="9"/>
  <c r="I71" i="9"/>
  <c r="H71" i="9"/>
  <c r="G71" i="9"/>
  <c r="E71" i="9"/>
  <c r="D71" i="9"/>
  <c r="A71" i="9"/>
  <c r="J45" i="11"/>
  <c r="O70" i="9"/>
  <c r="N70" i="9"/>
  <c r="M70" i="9"/>
  <c r="L70" i="9"/>
  <c r="K70" i="9"/>
  <c r="J70" i="9"/>
  <c r="I70" i="9"/>
  <c r="H70" i="9"/>
  <c r="G70" i="9"/>
  <c r="E70" i="9"/>
  <c r="D70" i="9"/>
  <c r="A70" i="9"/>
  <c r="J44" i="11"/>
  <c r="O69" i="9"/>
  <c r="N69" i="9"/>
  <c r="M69" i="9"/>
  <c r="L69" i="9"/>
  <c r="K69" i="9"/>
  <c r="J69" i="9"/>
  <c r="I69" i="9"/>
  <c r="H69" i="9"/>
  <c r="G69" i="9"/>
  <c r="E69" i="9"/>
  <c r="D69" i="9"/>
  <c r="A69" i="9"/>
  <c r="J43" i="11"/>
  <c r="O68" i="9"/>
  <c r="N68" i="9"/>
  <c r="M68" i="9"/>
  <c r="L68" i="9"/>
  <c r="K68" i="9"/>
  <c r="J68" i="9"/>
  <c r="I68" i="9"/>
  <c r="H68" i="9"/>
  <c r="G68" i="9"/>
  <c r="E68" i="9"/>
  <c r="D68" i="9"/>
  <c r="A68" i="9"/>
  <c r="M77" i="10"/>
  <c r="T77" i="10"/>
  <c r="W77" i="10"/>
  <c r="V77" i="10"/>
  <c r="X77" i="10"/>
  <c r="U77" i="10"/>
  <c r="Y77" i="10"/>
  <c r="N77" i="10"/>
  <c r="Q77" i="10"/>
  <c r="P77" i="10"/>
  <c r="R77" i="10"/>
  <c r="O77" i="10"/>
  <c r="S77" i="10"/>
  <c r="G77" i="10"/>
  <c r="J77" i="10"/>
  <c r="I77" i="10"/>
  <c r="K77" i="10"/>
  <c r="H77" i="10"/>
  <c r="L77" i="10"/>
  <c r="M76" i="10"/>
  <c r="T76" i="10"/>
  <c r="W76" i="10"/>
  <c r="V76" i="10"/>
  <c r="X76" i="10"/>
  <c r="U76" i="10"/>
  <c r="Y76" i="10"/>
  <c r="N76" i="10"/>
  <c r="Q76" i="10"/>
  <c r="P76" i="10"/>
  <c r="R76" i="10"/>
  <c r="O76" i="10"/>
  <c r="S76" i="10"/>
  <c r="G76" i="10"/>
  <c r="J76" i="10"/>
  <c r="I76" i="10"/>
  <c r="K76" i="10"/>
  <c r="H76" i="10"/>
  <c r="L76" i="10"/>
  <c r="M75" i="10"/>
  <c r="T75" i="10"/>
  <c r="W75" i="10"/>
  <c r="V75" i="10"/>
  <c r="X75" i="10"/>
  <c r="U75" i="10"/>
  <c r="Y75" i="10"/>
  <c r="N75" i="10"/>
  <c r="Q75" i="10"/>
  <c r="P75" i="10"/>
  <c r="R75" i="10"/>
  <c r="O75" i="10"/>
  <c r="S75" i="10"/>
  <c r="G75" i="10"/>
  <c r="J75" i="10"/>
  <c r="I75" i="10"/>
  <c r="K75" i="10"/>
  <c r="H75" i="10"/>
  <c r="L75" i="10"/>
  <c r="M74" i="10"/>
  <c r="T74" i="10"/>
  <c r="W74" i="10"/>
  <c r="V74" i="10"/>
  <c r="X74" i="10"/>
  <c r="U74" i="10"/>
  <c r="Y74" i="10"/>
  <c r="N74" i="10"/>
  <c r="Q74" i="10"/>
  <c r="P74" i="10"/>
  <c r="R74" i="10"/>
  <c r="O74" i="10"/>
  <c r="S74" i="10"/>
  <c r="G74" i="10"/>
  <c r="J74" i="10"/>
  <c r="I74" i="10"/>
  <c r="K74" i="10"/>
  <c r="H74" i="10"/>
  <c r="L74" i="10"/>
  <c r="M73" i="10"/>
  <c r="T73" i="10"/>
  <c r="W73" i="10"/>
  <c r="V73" i="10"/>
  <c r="X73" i="10"/>
  <c r="U73" i="10"/>
  <c r="Y73" i="10"/>
  <c r="N73" i="10"/>
  <c r="Q73" i="10"/>
  <c r="P73" i="10"/>
  <c r="R73" i="10"/>
  <c r="O73" i="10"/>
  <c r="S73" i="10"/>
  <c r="G73" i="10"/>
  <c r="J73" i="10"/>
  <c r="I73" i="10"/>
  <c r="K73" i="10"/>
  <c r="H73" i="10"/>
  <c r="L73" i="10"/>
  <c r="M72" i="10"/>
  <c r="T72" i="10"/>
  <c r="W72" i="10"/>
  <c r="V72" i="10"/>
  <c r="X72" i="10"/>
  <c r="U72" i="10"/>
  <c r="Y72" i="10"/>
  <c r="N72" i="10"/>
  <c r="Q72" i="10"/>
  <c r="P72" i="10"/>
  <c r="R72" i="10"/>
  <c r="O72" i="10"/>
  <c r="S72" i="10"/>
  <c r="G72" i="10"/>
  <c r="J72" i="10"/>
  <c r="I72" i="10"/>
  <c r="K72" i="10"/>
  <c r="H72" i="10"/>
  <c r="L72" i="10"/>
  <c r="M71" i="10"/>
  <c r="T71" i="10"/>
  <c r="W71" i="10"/>
  <c r="V71" i="10"/>
  <c r="X71" i="10"/>
  <c r="U71" i="10"/>
  <c r="Y71" i="10"/>
  <c r="N71" i="10"/>
  <c r="Q71" i="10"/>
  <c r="P71" i="10"/>
  <c r="R71" i="10"/>
  <c r="O71" i="10"/>
  <c r="S71" i="10"/>
  <c r="G71" i="10"/>
  <c r="J71" i="10"/>
  <c r="I71" i="10"/>
  <c r="K71" i="10"/>
  <c r="H71" i="10"/>
  <c r="L71" i="10"/>
  <c r="M70" i="10"/>
  <c r="T70" i="10"/>
  <c r="W70" i="10"/>
  <c r="V70" i="10"/>
  <c r="X70" i="10"/>
  <c r="U70" i="10"/>
  <c r="Y70" i="10"/>
  <c r="N70" i="10"/>
  <c r="Q70" i="10"/>
  <c r="P70" i="10"/>
  <c r="R70" i="10"/>
  <c r="O70" i="10"/>
  <c r="S70" i="10"/>
  <c r="G70" i="10"/>
  <c r="J70" i="10"/>
  <c r="I70" i="10"/>
  <c r="K70" i="10"/>
  <c r="H70" i="10"/>
  <c r="L70" i="10"/>
  <c r="M69" i="10"/>
  <c r="T69" i="10"/>
  <c r="W69" i="10"/>
  <c r="V69" i="10"/>
  <c r="X69" i="10"/>
  <c r="U69" i="10"/>
  <c r="Y69" i="10"/>
  <c r="N69" i="10"/>
  <c r="Q69" i="10"/>
  <c r="P69" i="10"/>
  <c r="R69" i="10"/>
  <c r="O69" i="10"/>
  <c r="S69" i="10"/>
  <c r="G69" i="10"/>
  <c r="J69" i="10"/>
  <c r="I69" i="10"/>
  <c r="K69" i="10"/>
  <c r="H69" i="10"/>
  <c r="L69" i="10"/>
  <c r="M68" i="10"/>
  <c r="T68" i="10"/>
  <c r="W68" i="10"/>
  <c r="V68" i="10"/>
  <c r="X68" i="10"/>
  <c r="U68" i="10"/>
  <c r="Y68" i="10"/>
  <c r="N68" i="10"/>
  <c r="Q68" i="10"/>
  <c r="P68" i="10"/>
  <c r="R68" i="10"/>
  <c r="O68" i="10"/>
  <c r="S68" i="10"/>
  <c r="G68" i="10"/>
  <c r="J68" i="10"/>
  <c r="I68" i="10"/>
  <c r="K68" i="10"/>
  <c r="H68" i="10"/>
  <c r="L68" i="10"/>
  <c r="M67" i="10"/>
  <c r="T67" i="10"/>
  <c r="W67" i="10"/>
  <c r="V67" i="10"/>
  <c r="X67" i="10"/>
  <c r="U67" i="10"/>
  <c r="Y67" i="10"/>
  <c r="N67" i="10"/>
  <c r="Q67" i="10"/>
  <c r="P67" i="10"/>
  <c r="R67" i="10"/>
  <c r="O67" i="10"/>
  <c r="S67" i="10"/>
  <c r="G67" i="10"/>
  <c r="J67" i="10"/>
  <c r="I67" i="10"/>
  <c r="K67" i="10"/>
  <c r="H67" i="10"/>
  <c r="L67" i="10"/>
  <c r="M66" i="10"/>
  <c r="T66" i="10"/>
  <c r="W66" i="10"/>
  <c r="V66" i="10"/>
  <c r="X66" i="10"/>
  <c r="U66" i="10"/>
  <c r="Y66" i="10"/>
  <c r="N66" i="10"/>
  <c r="Q66" i="10"/>
  <c r="P66" i="10"/>
  <c r="R66" i="10"/>
  <c r="O66" i="10"/>
  <c r="S66" i="10"/>
  <c r="G66" i="10"/>
  <c r="J66" i="10"/>
  <c r="I66" i="10"/>
  <c r="K66" i="10"/>
  <c r="H66" i="10"/>
  <c r="L66" i="10"/>
  <c r="M65" i="10"/>
  <c r="T65" i="10"/>
  <c r="W65" i="10"/>
  <c r="V65" i="10"/>
  <c r="X65" i="10"/>
  <c r="U65" i="10"/>
  <c r="Y65" i="10"/>
  <c r="N65" i="10"/>
  <c r="Q65" i="10"/>
  <c r="P65" i="10"/>
  <c r="R65" i="10"/>
  <c r="O65" i="10"/>
  <c r="S65" i="10"/>
  <c r="G65" i="10"/>
  <c r="J65" i="10"/>
  <c r="I65" i="10"/>
  <c r="K65" i="10"/>
  <c r="H65" i="10"/>
  <c r="L65" i="10"/>
  <c r="M64" i="10"/>
  <c r="T64" i="10"/>
  <c r="W64" i="10"/>
  <c r="V64" i="10"/>
  <c r="X64" i="10"/>
  <c r="U64" i="10"/>
  <c r="Y64" i="10"/>
  <c r="N64" i="10"/>
  <c r="Q64" i="10"/>
  <c r="P64" i="10"/>
  <c r="R64" i="10"/>
  <c r="O64" i="10"/>
  <c r="S64" i="10"/>
  <c r="G64" i="10"/>
  <c r="J64" i="10"/>
  <c r="I64" i="10"/>
  <c r="K64" i="10"/>
  <c r="H64" i="10"/>
  <c r="L64" i="10"/>
  <c r="M63" i="10"/>
  <c r="T63" i="10"/>
  <c r="W63" i="10"/>
  <c r="V63" i="10"/>
  <c r="X63" i="10"/>
  <c r="U63" i="10"/>
  <c r="Y63" i="10"/>
  <c r="N63" i="10"/>
  <c r="Q63" i="10"/>
  <c r="P63" i="10"/>
  <c r="R63" i="10"/>
  <c r="O63" i="10"/>
  <c r="S63" i="10"/>
  <c r="G63" i="10"/>
  <c r="J63" i="10"/>
  <c r="I63" i="10"/>
  <c r="K63" i="10"/>
  <c r="H63" i="10"/>
  <c r="L63" i="10"/>
  <c r="M62" i="10"/>
  <c r="T62" i="10"/>
  <c r="W62" i="10"/>
  <c r="V62" i="10"/>
  <c r="X62" i="10"/>
  <c r="U62" i="10"/>
  <c r="Y62" i="10"/>
  <c r="N62" i="10"/>
  <c r="Q62" i="10"/>
  <c r="P62" i="10"/>
  <c r="R62" i="10"/>
  <c r="O62" i="10"/>
  <c r="S62" i="10"/>
  <c r="G62" i="10"/>
  <c r="J62" i="10"/>
  <c r="I62" i="10"/>
  <c r="K62" i="10"/>
  <c r="H62" i="10"/>
  <c r="L62" i="10"/>
  <c r="M61" i="10"/>
  <c r="T61" i="10"/>
  <c r="W61" i="10"/>
  <c r="V61" i="10"/>
  <c r="X61" i="10"/>
  <c r="U61" i="10"/>
  <c r="Y61" i="10"/>
  <c r="N61" i="10"/>
  <c r="Q61" i="10"/>
  <c r="P61" i="10"/>
  <c r="R61" i="10"/>
  <c r="O61" i="10"/>
  <c r="S61" i="10"/>
  <c r="G61" i="10"/>
  <c r="J61" i="10"/>
  <c r="I61" i="10"/>
  <c r="K61" i="10"/>
  <c r="H61" i="10"/>
  <c r="L61" i="10"/>
  <c r="M60" i="10"/>
  <c r="T60" i="10"/>
  <c r="W60" i="10"/>
  <c r="V60" i="10"/>
  <c r="X60" i="10"/>
  <c r="U60" i="10"/>
  <c r="Y60" i="10"/>
  <c r="N60" i="10"/>
  <c r="Q60" i="10"/>
  <c r="P60" i="10"/>
  <c r="R60" i="10"/>
  <c r="O60" i="10"/>
  <c r="S60" i="10"/>
  <c r="G60" i="10"/>
  <c r="J60" i="10"/>
  <c r="I60" i="10"/>
  <c r="K60" i="10"/>
  <c r="H60" i="10"/>
  <c r="L60" i="10"/>
  <c r="M59" i="10"/>
  <c r="T59" i="10"/>
  <c r="W59" i="10"/>
  <c r="V59" i="10"/>
  <c r="X59" i="10"/>
  <c r="U59" i="10"/>
  <c r="Y59" i="10"/>
  <c r="N59" i="10"/>
  <c r="Q59" i="10"/>
  <c r="P59" i="10"/>
  <c r="R59" i="10"/>
  <c r="O59" i="10"/>
  <c r="S59" i="10"/>
  <c r="G59" i="10"/>
  <c r="J59" i="10"/>
  <c r="I59" i="10"/>
  <c r="K59" i="10"/>
  <c r="H59" i="10"/>
  <c r="L59" i="10"/>
  <c r="M58" i="10"/>
  <c r="T58" i="10"/>
  <c r="W58" i="10"/>
  <c r="V58" i="10"/>
  <c r="X58" i="10"/>
  <c r="U58" i="10"/>
  <c r="Y58" i="10"/>
  <c r="N58" i="10"/>
  <c r="Q58" i="10"/>
  <c r="P58" i="10"/>
  <c r="R58" i="10"/>
  <c r="O58" i="10"/>
  <c r="S58" i="10"/>
  <c r="G58" i="10"/>
  <c r="J58" i="10"/>
  <c r="I58" i="10"/>
  <c r="K58" i="10"/>
  <c r="H58" i="10"/>
  <c r="L58" i="10"/>
  <c r="A67" i="9"/>
  <c r="D67" i="9"/>
  <c r="E67" i="9"/>
  <c r="G67" i="9"/>
  <c r="H67" i="9"/>
  <c r="I67" i="9"/>
  <c r="J67" i="9"/>
  <c r="K67" i="9"/>
  <c r="L67" i="9"/>
  <c r="M67" i="9"/>
  <c r="N67" i="9"/>
  <c r="J2" i="11"/>
  <c r="O67" i="9"/>
  <c r="G57" i="10"/>
  <c r="H57" i="10"/>
  <c r="I57" i="10"/>
  <c r="J57" i="10"/>
  <c r="K57" i="10"/>
  <c r="L57" i="10"/>
  <c r="M57" i="10"/>
  <c r="N57" i="10"/>
  <c r="O57" i="10"/>
  <c r="P57" i="10"/>
  <c r="Q57" i="10"/>
  <c r="R57" i="10"/>
  <c r="S57" i="10"/>
  <c r="T57" i="10"/>
  <c r="U57" i="10"/>
  <c r="V57" i="10"/>
  <c r="W57" i="10"/>
  <c r="X57" i="10"/>
  <c r="Y57" i="10"/>
  <c r="O25" i="21"/>
  <c r="I25" i="21"/>
  <c r="J25" i="21"/>
  <c r="G25" i="21"/>
  <c r="F25" i="21"/>
  <c r="D25" i="21"/>
  <c r="C25" i="21"/>
  <c r="O24" i="21"/>
  <c r="I24" i="21"/>
  <c r="J24" i="21"/>
  <c r="G24" i="21"/>
  <c r="F24" i="21"/>
  <c r="D24" i="21"/>
  <c r="C24" i="21"/>
  <c r="O23" i="21"/>
  <c r="I23" i="21"/>
  <c r="J23" i="21"/>
  <c r="G23" i="21"/>
  <c r="F23" i="21"/>
  <c r="D23" i="21"/>
  <c r="C23" i="21"/>
  <c r="O22" i="21"/>
  <c r="I22" i="21"/>
  <c r="J22" i="21"/>
  <c r="G22" i="21"/>
  <c r="F22" i="21"/>
  <c r="D22" i="21"/>
  <c r="C22" i="21"/>
  <c r="C21" i="21"/>
  <c r="D21" i="21"/>
  <c r="F21" i="21"/>
  <c r="G21" i="21"/>
  <c r="I21" i="21"/>
  <c r="J21" i="21"/>
  <c r="O21" i="21"/>
  <c r="C20" i="21"/>
  <c r="D20" i="21"/>
  <c r="F20" i="21"/>
  <c r="G20" i="21"/>
  <c r="I20" i="21"/>
  <c r="J20" i="21"/>
  <c r="O20" i="21"/>
  <c r="C19" i="21"/>
  <c r="D19" i="21"/>
  <c r="F19" i="21"/>
  <c r="G19" i="21"/>
  <c r="I19" i="21"/>
  <c r="J19" i="21"/>
  <c r="O19" i="21"/>
  <c r="O17" i="21"/>
  <c r="I17" i="21"/>
  <c r="J17" i="21"/>
  <c r="G17" i="21"/>
  <c r="F17" i="21"/>
  <c r="D17" i="21"/>
  <c r="C17" i="21"/>
  <c r="O16" i="21"/>
  <c r="I16" i="21"/>
  <c r="J16" i="21"/>
  <c r="G16" i="21"/>
  <c r="F16" i="21"/>
  <c r="D16" i="21"/>
  <c r="C16" i="21"/>
  <c r="O15" i="21"/>
  <c r="I15" i="21"/>
  <c r="J15" i="21"/>
  <c r="G15" i="21"/>
  <c r="F15" i="21"/>
  <c r="D15" i="21"/>
  <c r="C15" i="21"/>
  <c r="O14" i="21"/>
  <c r="I14" i="21"/>
  <c r="J14" i="21"/>
  <c r="G14" i="21"/>
  <c r="F14" i="21"/>
  <c r="D14" i="21"/>
  <c r="C14" i="21"/>
  <c r="O13" i="21"/>
  <c r="I13" i="21"/>
  <c r="J13" i="21"/>
  <c r="G13" i="21"/>
  <c r="F13" i="21"/>
  <c r="D13" i="21"/>
  <c r="C13" i="21"/>
  <c r="O12" i="21"/>
  <c r="I12" i="21"/>
  <c r="J12" i="21"/>
  <c r="G12" i="21"/>
  <c r="F12" i="21"/>
  <c r="D12" i="21"/>
  <c r="C12" i="21"/>
  <c r="O11" i="21"/>
  <c r="I11" i="21"/>
  <c r="J11" i="21"/>
  <c r="G11" i="21"/>
  <c r="F11" i="21"/>
  <c r="D11" i="21"/>
  <c r="C11" i="21"/>
  <c r="O10" i="21"/>
  <c r="I10" i="21"/>
  <c r="J10" i="21"/>
  <c r="G10" i="21"/>
  <c r="F10" i="21"/>
  <c r="D10" i="21"/>
  <c r="C10" i="21"/>
  <c r="C18" i="21"/>
  <c r="D18" i="21"/>
  <c r="F18" i="21"/>
  <c r="G18" i="21"/>
  <c r="I18" i="21"/>
  <c r="J18" i="21"/>
  <c r="O18" i="21"/>
  <c r="C9" i="21"/>
  <c r="D9" i="21"/>
  <c r="F9" i="21"/>
  <c r="G9" i="21"/>
  <c r="I9" i="21"/>
  <c r="J9" i="21"/>
  <c r="O9" i="21"/>
  <c r="C8" i="21"/>
  <c r="D8" i="21"/>
  <c r="F8" i="21"/>
  <c r="G8" i="21"/>
  <c r="I8" i="21"/>
  <c r="J8" i="21"/>
  <c r="O8" i="21"/>
  <c r="C7" i="21"/>
  <c r="D7" i="21"/>
  <c r="F7" i="21"/>
  <c r="G7" i="21"/>
  <c r="I7" i="21"/>
  <c r="J7" i="21"/>
  <c r="O7" i="21"/>
  <c r="C5" i="21"/>
  <c r="D5" i="21"/>
  <c r="F5" i="21"/>
  <c r="G5" i="21"/>
  <c r="I5" i="21"/>
  <c r="J5" i="21"/>
  <c r="O5" i="21"/>
  <c r="O3" i="21"/>
  <c r="O4" i="21"/>
  <c r="O6" i="21"/>
  <c r="O2" i="21"/>
  <c r="K65" i="9"/>
  <c r="A14" i="9"/>
  <c r="A15" i="9"/>
  <c r="A16" i="9"/>
  <c r="A17" i="9"/>
  <c r="A18" i="9"/>
  <c r="A19" i="9"/>
  <c r="A20" i="9"/>
  <c r="A21" i="9"/>
  <c r="A22" i="9"/>
  <c r="A23" i="9"/>
  <c r="A45" i="9"/>
  <c r="D45" i="9"/>
  <c r="E45" i="9"/>
  <c r="G44" i="9"/>
  <c r="H44" i="9"/>
  <c r="I44" i="9"/>
  <c r="J44" i="9"/>
  <c r="K44" i="9"/>
  <c r="L44" i="9"/>
  <c r="M44" i="9"/>
  <c r="N44" i="9"/>
  <c r="O44" i="9"/>
  <c r="G45" i="9"/>
  <c r="H45" i="9"/>
  <c r="I45" i="9"/>
  <c r="J45" i="9"/>
  <c r="K45" i="9"/>
  <c r="L45" i="9"/>
  <c r="M45" i="9"/>
  <c r="N45" i="9"/>
  <c r="O45" i="9"/>
  <c r="G46" i="9"/>
  <c r="H46" i="9"/>
  <c r="I46" i="9"/>
  <c r="J46" i="9"/>
  <c r="K46" i="9"/>
  <c r="L46" i="9"/>
  <c r="M46" i="9"/>
  <c r="N46" i="9"/>
  <c r="O46" i="9"/>
  <c r="G47" i="9"/>
  <c r="H47" i="9"/>
  <c r="I47" i="9"/>
  <c r="J47" i="9"/>
  <c r="K47" i="9"/>
  <c r="L47" i="9"/>
  <c r="M47" i="9"/>
  <c r="N47" i="9"/>
  <c r="O47" i="9"/>
  <c r="G48" i="9"/>
  <c r="H48" i="9"/>
  <c r="I48" i="9"/>
  <c r="J48" i="9"/>
  <c r="K48" i="9"/>
  <c r="L48" i="9"/>
  <c r="M48" i="9"/>
  <c r="N48" i="9"/>
  <c r="O48" i="9"/>
  <c r="G49" i="9"/>
  <c r="H49" i="9"/>
  <c r="I49" i="9"/>
  <c r="J49" i="9"/>
  <c r="K49" i="9"/>
  <c r="L49" i="9"/>
  <c r="M49" i="9"/>
  <c r="N49" i="9"/>
  <c r="O49" i="9"/>
  <c r="G50" i="9"/>
  <c r="H50" i="9"/>
  <c r="I50" i="9"/>
  <c r="J50" i="9"/>
  <c r="K50" i="9"/>
  <c r="L50" i="9"/>
  <c r="M50" i="9"/>
  <c r="N50" i="9"/>
  <c r="O50" i="9"/>
  <c r="G51" i="9"/>
  <c r="H51" i="9"/>
  <c r="I51" i="9"/>
  <c r="J51" i="9"/>
  <c r="K51" i="9"/>
  <c r="L51" i="9"/>
  <c r="M51" i="9"/>
  <c r="N51" i="9"/>
  <c r="O51" i="9"/>
  <c r="G52" i="9"/>
  <c r="H52" i="9"/>
  <c r="I52" i="9"/>
  <c r="J52" i="9"/>
  <c r="K52" i="9"/>
  <c r="L52" i="9"/>
  <c r="M52" i="9"/>
  <c r="N52" i="9"/>
  <c r="O52" i="9"/>
  <c r="G53" i="9"/>
  <c r="H53" i="9"/>
  <c r="I53" i="9"/>
  <c r="J53" i="9"/>
  <c r="K53" i="9"/>
  <c r="L53" i="9"/>
  <c r="M53" i="9"/>
  <c r="N53" i="9"/>
  <c r="O53" i="9"/>
  <c r="G54" i="9"/>
  <c r="H54" i="9"/>
  <c r="I54" i="9"/>
  <c r="J54" i="9"/>
  <c r="K54" i="9"/>
  <c r="L54" i="9"/>
  <c r="M54" i="9"/>
  <c r="N54" i="9"/>
  <c r="O54" i="9"/>
  <c r="G55" i="9"/>
  <c r="H55" i="9"/>
  <c r="I55" i="9"/>
  <c r="J55" i="9"/>
  <c r="K55" i="9"/>
  <c r="L55" i="9"/>
  <c r="M55" i="9"/>
  <c r="N55" i="9"/>
  <c r="O55" i="9"/>
  <c r="G56" i="9"/>
  <c r="H56" i="9"/>
  <c r="I56" i="9"/>
  <c r="J56" i="9"/>
  <c r="K56" i="9"/>
  <c r="L56" i="9"/>
  <c r="M56" i="9"/>
  <c r="N56" i="9"/>
  <c r="O56" i="9"/>
  <c r="G57" i="9"/>
  <c r="H57" i="9"/>
  <c r="I57" i="9"/>
  <c r="J57" i="9"/>
  <c r="K57" i="9"/>
  <c r="L57" i="9"/>
  <c r="M57" i="9"/>
  <c r="N57" i="9"/>
  <c r="O57" i="9"/>
  <c r="G58" i="9"/>
  <c r="H58" i="9"/>
  <c r="I58" i="9"/>
  <c r="J58" i="9"/>
  <c r="K58" i="9"/>
  <c r="L58" i="9"/>
  <c r="M58" i="9"/>
  <c r="N58" i="9"/>
  <c r="O58" i="9"/>
  <c r="G59" i="9"/>
  <c r="H59" i="9"/>
  <c r="I59" i="9"/>
  <c r="J59" i="9"/>
  <c r="K59" i="9"/>
  <c r="L59" i="9"/>
  <c r="M59" i="9"/>
  <c r="N59" i="9"/>
  <c r="O59" i="9"/>
  <c r="G60" i="9"/>
  <c r="H60" i="9"/>
  <c r="I60" i="9"/>
  <c r="J60" i="9"/>
  <c r="K60" i="9"/>
  <c r="L60" i="9"/>
  <c r="M60" i="9"/>
  <c r="N60" i="9"/>
  <c r="O60" i="9"/>
  <c r="G61" i="9"/>
  <c r="H61" i="9"/>
  <c r="I61" i="9"/>
  <c r="J61" i="9"/>
  <c r="K61" i="9"/>
  <c r="L61" i="9"/>
  <c r="M61" i="9"/>
  <c r="N61" i="9"/>
  <c r="O61" i="9"/>
  <c r="G62" i="9"/>
  <c r="H62" i="9"/>
  <c r="I62" i="9"/>
  <c r="J62" i="9"/>
  <c r="K62" i="9"/>
  <c r="L62" i="9"/>
  <c r="M62" i="9"/>
  <c r="N62" i="9"/>
  <c r="O62" i="9"/>
  <c r="G63" i="9"/>
  <c r="H63" i="9"/>
  <c r="I63" i="9"/>
  <c r="J63" i="9"/>
  <c r="K63" i="9"/>
  <c r="L63" i="9"/>
  <c r="M63" i="9"/>
  <c r="N63" i="9"/>
  <c r="O63" i="9"/>
  <c r="G64" i="9"/>
  <c r="H64" i="9"/>
  <c r="I64" i="9"/>
  <c r="J64" i="9"/>
  <c r="K64" i="9"/>
  <c r="L64" i="9"/>
  <c r="M64" i="9"/>
  <c r="N64" i="9"/>
  <c r="O64" i="9"/>
  <c r="G65" i="9"/>
  <c r="H65" i="9"/>
  <c r="I65" i="9"/>
  <c r="J65" i="9"/>
  <c r="L65" i="9"/>
  <c r="M65" i="9"/>
  <c r="N65" i="9"/>
  <c r="O65" i="9"/>
  <c r="G66" i="9"/>
  <c r="H66" i="9"/>
  <c r="I66" i="9"/>
  <c r="J66" i="9"/>
  <c r="K66" i="9"/>
  <c r="L66" i="9"/>
  <c r="M66" i="9"/>
  <c r="N66" i="9"/>
  <c r="O66" i="9"/>
  <c r="D49" i="9"/>
  <c r="E49" i="9"/>
  <c r="D47" i="9"/>
  <c r="E47" i="9"/>
  <c r="D44" i="9"/>
  <c r="E44" i="9"/>
  <c r="A43" i="9"/>
  <c r="A44" i="9"/>
  <c r="A46" i="9"/>
  <c r="A47" i="9"/>
  <c r="A48" i="9"/>
  <c r="A49" i="9"/>
  <c r="A50" i="9"/>
  <c r="A51" i="9"/>
  <c r="D14" i="9"/>
  <c r="E14" i="9"/>
  <c r="D15" i="9"/>
  <c r="E15" i="9"/>
  <c r="D16" i="9"/>
  <c r="E16" i="9"/>
  <c r="D17" i="9"/>
  <c r="E17" i="9"/>
  <c r="D18" i="9"/>
  <c r="E18" i="9"/>
  <c r="D19" i="9"/>
  <c r="E19" i="9"/>
  <c r="D20" i="9"/>
  <c r="E20" i="9"/>
  <c r="D21" i="9"/>
  <c r="E21" i="9"/>
  <c r="D22" i="9"/>
  <c r="E22" i="9"/>
  <c r="G14" i="9"/>
  <c r="H14" i="9"/>
  <c r="I14" i="9"/>
  <c r="J14" i="9"/>
  <c r="K14" i="9"/>
  <c r="L14" i="9"/>
  <c r="M14" i="9"/>
  <c r="N14" i="9"/>
  <c r="O14" i="9"/>
  <c r="G15" i="9"/>
  <c r="H15" i="9"/>
  <c r="I15" i="9"/>
  <c r="J15" i="9"/>
  <c r="K15" i="9"/>
  <c r="L15" i="9"/>
  <c r="M15" i="9"/>
  <c r="N15" i="9"/>
  <c r="O15" i="9"/>
  <c r="G16" i="9"/>
  <c r="H16" i="9"/>
  <c r="I16" i="9"/>
  <c r="J16" i="9"/>
  <c r="K16" i="9"/>
  <c r="L16" i="9"/>
  <c r="M16" i="9"/>
  <c r="N16" i="9"/>
  <c r="O16" i="9"/>
  <c r="G17" i="9"/>
  <c r="H17" i="9"/>
  <c r="I17" i="9"/>
  <c r="J17" i="9"/>
  <c r="K17" i="9"/>
  <c r="L17" i="9"/>
  <c r="M17" i="9"/>
  <c r="N17" i="9"/>
  <c r="O17" i="9"/>
  <c r="G18" i="9"/>
  <c r="H18" i="9"/>
  <c r="I18" i="9"/>
  <c r="J18" i="9"/>
  <c r="K18" i="9"/>
  <c r="L18" i="9"/>
  <c r="M18" i="9"/>
  <c r="N18" i="9"/>
  <c r="O18" i="9"/>
  <c r="G19" i="9"/>
  <c r="H19" i="9"/>
  <c r="I19" i="9"/>
  <c r="J19" i="9"/>
  <c r="K19" i="9"/>
  <c r="L19" i="9"/>
  <c r="M19" i="9"/>
  <c r="N19" i="9"/>
  <c r="O19" i="9"/>
  <c r="G20" i="9"/>
  <c r="H20" i="9"/>
  <c r="I20" i="9"/>
  <c r="J20" i="9"/>
  <c r="K20" i="9"/>
  <c r="L20" i="9"/>
  <c r="M20" i="9"/>
  <c r="N20" i="9"/>
  <c r="O20" i="9"/>
  <c r="G21" i="9"/>
  <c r="H21" i="9"/>
  <c r="I21" i="9"/>
  <c r="J21" i="9"/>
  <c r="K21" i="9"/>
  <c r="L21" i="9"/>
  <c r="M21" i="9"/>
  <c r="N21" i="9"/>
  <c r="O21" i="9"/>
  <c r="G22" i="9"/>
  <c r="H22" i="9"/>
  <c r="I22" i="9"/>
  <c r="J22" i="9"/>
  <c r="K22" i="9"/>
  <c r="L22" i="9"/>
  <c r="M22" i="9"/>
  <c r="N22" i="9"/>
  <c r="O22" i="9"/>
  <c r="G23" i="9"/>
  <c r="H23" i="9"/>
  <c r="I23" i="9"/>
  <c r="J23" i="9"/>
  <c r="K23" i="9"/>
  <c r="L23" i="9"/>
  <c r="M23" i="9"/>
  <c r="N23" i="9"/>
  <c r="O23" i="9"/>
  <c r="J67" i="11"/>
  <c r="M6" i="10"/>
  <c r="T6" i="10"/>
  <c r="W6" i="10"/>
  <c r="V6" i="10"/>
  <c r="X6" i="10"/>
  <c r="U6" i="10"/>
  <c r="Y6" i="10"/>
  <c r="M16" i="10"/>
  <c r="M26" i="10"/>
  <c r="M38" i="10"/>
  <c r="N38" i="10"/>
  <c r="Q38" i="10"/>
  <c r="P38" i="10"/>
  <c r="R38" i="10"/>
  <c r="O38" i="10"/>
  <c r="S38" i="10"/>
  <c r="N26" i="10"/>
  <c r="Q26" i="10"/>
  <c r="P26" i="10"/>
  <c r="R26" i="10"/>
  <c r="O26" i="10"/>
  <c r="S26" i="10"/>
  <c r="N16" i="10"/>
  <c r="Q16" i="10"/>
  <c r="P16" i="10"/>
  <c r="R16" i="10"/>
  <c r="O16" i="10"/>
  <c r="S16" i="10"/>
  <c r="N6" i="10"/>
  <c r="Q6" i="10"/>
  <c r="P6" i="10"/>
  <c r="R6" i="10"/>
  <c r="O6" i="10"/>
  <c r="S6" i="10"/>
  <c r="G6" i="10"/>
  <c r="J6" i="10"/>
  <c r="I6" i="10"/>
  <c r="K6" i="10"/>
  <c r="H6" i="10"/>
  <c r="L6" i="10"/>
  <c r="T2" i="1"/>
  <c r="A66" i="9"/>
  <c r="D66" i="9"/>
  <c r="E66" i="9"/>
  <c r="A60" i="9"/>
  <c r="D60" i="9"/>
  <c r="E60" i="9"/>
  <c r="A61" i="9"/>
  <c r="D61" i="9"/>
  <c r="E61" i="9"/>
  <c r="A62" i="9"/>
  <c r="D62" i="9"/>
  <c r="E62" i="9"/>
  <c r="A63" i="9"/>
  <c r="D63" i="9"/>
  <c r="E63" i="9"/>
  <c r="A64" i="9"/>
  <c r="D64" i="9"/>
  <c r="E64" i="9"/>
  <c r="A65" i="9"/>
  <c r="D65" i="9"/>
  <c r="E65" i="9"/>
  <c r="L3" i="10"/>
  <c r="M3" i="10"/>
  <c r="M53" i="10"/>
  <c r="N53" i="10"/>
  <c r="Q53" i="10"/>
  <c r="P53" i="10"/>
  <c r="R53" i="10"/>
  <c r="O53" i="10"/>
  <c r="S53" i="10"/>
  <c r="M46" i="10"/>
  <c r="N46" i="10"/>
  <c r="Q46" i="10"/>
  <c r="P46" i="10"/>
  <c r="R46" i="10"/>
  <c r="O46" i="10"/>
  <c r="S46" i="10"/>
  <c r="M36" i="10"/>
  <c r="N36" i="10"/>
  <c r="Q36" i="10"/>
  <c r="P36" i="10"/>
  <c r="R36" i="10"/>
  <c r="O36" i="10"/>
  <c r="S36" i="10"/>
  <c r="M24" i="10"/>
  <c r="N24" i="10"/>
  <c r="Q24" i="10"/>
  <c r="P24" i="10"/>
  <c r="R24" i="10"/>
  <c r="O24" i="10"/>
  <c r="S24" i="10"/>
  <c r="M14" i="10"/>
  <c r="N14" i="10"/>
  <c r="Q14" i="10"/>
  <c r="P14" i="10"/>
  <c r="R14" i="10"/>
  <c r="O14" i="10"/>
  <c r="S14" i="10"/>
  <c r="N3" i="10"/>
  <c r="O3" i="10"/>
  <c r="P3" i="10"/>
  <c r="Q3" i="10"/>
  <c r="R3" i="10"/>
  <c r="S3" i="10"/>
  <c r="T3" i="10"/>
  <c r="U3" i="10"/>
  <c r="V3" i="10"/>
  <c r="W3" i="10"/>
  <c r="X3" i="10"/>
  <c r="Y3" i="10"/>
  <c r="G33" i="10"/>
  <c r="H33" i="10"/>
  <c r="I33" i="10"/>
  <c r="J33" i="10"/>
  <c r="K33" i="10"/>
  <c r="L33" i="10"/>
  <c r="M33" i="10"/>
  <c r="M52" i="10"/>
  <c r="N52" i="10"/>
  <c r="Q52" i="10"/>
  <c r="P52" i="10"/>
  <c r="R52" i="10"/>
  <c r="O52" i="10"/>
  <c r="S52" i="10"/>
  <c r="M45" i="10"/>
  <c r="N45" i="10"/>
  <c r="Q45" i="10"/>
  <c r="P45" i="10"/>
  <c r="R45" i="10"/>
  <c r="O45" i="10"/>
  <c r="S45" i="10"/>
  <c r="N33" i="10"/>
  <c r="O33" i="10"/>
  <c r="P33" i="10"/>
  <c r="Q33" i="10"/>
  <c r="R33" i="10"/>
  <c r="S33" i="10"/>
  <c r="T33" i="10"/>
  <c r="U33" i="10"/>
  <c r="V33" i="10"/>
  <c r="W33" i="10"/>
  <c r="X33" i="10"/>
  <c r="Y33" i="10"/>
  <c r="G34" i="10"/>
  <c r="H34" i="10"/>
  <c r="I34" i="10"/>
  <c r="J34" i="10"/>
  <c r="K34" i="10"/>
  <c r="L34" i="10"/>
  <c r="M34" i="10"/>
  <c r="N34" i="10"/>
  <c r="O34" i="10"/>
  <c r="P34" i="10"/>
  <c r="Q34" i="10"/>
  <c r="R34" i="10"/>
  <c r="S34" i="10"/>
  <c r="T34" i="10"/>
  <c r="U34" i="10"/>
  <c r="V34" i="10"/>
  <c r="W34" i="10"/>
  <c r="X34" i="10"/>
  <c r="Y34" i="10"/>
  <c r="C4" i="21"/>
  <c r="D4" i="21"/>
  <c r="F4" i="21"/>
  <c r="G4" i="21"/>
  <c r="I4" i="21"/>
  <c r="J4" i="21"/>
  <c r="C6" i="21"/>
  <c r="D6" i="21"/>
  <c r="F6" i="21"/>
  <c r="G6" i="21"/>
  <c r="I6" i="21"/>
  <c r="J6" i="21"/>
  <c r="J37" i="11"/>
  <c r="J38" i="11"/>
  <c r="J39" i="11"/>
  <c r="J40" i="11"/>
  <c r="J41" i="11"/>
  <c r="J42" i="11"/>
  <c r="G50" i="10"/>
  <c r="H50" i="10"/>
  <c r="I50" i="10"/>
  <c r="J50" i="10"/>
  <c r="K50" i="10"/>
  <c r="L50" i="10"/>
  <c r="M50" i="10"/>
  <c r="N50" i="10"/>
  <c r="O50" i="10"/>
  <c r="P50" i="10"/>
  <c r="Q50" i="10"/>
  <c r="R50" i="10"/>
  <c r="S50" i="10"/>
  <c r="T50" i="10"/>
  <c r="U50" i="10"/>
  <c r="V50" i="10"/>
  <c r="W50" i="10"/>
  <c r="X50" i="10"/>
  <c r="Y50" i="10"/>
  <c r="G51" i="10"/>
  <c r="H51" i="10"/>
  <c r="I51" i="10"/>
  <c r="J51" i="10"/>
  <c r="K51" i="10"/>
  <c r="L51" i="10"/>
  <c r="M51" i="10"/>
  <c r="N51" i="10"/>
  <c r="O51" i="10"/>
  <c r="P51" i="10"/>
  <c r="Q51" i="10"/>
  <c r="R51" i="10"/>
  <c r="S51" i="10"/>
  <c r="T51" i="10"/>
  <c r="U51" i="10"/>
  <c r="V51" i="10"/>
  <c r="W51" i="10"/>
  <c r="X51" i="10"/>
  <c r="Y51" i="10"/>
  <c r="G52" i="10"/>
  <c r="H52" i="10"/>
  <c r="I52" i="10"/>
  <c r="J52" i="10"/>
  <c r="K52" i="10"/>
  <c r="L52" i="10"/>
  <c r="T52" i="10"/>
  <c r="U52" i="10"/>
  <c r="V52" i="10"/>
  <c r="W52" i="10"/>
  <c r="X52" i="10"/>
  <c r="Y52" i="10"/>
  <c r="G53" i="10"/>
  <c r="H53" i="10"/>
  <c r="I53" i="10"/>
  <c r="J53" i="10"/>
  <c r="K53" i="10"/>
  <c r="L53" i="10"/>
  <c r="T53" i="10"/>
  <c r="U53" i="10"/>
  <c r="V53" i="10"/>
  <c r="W53" i="10"/>
  <c r="X53" i="10"/>
  <c r="Y53" i="10"/>
  <c r="G54" i="10"/>
  <c r="H54" i="10"/>
  <c r="I54" i="10"/>
  <c r="J54" i="10"/>
  <c r="K54" i="10"/>
  <c r="L54" i="10"/>
  <c r="M54" i="10"/>
  <c r="N54" i="10"/>
  <c r="O54" i="10"/>
  <c r="P54" i="10"/>
  <c r="Q54" i="10"/>
  <c r="R54" i="10"/>
  <c r="S54" i="10"/>
  <c r="T54" i="10"/>
  <c r="U54" i="10"/>
  <c r="V54" i="10"/>
  <c r="W54" i="10"/>
  <c r="X54" i="10"/>
  <c r="Y54" i="10"/>
  <c r="G55" i="10"/>
  <c r="H55" i="10"/>
  <c r="I55" i="10"/>
  <c r="J55" i="10"/>
  <c r="K55" i="10"/>
  <c r="L55" i="10"/>
  <c r="M55" i="10"/>
  <c r="N55" i="10"/>
  <c r="O55" i="10"/>
  <c r="P55" i="10"/>
  <c r="Q55" i="10"/>
  <c r="R55" i="10"/>
  <c r="S55" i="10"/>
  <c r="T55" i="10"/>
  <c r="U55" i="10"/>
  <c r="V55" i="10"/>
  <c r="W55" i="10"/>
  <c r="X55" i="10"/>
  <c r="Y55" i="10"/>
  <c r="G56" i="10"/>
  <c r="H56" i="10"/>
  <c r="I56" i="10"/>
  <c r="J56" i="10"/>
  <c r="K56" i="10"/>
  <c r="L56" i="10"/>
  <c r="M56" i="10"/>
  <c r="N56" i="10"/>
  <c r="O56" i="10"/>
  <c r="P56" i="10"/>
  <c r="Q56" i="10"/>
  <c r="R56" i="10"/>
  <c r="S56" i="10"/>
  <c r="T56" i="10"/>
  <c r="U56" i="10"/>
  <c r="V56" i="10"/>
  <c r="W56" i="10"/>
  <c r="X56" i="10"/>
  <c r="Y56" i="10"/>
  <c r="G44" i="10"/>
  <c r="H44" i="10"/>
  <c r="I44" i="10"/>
  <c r="J44" i="10"/>
  <c r="K44" i="10"/>
  <c r="L44" i="10"/>
  <c r="M44" i="10"/>
  <c r="N44" i="10"/>
  <c r="O44" i="10"/>
  <c r="P44" i="10"/>
  <c r="Q44" i="10"/>
  <c r="R44" i="10"/>
  <c r="S44" i="10"/>
  <c r="T44" i="10"/>
  <c r="U44" i="10"/>
  <c r="V44" i="10"/>
  <c r="W44" i="10"/>
  <c r="X44" i="10"/>
  <c r="Y44" i="10"/>
  <c r="G45" i="10"/>
  <c r="H45" i="10"/>
  <c r="I45" i="10"/>
  <c r="J45" i="10"/>
  <c r="K45" i="10"/>
  <c r="L45" i="10"/>
  <c r="T45" i="10"/>
  <c r="U45" i="10"/>
  <c r="V45" i="10"/>
  <c r="W45" i="10"/>
  <c r="X45" i="10"/>
  <c r="Y45" i="10"/>
  <c r="G46" i="10"/>
  <c r="H46" i="10"/>
  <c r="I46" i="10"/>
  <c r="J46" i="10"/>
  <c r="K46" i="10"/>
  <c r="L46" i="10"/>
  <c r="T46" i="10"/>
  <c r="U46" i="10"/>
  <c r="V46" i="10"/>
  <c r="W46" i="10"/>
  <c r="X46" i="10"/>
  <c r="Y46" i="10"/>
  <c r="G47" i="10"/>
  <c r="H47" i="10"/>
  <c r="I47" i="10"/>
  <c r="J47" i="10"/>
  <c r="K47" i="10"/>
  <c r="L47" i="10"/>
  <c r="M47" i="10"/>
  <c r="N47" i="10"/>
  <c r="O47" i="10"/>
  <c r="P47" i="10"/>
  <c r="Q47" i="10"/>
  <c r="R47" i="10"/>
  <c r="S47" i="10"/>
  <c r="T47" i="10"/>
  <c r="U47" i="10"/>
  <c r="V47" i="10"/>
  <c r="W47" i="10"/>
  <c r="X47" i="10"/>
  <c r="Y47" i="10"/>
  <c r="G48" i="10"/>
  <c r="H48" i="10"/>
  <c r="I48" i="10"/>
  <c r="J48" i="10"/>
  <c r="K48" i="10"/>
  <c r="L48" i="10"/>
  <c r="M48" i="10"/>
  <c r="N48" i="10"/>
  <c r="O48" i="10"/>
  <c r="P48" i="10"/>
  <c r="Q48" i="10"/>
  <c r="R48" i="10"/>
  <c r="S48" i="10"/>
  <c r="T48" i="10"/>
  <c r="U48" i="10"/>
  <c r="V48" i="10"/>
  <c r="W48" i="10"/>
  <c r="X48" i="10"/>
  <c r="Y48" i="10"/>
  <c r="G49" i="10"/>
  <c r="H49" i="10"/>
  <c r="I49" i="10"/>
  <c r="J49" i="10"/>
  <c r="K49" i="10"/>
  <c r="L49" i="10"/>
  <c r="M49" i="10"/>
  <c r="N49" i="10"/>
  <c r="O49" i="10"/>
  <c r="P49" i="10"/>
  <c r="Q49" i="10"/>
  <c r="R49" i="10"/>
  <c r="S49" i="10"/>
  <c r="T49" i="10"/>
  <c r="U49" i="10"/>
  <c r="V49" i="10"/>
  <c r="W49" i="10"/>
  <c r="X49" i="10"/>
  <c r="Y49" i="10"/>
  <c r="J3" i="11"/>
  <c r="J4" i="11"/>
  <c r="J5" i="11"/>
  <c r="J6" i="11"/>
  <c r="J7" i="11"/>
  <c r="J8" i="11"/>
  <c r="J9" i="11"/>
  <c r="J10" i="11"/>
  <c r="J11" i="11"/>
  <c r="J28" i="11"/>
  <c r="J29" i="11"/>
  <c r="J30" i="11"/>
  <c r="J31" i="11"/>
  <c r="J32" i="11"/>
  <c r="J33" i="11"/>
  <c r="J34" i="11"/>
  <c r="J35" i="11"/>
  <c r="J36" i="11"/>
  <c r="G4" i="10"/>
  <c r="H4" i="10"/>
  <c r="I4" i="10"/>
  <c r="J4" i="10"/>
  <c r="K4" i="10"/>
  <c r="L4" i="10"/>
  <c r="M4" i="10"/>
  <c r="N4" i="10"/>
  <c r="O4" i="10"/>
  <c r="P4" i="10"/>
  <c r="Q4" i="10"/>
  <c r="R4" i="10"/>
  <c r="S4" i="10"/>
  <c r="T4" i="10"/>
  <c r="U4" i="10"/>
  <c r="V4" i="10"/>
  <c r="W4" i="10"/>
  <c r="X4" i="10"/>
  <c r="Y4" i="10"/>
  <c r="M15" i="10"/>
  <c r="M25" i="10"/>
  <c r="M37" i="10"/>
  <c r="N37" i="10"/>
  <c r="Q37" i="10"/>
  <c r="P37" i="10"/>
  <c r="R37" i="10"/>
  <c r="O37" i="10"/>
  <c r="S37" i="10"/>
  <c r="N25" i="10"/>
  <c r="Q25" i="10"/>
  <c r="P25" i="10"/>
  <c r="R25" i="10"/>
  <c r="O25" i="10"/>
  <c r="S25" i="10"/>
  <c r="N15" i="10"/>
  <c r="Q15" i="10"/>
  <c r="P15" i="10"/>
  <c r="R15" i="10"/>
  <c r="O15" i="10"/>
  <c r="S15" i="10"/>
  <c r="G5" i="10"/>
  <c r="H5" i="10"/>
  <c r="I5" i="10"/>
  <c r="J5" i="10"/>
  <c r="K5" i="10"/>
  <c r="L5" i="10"/>
  <c r="M5" i="10"/>
  <c r="N5" i="10"/>
  <c r="O5" i="10"/>
  <c r="P5" i="10"/>
  <c r="Q5" i="10"/>
  <c r="R5" i="10"/>
  <c r="S5" i="10"/>
  <c r="T5" i="10"/>
  <c r="U5" i="10"/>
  <c r="V5" i="10"/>
  <c r="W5" i="10"/>
  <c r="X5" i="10"/>
  <c r="Y5" i="10"/>
  <c r="G7" i="10"/>
  <c r="H7" i="10"/>
  <c r="I7" i="10"/>
  <c r="J7" i="10"/>
  <c r="K7" i="10"/>
  <c r="L7" i="10"/>
  <c r="M7" i="10"/>
  <c r="M17" i="10"/>
  <c r="M27" i="10"/>
  <c r="M39" i="10"/>
  <c r="N39" i="10"/>
  <c r="Q39" i="10"/>
  <c r="P39" i="10"/>
  <c r="R39" i="10"/>
  <c r="O39" i="10"/>
  <c r="S39" i="10"/>
  <c r="N27" i="10"/>
  <c r="Q27" i="10"/>
  <c r="P27" i="10"/>
  <c r="R27" i="10"/>
  <c r="O27" i="10"/>
  <c r="S27" i="10"/>
  <c r="N17" i="10"/>
  <c r="Q17" i="10"/>
  <c r="P17" i="10"/>
  <c r="R17" i="10"/>
  <c r="O17" i="10"/>
  <c r="S17" i="10"/>
  <c r="N7" i="10"/>
  <c r="O7" i="10"/>
  <c r="P7" i="10"/>
  <c r="Q7" i="10"/>
  <c r="R7" i="10"/>
  <c r="S7" i="10"/>
  <c r="T7" i="10"/>
  <c r="U7" i="10"/>
  <c r="V7" i="10"/>
  <c r="W7" i="10"/>
  <c r="X7" i="10"/>
  <c r="Y7" i="10"/>
  <c r="G8" i="10"/>
  <c r="H8" i="10"/>
  <c r="I8" i="10"/>
  <c r="J8" i="10"/>
  <c r="K8" i="10"/>
  <c r="L8" i="10"/>
  <c r="M8" i="10"/>
  <c r="M18" i="10"/>
  <c r="M28" i="10"/>
  <c r="M40" i="10"/>
  <c r="N40" i="10"/>
  <c r="Q40" i="10"/>
  <c r="P40" i="10"/>
  <c r="R40" i="10"/>
  <c r="O40" i="10"/>
  <c r="S40" i="10"/>
  <c r="N28" i="10"/>
  <c r="Q28" i="10"/>
  <c r="P28" i="10"/>
  <c r="R28" i="10"/>
  <c r="O28" i="10"/>
  <c r="S28" i="10"/>
  <c r="N18" i="10"/>
  <c r="Q18" i="10"/>
  <c r="P18" i="10"/>
  <c r="R18" i="10"/>
  <c r="O18" i="10"/>
  <c r="S18" i="10"/>
  <c r="N8" i="10"/>
  <c r="O8" i="10"/>
  <c r="P8" i="10"/>
  <c r="Q8" i="10"/>
  <c r="R8" i="10"/>
  <c r="S8" i="10"/>
  <c r="T8" i="10"/>
  <c r="U8" i="10"/>
  <c r="V8" i="10"/>
  <c r="W8" i="10"/>
  <c r="X8" i="10"/>
  <c r="Y8" i="10"/>
  <c r="G9" i="10"/>
  <c r="H9" i="10"/>
  <c r="I9" i="10"/>
  <c r="J9" i="10"/>
  <c r="K9" i="10"/>
  <c r="L9" i="10"/>
  <c r="M9" i="10"/>
  <c r="M19" i="10"/>
  <c r="M29" i="10"/>
  <c r="M41" i="10"/>
  <c r="N41" i="10"/>
  <c r="Q41" i="10"/>
  <c r="P41" i="10"/>
  <c r="R41" i="10"/>
  <c r="O41" i="10"/>
  <c r="S41" i="10"/>
  <c r="N29" i="10"/>
  <c r="Q29" i="10"/>
  <c r="P29" i="10"/>
  <c r="R29" i="10"/>
  <c r="O29" i="10"/>
  <c r="S29" i="10"/>
  <c r="N19" i="10"/>
  <c r="Q19" i="10"/>
  <c r="P19" i="10"/>
  <c r="R19" i="10"/>
  <c r="O19" i="10"/>
  <c r="S19" i="10"/>
  <c r="N9" i="10"/>
  <c r="O9" i="10"/>
  <c r="P9" i="10"/>
  <c r="Q9" i="10"/>
  <c r="R9" i="10"/>
  <c r="S9" i="10"/>
  <c r="T9" i="10"/>
  <c r="U9" i="10"/>
  <c r="V9" i="10"/>
  <c r="W9" i="10"/>
  <c r="X9" i="10"/>
  <c r="Y9" i="10"/>
  <c r="G10" i="10"/>
  <c r="H10" i="10"/>
  <c r="I10" i="10"/>
  <c r="J10" i="10"/>
  <c r="K10" i="10"/>
  <c r="L10" i="10"/>
  <c r="M10" i="10"/>
  <c r="M20" i="10"/>
  <c r="M30" i="10"/>
  <c r="M42" i="10"/>
  <c r="N42" i="10"/>
  <c r="Q42" i="10"/>
  <c r="P42" i="10"/>
  <c r="R42" i="10"/>
  <c r="O42" i="10"/>
  <c r="S42" i="10"/>
  <c r="N30" i="10"/>
  <c r="Q30" i="10"/>
  <c r="P30" i="10"/>
  <c r="R30" i="10"/>
  <c r="O30" i="10"/>
  <c r="S30" i="10"/>
  <c r="N20" i="10"/>
  <c r="Q20" i="10"/>
  <c r="P20" i="10"/>
  <c r="R20" i="10"/>
  <c r="O20" i="10"/>
  <c r="S20" i="10"/>
  <c r="N10" i="10"/>
  <c r="O10" i="10"/>
  <c r="P10" i="10"/>
  <c r="Q10" i="10"/>
  <c r="R10" i="10"/>
  <c r="S10" i="10"/>
  <c r="T10" i="10"/>
  <c r="U10" i="10"/>
  <c r="V10" i="10"/>
  <c r="W10" i="10"/>
  <c r="X10" i="10"/>
  <c r="Y10" i="10"/>
  <c r="G11" i="10"/>
  <c r="H11" i="10"/>
  <c r="I11" i="10"/>
  <c r="J11" i="10"/>
  <c r="K11" i="10"/>
  <c r="L11" i="10"/>
  <c r="M11" i="10"/>
  <c r="M21" i="10"/>
  <c r="M31" i="10"/>
  <c r="M43" i="10"/>
  <c r="N43" i="10"/>
  <c r="Q43" i="10"/>
  <c r="P43" i="10"/>
  <c r="R43" i="10"/>
  <c r="O43" i="10"/>
  <c r="S43" i="10"/>
  <c r="N31" i="10"/>
  <c r="Q31" i="10"/>
  <c r="P31" i="10"/>
  <c r="R31" i="10"/>
  <c r="O31" i="10"/>
  <c r="S31" i="10"/>
  <c r="N21" i="10"/>
  <c r="Q21" i="10"/>
  <c r="P21" i="10"/>
  <c r="R21" i="10"/>
  <c r="O21" i="10"/>
  <c r="S21" i="10"/>
  <c r="N11" i="10"/>
  <c r="O11" i="10"/>
  <c r="P11" i="10"/>
  <c r="Q11" i="10"/>
  <c r="R11" i="10"/>
  <c r="S11" i="10"/>
  <c r="T11" i="10"/>
  <c r="U11" i="10"/>
  <c r="V11" i="10"/>
  <c r="W11" i="10"/>
  <c r="X11" i="10"/>
  <c r="Y11" i="10"/>
  <c r="G12" i="10"/>
  <c r="H12" i="10"/>
  <c r="I12" i="10"/>
  <c r="J12" i="10"/>
  <c r="K12" i="10"/>
  <c r="L12" i="10"/>
  <c r="M12" i="10"/>
  <c r="M22" i="10"/>
  <c r="M32" i="10"/>
  <c r="N32" i="10"/>
  <c r="Q32" i="10"/>
  <c r="P32" i="10"/>
  <c r="R32" i="10"/>
  <c r="O32" i="10"/>
  <c r="S32" i="10"/>
  <c r="N22" i="10"/>
  <c r="Q22" i="10"/>
  <c r="P22" i="10"/>
  <c r="R22" i="10"/>
  <c r="O22" i="10"/>
  <c r="S22" i="10"/>
  <c r="N12" i="10"/>
  <c r="O12" i="10"/>
  <c r="P12" i="10"/>
  <c r="Q12" i="10"/>
  <c r="R12" i="10"/>
  <c r="S12" i="10"/>
  <c r="T12" i="10"/>
  <c r="U12" i="10"/>
  <c r="V12" i="10"/>
  <c r="W12" i="10"/>
  <c r="X12" i="10"/>
  <c r="Y12" i="10"/>
  <c r="G13" i="10"/>
  <c r="H13" i="10"/>
  <c r="I13" i="10"/>
  <c r="J13" i="10"/>
  <c r="K13" i="10"/>
  <c r="L13" i="10"/>
  <c r="M13" i="10"/>
  <c r="M23" i="10"/>
  <c r="M35" i="10"/>
  <c r="N35" i="10"/>
  <c r="Q35" i="10"/>
  <c r="P35" i="10"/>
  <c r="R35" i="10"/>
  <c r="O35" i="10"/>
  <c r="S35" i="10"/>
  <c r="N23" i="10"/>
  <c r="Q23" i="10"/>
  <c r="P23" i="10"/>
  <c r="R23" i="10"/>
  <c r="O23" i="10"/>
  <c r="S23" i="10"/>
  <c r="N13" i="10"/>
  <c r="O13" i="10"/>
  <c r="P13" i="10"/>
  <c r="Q13" i="10"/>
  <c r="R13" i="10"/>
  <c r="S13" i="10"/>
  <c r="T13" i="10"/>
  <c r="U13" i="10"/>
  <c r="V13" i="10"/>
  <c r="W13" i="10"/>
  <c r="X13" i="10"/>
  <c r="Y13" i="10"/>
  <c r="G14" i="10"/>
  <c r="H14" i="10"/>
  <c r="I14" i="10"/>
  <c r="J14" i="10"/>
  <c r="K14" i="10"/>
  <c r="L14" i="10"/>
  <c r="T14" i="10"/>
  <c r="U14" i="10"/>
  <c r="V14" i="10"/>
  <c r="W14" i="10"/>
  <c r="X14" i="10"/>
  <c r="Y14" i="10"/>
  <c r="G15" i="10"/>
  <c r="H15" i="10"/>
  <c r="I15" i="10"/>
  <c r="J15" i="10"/>
  <c r="K15" i="10"/>
  <c r="L15" i="10"/>
  <c r="T15" i="10"/>
  <c r="U15" i="10"/>
  <c r="V15" i="10"/>
  <c r="W15" i="10"/>
  <c r="X15" i="10"/>
  <c r="Y15" i="10"/>
  <c r="G16" i="10"/>
  <c r="H16" i="10"/>
  <c r="I16" i="10"/>
  <c r="J16" i="10"/>
  <c r="K16" i="10"/>
  <c r="L16" i="10"/>
  <c r="T16" i="10"/>
  <c r="U16" i="10"/>
  <c r="V16" i="10"/>
  <c r="W16" i="10"/>
  <c r="X16" i="10"/>
  <c r="Y16" i="10"/>
  <c r="G17" i="10"/>
  <c r="H17" i="10"/>
  <c r="I17" i="10"/>
  <c r="J17" i="10"/>
  <c r="K17" i="10"/>
  <c r="L17" i="10"/>
  <c r="T17" i="10"/>
  <c r="U17" i="10"/>
  <c r="V17" i="10"/>
  <c r="W17" i="10"/>
  <c r="X17" i="10"/>
  <c r="Y17" i="10"/>
  <c r="G18" i="10"/>
  <c r="H18" i="10"/>
  <c r="I18" i="10"/>
  <c r="J18" i="10"/>
  <c r="K18" i="10"/>
  <c r="L18" i="10"/>
  <c r="T18" i="10"/>
  <c r="U18" i="10"/>
  <c r="V18" i="10"/>
  <c r="W18" i="10"/>
  <c r="X18" i="10"/>
  <c r="Y18" i="10"/>
  <c r="G19" i="10"/>
  <c r="H19" i="10"/>
  <c r="I19" i="10"/>
  <c r="J19" i="10"/>
  <c r="K19" i="10"/>
  <c r="L19" i="10"/>
  <c r="T19" i="10"/>
  <c r="U19" i="10"/>
  <c r="V19" i="10"/>
  <c r="W19" i="10"/>
  <c r="X19" i="10"/>
  <c r="Y19" i="10"/>
  <c r="G20" i="10"/>
  <c r="H20" i="10"/>
  <c r="I20" i="10"/>
  <c r="J20" i="10"/>
  <c r="K20" i="10"/>
  <c r="L20" i="10"/>
  <c r="T20" i="10"/>
  <c r="U20" i="10"/>
  <c r="V20" i="10"/>
  <c r="W20" i="10"/>
  <c r="X20" i="10"/>
  <c r="Y20" i="10"/>
  <c r="G21" i="10"/>
  <c r="H21" i="10"/>
  <c r="I21" i="10"/>
  <c r="J21" i="10"/>
  <c r="K21" i="10"/>
  <c r="L21" i="10"/>
  <c r="T21" i="10"/>
  <c r="U21" i="10"/>
  <c r="V21" i="10"/>
  <c r="W21" i="10"/>
  <c r="X21" i="10"/>
  <c r="Y21" i="10"/>
  <c r="G22" i="10"/>
  <c r="H22" i="10"/>
  <c r="I22" i="10"/>
  <c r="J22" i="10"/>
  <c r="K22" i="10"/>
  <c r="L22" i="10"/>
  <c r="T22" i="10"/>
  <c r="U22" i="10"/>
  <c r="V22" i="10"/>
  <c r="W22" i="10"/>
  <c r="X22" i="10"/>
  <c r="Y22" i="10"/>
  <c r="G23" i="10"/>
  <c r="H23" i="10"/>
  <c r="I23" i="10"/>
  <c r="J23" i="10"/>
  <c r="K23" i="10"/>
  <c r="L23" i="10"/>
  <c r="T23" i="10"/>
  <c r="U23" i="10"/>
  <c r="V23" i="10"/>
  <c r="W23" i="10"/>
  <c r="X23" i="10"/>
  <c r="Y23" i="10"/>
  <c r="G24" i="10"/>
  <c r="H24" i="10"/>
  <c r="I24" i="10"/>
  <c r="J24" i="10"/>
  <c r="K24" i="10"/>
  <c r="L24" i="10"/>
  <c r="T24" i="10"/>
  <c r="U24" i="10"/>
  <c r="V24" i="10"/>
  <c r="W24" i="10"/>
  <c r="X24" i="10"/>
  <c r="Y24" i="10"/>
  <c r="G25" i="10"/>
  <c r="H25" i="10"/>
  <c r="I25" i="10"/>
  <c r="J25" i="10"/>
  <c r="K25" i="10"/>
  <c r="L25" i="10"/>
  <c r="T25" i="10"/>
  <c r="U25" i="10"/>
  <c r="V25" i="10"/>
  <c r="W25" i="10"/>
  <c r="X25" i="10"/>
  <c r="Y25" i="10"/>
  <c r="G26" i="10"/>
  <c r="H26" i="10"/>
  <c r="I26" i="10"/>
  <c r="J26" i="10"/>
  <c r="K26" i="10"/>
  <c r="L26" i="10"/>
  <c r="T26" i="10"/>
  <c r="U26" i="10"/>
  <c r="V26" i="10"/>
  <c r="W26" i="10"/>
  <c r="X26" i="10"/>
  <c r="Y26" i="10"/>
  <c r="G27" i="10"/>
  <c r="H27" i="10"/>
  <c r="I27" i="10"/>
  <c r="J27" i="10"/>
  <c r="K27" i="10"/>
  <c r="L27" i="10"/>
  <c r="T27" i="10"/>
  <c r="U27" i="10"/>
  <c r="V27" i="10"/>
  <c r="W27" i="10"/>
  <c r="X27" i="10"/>
  <c r="Y27" i="10"/>
  <c r="G28" i="10"/>
  <c r="H28" i="10"/>
  <c r="I28" i="10"/>
  <c r="J28" i="10"/>
  <c r="K28" i="10"/>
  <c r="L28" i="10"/>
  <c r="T28" i="10"/>
  <c r="U28" i="10"/>
  <c r="V28" i="10"/>
  <c r="W28" i="10"/>
  <c r="X28" i="10"/>
  <c r="Y28" i="10"/>
  <c r="G29" i="10"/>
  <c r="H29" i="10"/>
  <c r="I29" i="10"/>
  <c r="J29" i="10"/>
  <c r="K29" i="10"/>
  <c r="L29" i="10"/>
  <c r="T29" i="10"/>
  <c r="U29" i="10"/>
  <c r="V29" i="10"/>
  <c r="W29" i="10"/>
  <c r="X29" i="10"/>
  <c r="Y29" i="10"/>
  <c r="G30" i="10"/>
  <c r="H30" i="10"/>
  <c r="I30" i="10"/>
  <c r="J30" i="10"/>
  <c r="K30" i="10"/>
  <c r="L30" i="10"/>
  <c r="T30" i="10"/>
  <c r="U30" i="10"/>
  <c r="V30" i="10"/>
  <c r="W30" i="10"/>
  <c r="X30" i="10"/>
  <c r="Y30" i="10"/>
  <c r="G31" i="10"/>
  <c r="H31" i="10"/>
  <c r="I31" i="10"/>
  <c r="J31" i="10"/>
  <c r="K31" i="10"/>
  <c r="L31" i="10"/>
  <c r="T31" i="10"/>
  <c r="U31" i="10"/>
  <c r="V31" i="10"/>
  <c r="W31" i="10"/>
  <c r="X31" i="10"/>
  <c r="Y31" i="10"/>
  <c r="G32" i="10"/>
  <c r="H32" i="10"/>
  <c r="I32" i="10"/>
  <c r="J32" i="10"/>
  <c r="K32" i="10"/>
  <c r="L32" i="10"/>
  <c r="T32" i="10"/>
  <c r="U32" i="10"/>
  <c r="V32" i="10"/>
  <c r="W32" i="10"/>
  <c r="X32" i="10"/>
  <c r="Y32" i="10"/>
  <c r="G35" i="10"/>
  <c r="H35" i="10"/>
  <c r="I35" i="10"/>
  <c r="J35" i="10"/>
  <c r="K35" i="10"/>
  <c r="L35" i="10"/>
  <c r="T35" i="10"/>
  <c r="U35" i="10"/>
  <c r="V35" i="10"/>
  <c r="W35" i="10"/>
  <c r="X35" i="10"/>
  <c r="Y35" i="10"/>
  <c r="G36" i="10"/>
  <c r="H36" i="10"/>
  <c r="I36" i="10"/>
  <c r="J36" i="10"/>
  <c r="K36" i="10"/>
  <c r="L36" i="10"/>
  <c r="T36" i="10"/>
  <c r="U36" i="10"/>
  <c r="V36" i="10"/>
  <c r="W36" i="10"/>
  <c r="X36" i="10"/>
  <c r="Y36" i="10"/>
  <c r="G37" i="10"/>
  <c r="H37" i="10"/>
  <c r="I37" i="10"/>
  <c r="J37" i="10"/>
  <c r="K37" i="10"/>
  <c r="L37" i="10"/>
  <c r="T37" i="10"/>
  <c r="U37" i="10"/>
  <c r="V37" i="10"/>
  <c r="W37" i="10"/>
  <c r="X37" i="10"/>
  <c r="Y37" i="10"/>
  <c r="G38" i="10"/>
  <c r="H38" i="10"/>
  <c r="I38" i="10"/>
  <c r="J38" i="10"/>
  <c r="K38" i="10"/>
  <c r="L38" i="10"/>
  <c r="T38" i="10"/>
  <c r="U38" i="10"/>
  <c r="V38" i="10"/>
  <c r="W38" i="10"/>
  <c r="X38" i="10"/>
  <c r="Y38" i="10"/>
  <c r="G39" i="10"/>
  <c r="H39" i="10"/>
  <c r="I39" i="10"/>
  <c r="J39" i="10"/>
  <c r="K39" i="10"/>
  <c r="L39" i="10"/>
  <c r="T39" i="10"/>
  <c r="U39" i="10"/>
  <c r="V39" i="10"/>
  <c r="W39" i="10"/>
  <c r="X39" i="10"/>
  <c r="Y39" i="10"/>
  <c r="G40" i="10"/>
  <c r="H40" i="10"/>
  <c r="I40" i="10"/>
  <c r="J40" i="10"/>
  <c r="K40" i="10"/>
  <c r="L40" i="10"/>
  <c r="T40" i="10"/>
  <c r="U40" i="10"/>
  <c r="V40" i="10"/>
  <c r="W40" i="10"/>
  <c r="X40" i="10"/>
  <c r="Y40" i="10"/>
  <c r="G41" i="10"/>
  <c r="H41" i="10"/>
  <c r="I41" i="10"/>
  <c r="J41" i="10"/>
  <c r="K41" i="10"/>
  <c r="L41" i="10"/>
  <c r="T41" i="10"/>
  <c r="U41" i="10"/>
  <c r="V41" i="10"/>
  <c r="W41" i="10"/>
  <c r="X41" i="10"/>
  <c r="Y41" i="10"/>
  <c r="G42" i="10"/>
  <c r="H42" i="10"/>
  <c r="I42" i="10"/>
  <c r="J42" i="10"/>
  <c r="K42" i="10"/>
  <c r="L42" i="10"/>
  <c r="T42" i="10"/>
  <c r="U42" i="10"/>
  <c r="V42" i="10"/>
  <c r="W42" i="10"/>
  <c r="X42" i="10"/>
  <c r="Y42" i="10"/>
  <c r="G43" i="10"/>
  <c r="H43" i="10"/>
  <c r="I43" i="10"/>
  <c r="J43" i="10"/>
  <c r="K43" i="10"/>
  <c r="L43" i="10"/>
  <c r="T43" i="10"/>
  <c r="U43" i="10"/>
  <c r="V43" i="10"/>
  <c r="W43" i="10"/>
  <c r="X43" i="10"/>
  <c r="Y43" i="10"/>
  <c r="A3" i="9"/>
  <c r="D3" i="9"/>
  <c r="E3" i="9"/>
  <c r="G3" i="9"/>
  <c r="H3" i="9"/>
  <c r="I3" i="9"/>
  <c r="J3" i="9"/>
  <c r="K3" i="9"/>
  <c r="L3" i="9"/>
  <c r="M3" i="9"/>
  <c r="N3" i="9"/>
  <c r="O3" i="9"/>
  <c r="A4" i="9"/>
  <c r="D4" i="9"/>
  <c r="E4" i="9"/>
  <c r="G4" i="9"/>
  <c r="H4" i="9"/>
  <c r="I4" i="9"/>
  <c r="J4" i="9"/>
  <c r="K4" i="9"/>
  <c r="L4" i="9"/>
  <c r="M4" i="9"/>
  <c r="N4" i="9"/>
  <c r="O4" i="9"/>
  <c r="A5" i="9"/>
  <c r="D5" i="9"/>
  <c r="E5" i="9"/>
  <c r="G5" i="9"/>
  <c r="H5" i="9"/>
  <c r="I5" i="9"/>
  <c r="J5" i="9"/>
  <c r="K5" i="9"/>
  <c r="L5" i="9"/>
  <c r="M5" i="9"/>
  <c r="N5" i="9"/>
  <c r="O5" i="9"/>
  <c r="A6" i="9"/>
  <c r="D6" i="9"/>
  <c r="E6" i="9"/>
  <c r="G6" i="9"/>
  <c r="H6" i="9"/>
  <c r="I6" i="9"/>
  <c r="J6" i="9"/>
  <c r="K6" i="9"/>
  <c r="L6" i="9"/>
  <c r="M6" i="9"/>
  <c r="N6" i="9"/>
  <c r="O6" i="9"/>
  <c r="A7" i="9"/>
  <c r="D7" i="9"/>
  <c r="E7" i="9"/>
  <c r="G7" i="9"/>
  <c r="H7" i="9"/>
  <c r="I7" i="9"/>
  <c r="J7" i="9"/>
  <c r="K7" i="9"/>
  <c r="L7" i="9"/>
  <c r="M7" i="9"/>
  <c r="N7" i="9"/>
  <c r="O7" i="9"/>
  <c r="A8" i="9"/>
  <c r="D8" i="9"/>
  <c r="E8" i="9"/>
  <c r="G8" i="9"/>
  <c r="H8" i="9"/>
  <c r="I8" i="9"/>
  <c r="J8" i="9"/>
  <c r="K8" i="9"/>
  <c r="L8" i="9"/>
  <c r="M8" i="9"/>
  <c r="N8" i="9"/>
  <c r="O8" i="9"/>
  <c r="A9" i="9"/>
  <c r="D9" i="9"/>
  <c r="E9" i="9"/>
  <c r="G9" i="9"/>
  <c r="H9" i="9"/>
  <c r="I9" i="9"/>
  <c r="J9" i="9"/>
  <c r="K9" i="9"/>
  <c r="L9" i="9"/>
  <c r="M9" i="9"/>
  <c r="N9" i="9"/>
  <c r="O9" i="9"/>
  <c r="A10" i="9"/>
  <c r="D10" i="9"/>
  <c r="E10" i="9"/>
  <c r="G10" i="9"/>
  <c r="H10" i="9"/>
  <c r="I10" i="9"/>
  <c r="J10" i="9"/>
  <c r="K10" i="9"/>
  <c r="L10" i="9"/>
  <c r="M10" i="9"/>
  <c r="N10" i="9"/>
  <c r="O10" i="9"/>
  <c r="A11" i="9"/>
  <c r="D11" i="9"/>
  <c r="E11" i="9"/>
  <c r="G11" i="9"/>
  <c r="H11" i="9"/>
  <c r="I11" i="9"/>
  <c r="J11" i="9"/>
  <c r="K11" i="9"/>
  <c r="L11" i="9"/>
  <c r="M11" i="9"/>
  <c r="N11" i="9"/>
  <c r="O11" i="9"/>
  <c r="A12" i="9"/>
  <c r="D12" i="9"/>
  <c r="E12" i="9"/>
  <c r="G12" i="9"/>
  <c r="H12" i="9"/>
  <c r="I12" i="9"/>
  <c r="J12" i="9"/>
  <c r="K12" i="9"/>
  <c r="L12" i="9"/>
  <c r="M12" i="9"/>
  <c r="N12" i="9"/>
  <c r="O12" i="9"/>
  <c r="A13" i="9"/>
  <c r="D13" i="9"/>
  <c r="E13" i="9"/>
  <c r="G13" i="9"/>
  <c r="H13" i="9"/>
  <c r="I13" i="9"/>
  <c r="J13" i="9"/>
  <c r="K13" i="9"/>
  <c r="L13" i="9"/>
  <c r="M13" i="9"/>
  <c r="N13" i="9"/>
  <c r="O13" i="9"/>
  <c r="D23" i="9"/>
  <c r="E23" i="9"/>
  <c r="A24" i="9"/>
  <c r="D24" i="9"/>
  <c r="E24" i="9"/>
  <c r="G24" i="9"/>
  <c r="H24" i="9"/>
  <c r="I24" i="9"/>
  <c r="J24" i="9"/>
  <c r="K24" i="9"/>
  <c r="L24" i="9"/>
  <c r="M24" i="9"/>
  <c r="N24" i="9"/>
  <c r="O24" i="9"/>
  <c r="A25" i="9"/>
  <c r="D25" i="9"/>
  <c r="E25" i="9"/>
  <c r="G25" i="9"/>
  <c r="H25" i="9"/>
  <c r="I25" i="9"/>
  <c r="J25" i="9"/>
  <c r="K25" i="9"/>
  <c r="L25" i="9"/>
  <c r="M25" i="9"/>
  <c r="N25" i="9"/>
  <c r="O25" i="9"/>
  <c r="A26" i="9"/>
  <c r="D26" i="9"/>
  <c r="E26" i="9"/>
  <c r="G26" i="9"/>
  <c r="H26" i="9"/>
  <c r="I26" i="9"/>
  <c r="J26" i="9"/>
  <c r="K26" i="9"/>
  <c r="L26" i="9"/>
  <c r="M26" i="9"/>
  <c r="N26" i="9"/>
  <c r="O26" i="9"/>
  <c r="A27" i="9"/>
  <c r="D27" i="9"/>
  <c r="E27" i="9"/>
  <c r="G27" i="9"/>
  <c r="H27" i="9"/>
  <c r="I27" i="9"/>
  <c r="J27" i="9"/>
  <c r="K27" i="9"/>
  <c r="L27" i="9"/>
  <c r="M27" i="9"/>
  <c r="N27" i="9"/>
  <c r="O27" i="9"/>
  <c r="A28" i="9"/>
  <c r="D28" i="9"/>
  <c r="E28" i="9"/>
  <c r="G28" i="9"/>
  <c r="H28" i="9"/>
  <c r="I28" i="9"/>
  <c r="J28" i="9"/>
  <c r="K28" i="9"/>
  <c r="L28" i="9"/>
  <c r="M28" i="9"/>
  <c r="N28" i="9"/>
  <c r="O28" i="9"/>
  <c r="A29" i="9"/>
  <c r="D29" i="9"/>
  <c r="E29" i="9"/>
  <c r="G29" i="9"/>
  <c r="H29" i="9"/>
  <c r="I29" i="9"/>
  <c r="J29" i="9"/>
  <c r="K29" i="9"/>
  <c r="L29" i="9"/>
  <c r="M29" i="9"/>
  <c r="N29" i="9"/>
  <c r="O29" i="9"/>
  <c r="A30" i="9"/>
  <c r="D30" i="9"/>
  <c r="E30" i="9"/>
  <c r="G30" i="9"/>
  <c r="H30" i="9"/>
  <c r="I30" i="9"/>
  <c r="J30" i="9"/>
  <c r="K30" i="9"/>
  <c r="L30" i="9"/>
  <c r="M30" i="9"/>
  <c r="N30" i="9"/>
  <c r="O30" i="9"/>
  <c r="A31" i="9"/>
  <c r="D31" i="9"/>
  <c r="E31" i="9"/>
  <c r="G31" i="9"/>
  <c r="H31" i="9"/>
  <c r="I31" i="9"/>
  <c r="J31" i="9"/>
  <c r="K31" i="9"/>
  <c r="L31" i="9"/>
  <c r="M31" i="9"/>
  <c r="N31" i="9"/>
  <c r="O31" i="9"/>
  <c r="A32" i="9"/>
  <c r="D32" i="9"/>
  <c r="E32" i="9"/>
  <c r="G32" i="9"/>
  <c r="H32" i="9"/>
  <c r="I32" i="9"/>
  <c r="J32" i="9"/>
  <c r="K32" i="9"/>
  <c r="L32" i="9"/>
  <c r="M32" i="9"/>
  <c r="N32" i="9"/>
  <c r="O32" i="9"/>
  <c r="A33" i="9"/>
  <c r="D33" i="9"/>
  <c r="E33" i="9"/>
  <c r="G33" i="9"/>
  <c r="H33" i="9"/>
  <c r="I33" i="9"/>
  <c r="J33" i="9"/>
  <c r="K33" i="9"/>
  <c r="L33" i="9"/>
  <c r="M33" i="9"/>
  <c r="N33" i="9"/>
  <c r="O33" i="9"/>
  <c r="A34" i="9"/>
  <c r="D34" i="9"/>
  <c r="E34" i="9"/>
  <c r="G34" i="9"/>
  <c r="H34" i="9"/>
  <c r="I34" i="9"/>
  <c r="J34" i="9"/>
  <c r="K34" i="9"/>
  <c r="L34" i="9"/>
  <c r="M34" i="9"/>
  <c r="N34" i="9"/>
  <c r="O34" i="9"/>
  <c r="A35" i="9"/>
  <c r="D35" i="9"/>
  <c r="E35" i="9"/>
  <c r="G35" i="9"/>
  <c r="H35" i="9"/>
  <c r="I35" i="9"/>
  <c r="J35" i="9"/>
  <c r="K35" i="9"/>
  <c r="L35" i="9"/>
  <c r="M35" i="9"/>
  <c r="N35" i="9"/>
  <c r="O35" i="9"/>
  <c r="A36" i="9"/>
  <c r="D36" i="9"/>
  <c r="E36" i="9"/>
  <c r="G36" i="9"/>
  <c r="H36" i="9"/>
  <c r="I36" i="9"/>
  <c r="J36" i="9"/>
  <c r="K36" i="9"/>
  <c r="L36" i="9"/>
  <c r="M36" i="9"/>
  <c r="N36" i="9"/>
  <c r="O36" i="9"/>
  <c r="A37" i="9"/>
  <c r="D37" i="9"/>
  <c r="E37" i="9"/>
  <c r="G37" i="9"/>
  <c r="H37" i="9"/>
  <c r="I37" i="9"/>
  <c r="J37" i="9"/>
  <c r="K37" i="9"/>
  <c r="L37" i="9"/>
  <c r="M37" i="9"/>
  <c r="N37" i="9"/>
  <c r="O37" i="9"/>
  <c r="A38" i="9"/>
  <c r="D38" i="9"/>
  <c r="E38" i="9"/>
  <c r="G38" i="9"/>
  <c r="H38" i="9"/>
  <c r="I38" i="9"/>
  <c r="J38" i="9"/>
  <c r="K38" i="9"/>
  <c r="L38" i="9"/>
  <c r="M38" i="9"/>
  <c r="N38" i="9"/>
  <c r="O38" i="9"/>
  <c r="A39" i="9"/>
  <c r="D39" i="9"/>
  <c r="E39" i="9"/>
  <c r="G39" i="9"/>
  <c r="H39" i="9"/>
  <c r="I39" i="9"/>
  <c r="J39" i="9"/>
  <c r="K39" i="9"/>
  <c r="L39" i="9"/>
  <c r="M39" i="9"/>
  <c r="N39" i="9"/>
  <c r="O39" i="9"/>
  <c r="A40" i="9"/>
  <c r="D40" i="9"/>
  <c r="E40" i="9"/>
  <c r="G40" i="9"/>
  <c r="H40" i="9"/>
  <c r="I40" i="9"/>
  <c r="J40" i="9"/>
  <c r="K40" i="9"/>
  <c r="L40" i="9"/>
  <c r="M40" i="9"/>
  <c r="N40" i="9"/>
  <c r="O40" i="9"/>
  <c r="A41" i="9"/>
  <c r="D41" i="9"/>
  <c r="E41" i="9"/>
  <c r="G41" i="9"/>
  <c r="H41" i="9"/>
  <c r="I41" i="9"/>
  <c r="J41" i="9"/>
  <c r="K41" i="9"/>
  <c r="L41" i="9"/>
  <c r="M41" i="9"/>
  <c r="N41" i="9"/>
  <c r="O41" i="9"/>
  <c r="A42" i="9"/>
  <c r="D42" i="9"/>
  <c r="E42" i="9"/>
  <c r="G42" i="9"/>
  <c r="H42" i="9"/>
  <c r="I42" i="9"/>
  <c r="J42" i="9"/>
  <c r="K42" i="9"/>
  <c r="L42" i="9"/>
  <c r="M42" i="9"/>
  <c r="N42" i="9"/>
  <c r="O42" i="9"/>
  <c r="D43" i="9"/>
  <c r="E43" i="9"/>
  <c r="G43" i="9"/>
  <c r="H43" i="9"/>
  <c r="I43" i="9"/>
  <c r="J43" i="9"/>
  <c r="K43" i="9"/>
  <c r="L43" i="9"/>
  <c r="M43" i="9"/>
  <c r="N43" i="9"/>
  <c r="O43" i="9"/>
  <c r="D46" i="9"/>
  <c r="E46" i="9"/>
  <c r="D48" i="9"/>
  <c r="E48" i="9"/>
  <c r="D50" i="9"/>
  <c r="E50" i="9"/>
  <c r="D51" i="9"/>
  <c r="E51" i="9"/>
  <c r="A52" i="9"/>
  <c r="D52" i="9"/>
  <c r="E52" i="9"/>
  <c r="A53" i="9"/>
  <c r="D53" i="9"/>
  <c r="E53" i="9"/>
  <c r="A54" i="9"/>
  <c r="D54" i="9"/>
  <c r="E54" i="9"/>
  <c r="A55" i="9"/>
  <c r="D55" i="9"/>
  <c r="E55" i="9"/>
  <c r="A56" i="9"/>
  <c r="D56" i="9"/>
  <c r="E56" i="9"/>
  <c r="A57" i="9"/>
  <c r="D57" i="9"/>
  <c r="E57" i="9"/>
  <c r="A58" i="9"/>
  <c r="D58" i="9"/>
  <c r="E58" i="9"/>
  <c r="A59" i="9"/>
  <c r="D59" i="9"/>
  <c r="E59" i="9"/>
  <c r="A3" i="7"/>
  <c r="D3" i="7"/>
  <c r="E3" i="7"/>
  <c r="F3" i="7"/>
  <c r="H3" i="7"/>
  <c r="G2" i="2"/>
  <c r="A2" i="2"/>
  <c r="G3" i="2"/>
  <c r="A3" i="2"/>
  <c r="G4" i="2"/>
  <c r="A4" i="2"/>
  <c r="G5" i="2"/>
  <c r="A5" i="2"/>
  <c r="G6" i="2"/>
  <c r="A6" i="2"/>
  <c r="G7" i="2"/>
  <c r="A7" i="2"/>
  <c r="G8" i="2"/>
  <c r="A8" i="2"/>
  <c r="G9" i="2"/>
  <c r="A9" i="2"/>
  <c r="I3" i="7"/>
  <c r="J3" i="7"/>
  <c r="N3" i="7"/>
  <c r="O3" i="7"/>
  <c r="P3" i="7"/>
  <c r="Q3" i="7"/>
  <c r="R3" i="7"/>
  <c r="U3" i="7"/>
  <c r="W3" i="7"/>
  <c r="Y3" i="7"/>
  <c r="A4" i="7"/>
  <c r="D4" i="7"/>
  <c r="E4" i="7"/>
  <c r="F4" i="7"/>
  <c r="H4" i="7"/>
  <c r="I4" i="7"/>
  <c r="J4" i="7"/>
  <c r="N4" i="7"/>
  <c r="O4" i="7"/>
  <c r="P4" i="7"/>
  <c r="Q4" i="7"/>
  <c r="R4" i="7"/>
  <c r="U4" i="7"/>
  <c r="W4" i="7"/>
  <c r="Y4" i="7"/>
  <c r="A5" i="7"/>
  <c r="D5" i="7"/>
  <c r="E5" i="7"/>
  <c r="F5" i="7"/>
  <c r="H5" i="7"/>
  <c r="I5" i="7"/>
  <c r="J5" i="7"/>
  <c r="N5" i="7"/>
  <c r="O5" i="7"/>
  <c r="P5" i="7"/>
  <c r="Q5" i="7"/>
  <c r="R5" i="7"/>
  <c r="U5" i="7"/>
  <c r="W5" i="7"/>
  <c r="Y5" i="7"/>
  <c r="A6" i="7"/>
  <c r="D6" i="7"/>
  <c r="E6" i="7"/>
  <c r="F6" i="7"/>
  <c r="H6" i="7"/>
  <c r="I6" i="7"/>
  <c r="J6" i="7"/>
  <c r="N6" i="7"/>
  <c r="O6" i="7"/>
  <c r="P6" i="7"/>
  <c r="Q6" i="7"/>
  <c r="R6" i="7"/>
  <c r="U6" i="7"/>
  <c r="W6" i="7"/>
  <c r="Y6" i="7"/>
  <c r="A7" i="7"/>
  <c r="D7" i="7"/>
  <c r="E7" i="7"/>
  <c r="F7" i="7"/>
  <c r="H7" i="7"/>
  <c r="I7" i="7"/>
  <c r="J7" i="7"/>
  <c r="N7" i="7"/>
  <c r="O7" i="7"/>
  <c r="P7" i="7"/>
  <c r="Q7" i="7"/>
  <c r="R7" i="7"/>
  <c r="U7" i="7"/>
  <c r="W7" i="7"/>
  <c r="Y7" i="7"/>
  <c r="A8" i="7"/>
  <c r="D8" i="7"/>
  <c r="E8" i="7"/>
  <c r="F8" i="7"/>
  <c r="H8" i="7"/>
  <c r="I8" i="7"/>
  <c r="J8" i="7"/>
  <c r="N8" i="7"/>
  <c r="O8" i="7"/>
  <c r="P8" i="7"/>
  <c r="Q8" i="7"/>
  <c r="R8" i="7"/>
  <c r="U8" i="7"/>
  <c r="W8" i="7"/>
  <c r="Y8" i="7"/>
  <c r="A9" i="7"/>
  <c r="D9" i="7"/>
  <c r="E9" i="7"/>
  <c r="F9" i="7"/>
  <c r="H9" i="7"/>
  <c r="I9" i="7"/>
  <c r="J9" i="7"/>
  <c r="N9" i="7"/>
  <c r="O9" i="7"/>
  <c r="P9" i="7"/>
  <c r="Q9" i="7"/>
  <c r="R9" i="7"/>
  <c r="U9" i="7"/>
  <c r="W9" i="7"/>
  <c r="Y9" i="7"/>
  <c r="A3" i="1"/>
  <c r="D3" i="1"/>
  <c r="E3" i="1"/>
  <c r="F3" i="1"/>
  <c r="H3" i="1"/>
  <c r="I3" i="1"/>
  <c r="J3" i="1"/>
  <c r="M3" i="1"/>
  <c r="N3" i="1"/>
  <c r="O3" i="1"/>
  <c r="P3" i="1"/>
  <c r="Q3" i="1"/>
  <c r="T3" i="1"/>
  <c r="V3" i="1"/>
  <c r="X3" i="1"/>
  <c r="AD3" i="1"/>
  <c r="AE3" i="1"/>
  <c r="AF3" i="1"/>
  <c r="AG3" i="1"/>
  <c r="AI3" i="1"/>
  <c r="A4" i="1"/>
  <c r="D4" i="1"/>
  <c r="E4" i="1"/>
  <c r="F4" i="1"/>
  <c r="H4" i="1"/>
  <c r="I4" i="1"/>
  <c r="J4" i="1"/>
  <c r="M4" i="1"/>
  <c r="N4" i="1"/>
  <c r="O4" i="1"/>
  <c r="P4" i="1"/>
  <c r="Q4" i="1"/>
  <c r="T4" i="1"/>
  <c r="V4" i="1"/>
  <c r="X4" i="1"/>
  <c r="AD4" i="1"/>
  <c r="AE4" i="1"/>
  <c r="AF4" i="1"/>
  <c r="AG4" i="1"/>
  <c r="AI4" i="1"/>
  <c r="AC5" i="1"/>
  <c r="A5" i="1"/>
  <c r="D5" i="1"/>
  <c r="E5" i="1"/>
  <c r="F5" i="1"/>
  <c r="H5" i="1"/>
  <c r="I5" i="1"/>
  <c r="J5" i="1"/>
  <c r="M5" i="1"/>
  <c r="N5" i="1"/>
  <c r="O5" i="1"/>
  <c r="P5" i="1"/>
  <c r="Q5" i="1"/>
  <c r="T5" i="1"/>
  <c r="V5" i="1"/>
  <c r="X5" i="1"/>
  <c r="AD5" i="1"/>
  <c r="AE5" i="1"/>
  <c r="AF5" i="1"/>
  <c r="AG5" i="1"/>
  <c r="AI5" i="1"/>
  <c r="A6" i="1"/>
  <c r="D6" i="1"/>
  <c r="E6" i="1"/>
  <c r="F6" i="1"/>
  <c r="H6" i="1"/>
  <c r="I6" i="1"/>
  <c r="J6" i="1"/>
  <c r="M6" i="1"/>
  <c r="N6" i="1"/>
  <c r="O6" i="1"/>
  <c r="P6" i="1"/>
  <c r="Q6" i="1"/>
  <c r="T6" i="1"/>
  <c r="V6" i="1"/>
  <c r="X6" i="1"/>
  <c r="AD6" i="1"/>
  <c r="AE6" i="1"/>
  <c r="AF6" i="1"/>
  <c r="AG6" i="1"/>
  <c r="AI6" i="1"/>
  <c r="A7" i="1"/>
  <c r="D7" i="1"/>
  <c r="E7" i="1"/>
  <c r="F7" i="1"/>
  <c r="H7" i="1"/>
  <c r="I7" i="1"/>
  <c r="J7" i="1"/>
  <c r="M7" i="1"/>
  <c r="N7" i="1"/>
  <c r="O7" i="1"/>
  <c r="P7" i="1"/>
  <c r="Q7" i="1"/>
  <c r="T7" i="1"/>
  <c r="V7" i="1"/>
  <c r="X7" i="1"/>
  <c r="AD7" i="1"/>
  <c r="AE7" i="1"/>
  <c r="AF7" i="1"/>
  <c r="AG7" i="1"/>
  <c r="AI7" i="1"/>
  <c r="A8" i="1"/>
  <c r="D8" i="1"/>
  <c r="E8" i="1"/>
  <c r="F8" i="1"/>
  <c r="H8" i="1"/>
  <c r="I8" i="1"/>
  <c r="J8" i="1"/>
  <c r="M8" i="1"/>
  <c r="N8" i="1"/>
  <c r="O8" i="1"/>
  <c r="P8" i="1"/>
  <c r="Q8" i="1"/>
  <c r="T8" i="1"/>
  <c r="V8" i="1"/>
  <c r="X8" i="1"/>
  <c r="AD8" i="1"/>
  <c r="AE8" i="1"/>
  <c r="AF8" i="1"/>
  <c r="AG8" i="1"/>
  <c r="AI8" i="1"/>
  <c r="A9" i="1"/>
  <c r="D9" i="1"/>
  <c r="E9" i="1"/>
  <c r="F9" i="1"/>
  <c r="H9" i="1"/>
  <c r="I9" i="1"/>
  <c r="J9" i="1"/>
  <c r="M9" i="1"/>
  <c r="N9" i="1"/>
  <c r="O9" i="1"/>
  <c r="P9" i="1"/>
  <c r="Q9" i="1"/>
  <c r="T9" i="1"/>
  <c r="V9" i="1"/>
  <c r="X9" i="1"/>
  <c r="AD9" i="1"/>
  <c r="AE9" i="1"/>
  <c r="AF9" i="1"/>
  <c r="AG9" i="1"/>
  <c r="AI9" i="1"/>
  <c r="AC10" i="1"/>
  <c r="A10" i="1"/>
  <c r="D10" i="1"/>
  <c r="E10" i="1"/>
  <c r="F10" i="1"/>
  <c r="H10" i="1"/>
  <c r="I10" i="1"/>
  <c r="J10" i="1"/>
  <c r="M10" i="1"/>
  <c r="N10" i="1"/>
  <c r="O10" i="1"/>
  <c r="P10" i="1"/>
  <c r="Q10" i="1"/>
  <c r="T10" i="1"/>
  <c r="V10" i="1"/>
  <c r="X10" i="1"/>
  <c r="AD10" i="1"/>
  <c r="AE10" i="1"/>
  <c r="AF10" i="1"/>
  <c r="AG10" i="1"/>
  <c r="AI10" i="1"/>
  <c r="A11" i="1"/>
  <c r="D11" i="1"/>
  <c r="E11" i="1"/>
  <c r="F11" i="1"/>
  <c r="H11" i="1"/>
  <c r="I11" i="1"/>
  <c r="J11" i="1"/>
  <c r="M11" i="1"/>
  <c r="N11" i="1"/>
  <c r="O11" i="1"/>
  <c r="P11" i="1"/>
  <c r="Q11" i="1"/>
  <c r="T11" i="1"/>
  <c r="V11" i="1"/>
  <c r="X11" i="1"/>
  <c r="AD11" i="1"/>
  <c r="AE11" i="1"/>
  <c r="AF11" i="1"/>
  <c r="AG11" i="1"/>
  <c r="AI11" i="1"/>
  <c r="H2" i="1"/>
  <c r="B8" i="2"/>
  <c r="D8" i="2"/>
  <c r="E8" i="2"/>
  <c r="H8" i="2"/>
  <c r="B9" i="2"/>
  <c r="D9" i="2"/>
  <c r="E9" i="2"/>
  <c r="H9" i="2"/>
  <c r="B4" i="2"/>
  <c r="D4" i="2"/>
  <c r="E4" i="2"/>
  <c r="H4" i="2"/>
  <c r="B5" i="2"/>
  <c r="D5" i="2"/>
  <c r="E5" i="2"/>
  <c r="H5" i="2"/>
  <c r="B7" i="2"/>
  <c r="D7" i="2"/>
  <c r="E7" i="2"/>
  <c r="H7" i="2"/>
  <c r="B3" i="2"/>
  <c r="D3" i="2"/>
  <c r="E3" i="2"/>
  <c r="H3" i="2"/>
  <c r="B6" i="2"/>
  <c r="D6" i="2"/>
  <c r="E6" i="2"/>
  <c r="H6" i="2"/>
  <c r="A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2" i="18"/>
  <c r="S18" i="18"/>
  <c r="C18" i="18"/>
  <c r="D18" i="18"/>
  <c r="S17" i="18"/>
  <c r="C17" i="18"/>
  <c r="D17" i="18"/>
  <c r="S16" i="18"/>
  <c r="C16" i="18"/>
  <c r="D16" i="18"/>
  <c r="S15" i="18"/>
  <c r="C15" i="18"/>
  <c r="D15" i="18"/>
  <c r="S14" i="18"/>
  <c r="C14" i="18"/>
  <c r="D14" i="18"/>
  <c r="S13" i="18"/>
  <c r="C13" i="18"/>
  <c r="D13" i="18"/>
  <c r="S12" i="18"/>
  <c r="C12" i="18"/>
  <c r="D12" i="18"/>
  <c r="S11" i="18"/>
  <c r="C11" i="18"/>
  <c r="D11" i="18"/>
  <c r="S10" i="18"/>
  <c r="C10" i="18"/>
  <c r="D10" i="18"/>
  <c r="S9" i="18"/>
  <c r="C9" i="18"/>
  <c r="D9" i="18"/>
  <c r="S8" i="18"/>
  <c r="C8" i="18"/>
  <c r="D8" i="18"/>
  <c r="S7" i="18"/>
  <c r="C7" i="18"/>
  <c r="D7" i="18"/>
  <c r="S6" i="18"/>
  <c r="C6" i="18"/>
  <c r="D6" i="18"/>
  <c r="S5" i="18"/>
  <c r="C5" i="18"/>
  <c r="D5" i="18"/>
  <c r="S4" i="18"/>
  <c r="C4" i="18"/>
  <c r="D4" i="18"/>
  <c r="S3" i="18"/>
  <c r="C3" i="18"/>
  <c r="D3" i="18"/>
  <c r="S2" i="18"/>
  <c r="C2" i="18"/>
  <c r="D2" i="18"/>
  <c r="I3" i="21"/>
  <c r="J3" i="21"/>
  <c r="A3" i="22"/>
  <c r="C3" i="22"/>
  <c r="D3" i="22"/>
  <c r="F3" i="22"/>
  <c r="G3" i="22"/>
  <c r="N3" i="22"/>
  <c r="C3" i="21"/>
  <c r="D3" i="21"/>
  <c r="F3" i="21"/>
  <c r="G3" i="21"/>
  <c r="W2" i="7"/>
  <c r="U2" i="7"/>
  <c r="V2" i="1"/>
  <c r="N2" i="22"/>
  <c r="G2" i="22"/>
  <c r="F2" i="22"/>
  <c r="D2" i="22"/>
  <c r="C2" i="22"/>
  <c r="A2" i="22"/>
  <c r="E13" i="16"/>
  <c r="I2" i="21"/>
  <c r="J2" i="21"/>
  <c r="G2" i="21"/>
  <c r="F2" i="21"/>
  <c r="D2" i="21"/>
  <c r="C2" i="21"/>
  <c r="E12" i="16"/>
  <c r="E11" i="16"/>
  <c r="E10" i="16"/>
  <c r="O2" i="9"/>
  <c r="N2" i="9"/>
  <c r="M2" i="9"/>
  <c r="L2" i="9"/>
  <c r="K2" i="9"/>
  <c r="J2" i="9"/>
  <c r="I2" i="9"/>
  <c r="H2" i="9"/>
  <c r="G2" i="9"/>
  <c r="E2" i="9"/>
  <c r="D2" i="9"/>
  <c r="E9" i="16"/>
  <c r="Y2" i="7"/>
  <c r="X2" i="1"/>
  <c r="R2" i="7"/>
  <c r="Q2" i="7"/>
  <c r="P2" i="7"/>
  <c r="O2" i="7"/>
  <c r="N2" i="7"/>
  <c r="AD2" i="1"/>
  <c r="AG2" i="1"/>
  <c r="AF2" i="1"/>
  <c r="AE2" i="1"/>
  <c r="Q2" i="1"/>
  <c r="P2" i="1"/>
  <c r="O2" i="1"/>
  <c r="N2" i="1"/>
  <c r="M2" i="1"/>
  <c r="M2" i="10"/>
  <c r="T2" i="10"/>
  <c r="V2" i="10"/>
  <c r="N2" i="10"/>
  <c r="P2" i="10"/>
  <c r="G2" i="10"/>
  <c r="I2" i="10"/>
  <c r="X2" i="10"/>
  <c r="W2" i="10"/>
  <c r="U2" i="10"/>
  <c r="Y2" i="10"/>
  <c r="R2" i="10"/>
  <c r="Q2" i="10"/>
  <c r="O2" i="10"/>
  <c r="S2" i="10"/>
  <c r="K2" i="10"/>
  <c r="J2" i="10"/>
  <c r="H2" i="10"/>
  <c r="L2" i="10"/>
  <c r="AI2" i="1"/>
  <c r="H2" i="7"/>
  <c r="J2" i="7"/>
  <c r="E8" i="16"/>
  <c r="E7" i="16"/>
  <c r="E6" i="16"/>
  <c r="E5" i="16"/>
  <c r="E4" i="16"/>
  <c r="E3" i="16"/>
  <c r="E2" i="16"/>
  <c r="A2" i="1"/>
  <c r="A2" i="9"/>
  <c r="A2" i="7"/>
  <c r="I2" i="7"/>
  <c r="D2" i="7"/>
  <c r="F2" i="7"/>
  <c r="E2" i="7"/>
  <c r="J2" i="1"/>
  <c r="I2" i="1"/>
  <c r="D2" i="2"/>
  <c r="E2" i="2"/>
  <c r="H2" i="2"/>
  <c r="D2" i="1"/>
  <c r="E2" i="1"/>
  <c r="F2" i="1"/>
  <c r="B2" i="2"/>
</calcChain>
</file>

<file path=xl/comments1.xml><?xml version="1.0" encoding="utf-8"?>
<comments xmlns="http://schemas.openxmlformats.org/spreadsheetml/2006/main">
  <authors>
    <author>加藤 雅大</author>
  </authors>
  <commentList>
    <comment ref="AP1" authorId="0">
      <text>
        <r>
          <rPr>
            <b/>
            <sz val="10"/>
            <color indexed="81"/>
            <rFont val="ＭＳ Ｐゴシック"/>
            <family val="2"/>
            <charset val="128"/>
          </rPr>
          <t>ドロップするユニットのスキルレベルです</t>
        </r>
      </text>
    </comment>
  </commentList>
</comments>
</file>

<file path=xl/comments2.xml><?xml version="1.0" encoding="utf-8"?>
<comments xmlns="http://schemas.openxmlformats.org/spreadsheetml/2006/main">
  <authors>
    <author>吉澤 曜祐</author>
  </authors>
  <commentList>
    <comment ref="L1" authorId="0">
      <text>
        <r>
          <rPr>
            <b/>
            <sz val="10"/>
            <color indexed="81"/>
            <rFont val="ＭＳ Ｐゴシック"/>
            <family val="2"/>
            <charset val="128"/>
          </rPr>
          <t>HPゲージの番号
※必ず2以上</t>
        </r>
      </text>
    </comment>
  </commentList>
</comments>
</file>

<file path=xl/comments3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F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H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I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L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M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N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O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4.xml><?xml version="1.0" encoding="utf-8"?>
<comments xmlns="http://schemas.openxmlformats.org/spreadsheetml/2006/main">
  <authors>
    <author>Linkedbrain 社用MacPC</author>
    <author>鷲見 政明</author>
    <author>吉澤 曜祐</author>
  </authors>
  <commentList>
    <comment ref="A1" authorId="0">
      <text>
        <r>
          <rPr>
            <b/>
            <sz val="10"/>
            <color indexed="81"/>
            <rFont val="ＭＳ Ｐゴシック"/>
            <family val="2"/>
            <charset val="128"/>
          </rPr>
          <t>Linkedbrain 社用MacPC:</t>
        </r>
        <r>
          <rPr>
            <sz val="10"/>
            <color indexed="81"/>
            <rFont val="ＭＳ Ｐゴシック"/>
            <family val="3"/>
            <charset val="128"/>
          </rPr>
          <t xml:space="preserve">
1. first_time が設定されていたら無条件で先制攻撃（初回ターンではなく、こちらの行動前に打ってきます）
2. invoke_times の回数分打ったら それ以上使わない（first_time で打った分は含まない）
3. hp_threshold が設定されていたら それを下回るまで使わない
4. invoke_rate の確率で発動
</t>
        </r>
      </text>
    </comment>
    <comment ref="B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最初のターンで必ず発動</t>
        </r>
      </text>
    </comment>
    <comment ref="C1" authorId="1">
      <text>
        <r>
          <rPr>
            <b/>
            <sz val="10"/>
            <color indexed="81"/>
            <rFont val="ＭＳ Ｐゴシック"/>
            <family val="2"/>
            <charset val="128"/>
          </rPr>
          <t>処理優先度を制御
・高いほど優先される
・同じ優先度のものは一つだけ発動</t>
        </r>
      </text>
    </comment>
    <comment ref="D1" authorId="1">
      <text>
        <r>
          <rPr>
            <b/>
            <sz val="10"/>
            <color indexed="81"/>
            <rFont val="ＭＳ Ｐゴシック"/>
            <family val="2"/>
            <charset val="128"/>
          </rPr>
          <t>発動確率</t>
        </r>
      </text>
    </comment>
    <comment ref="E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下回ったときに発動するHPの値(nullでHPに依存しない)</t>
        </r>
      </text>
    </comment>
    <comment ref="G1" authorId="1">
      <text>
        <r>
          <rPr>
            <b/>
            <sz val="10"/>
            <color indexed="81"/>
            <rFont val="ＭＳ Ｐゴシック"/>
            <family val="2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発動回数の上限(nullで上限無し)</t>
        </r>
      </text>
    </comment>
    <comment ref="H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指定した数値の倍数ターンで必ず発動
・null と 0 は無効</t>
        </r>
      </text>
    </comment>
    <comment ref="I1" authorId="2">
      <text>
        <r>
          <rPr>
            <b/>
            <sz val="10"/>
            <color indexed="81"/>
            <rFont val="ＭＳ Ｐゴシック"/>
            <family val="2"/>
            <charset val="128"/>
          </rPr>
          <t>吉澤 曜祐:</t>
        </r>
        <r>
          <rPr>
            <sz val="10"/>
            <color indexed="81"/>
            <rFont val="ＭＳ Ｐゴシック"/>
            <family val="3"/>
            <charset val="128"/>
          </rPr>
          <t xml:space="preserve">
指定した character_id のお供が死んだ時に発動
null:無効
0:全お供が対象</t>
        </r>
      </text>
    </comment>
    <comment ref="J1" authorId="1">
      <text>
        <r>
          <rPr>
            <b/>
            <sz val="10"/>
            <color indexed="81"/>
            <rFont val="ＭＳ Ｐゴシック"/>
            <family val="2"/>
            <charset val="128"/>
          </rPr>
          <t>[UNUSED]
システム側では未使用。</t>
        </r>
      </text>
    </comment>
  </commentList>
</comments>
</file>

<file path=xl/comments5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quest_id,stage_idの組に対して一意であること</t>
        </r>
      </text>
    </comment>
  </commentList>
</comments>
</file>

<file path=xl/comments6.xml><?xml version="1.0" encoding="utf-8"?>
<comments xmlns="http://schemas.openxmlformats.org/spreadsheetml/2006/main">
  <authors>
    <author>加藤 雅大</author>
  </authors>
  <commentList>
    <comment ref="E1" authorId="0">
      <text>
        <r>
          <rPr>
            <b/>
            <sz val="10"/>
            <color indexed="81"/>
            <rFont val="ＭＳ Ｐゴシック"/>
            <family val="2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実際に使う場合は不要な難易度を消し、stage_idに置き換えてください</t>
        </r>
      </text>
    </comment>
  </commentList>
</comments>
</file>

<file path=xl/sharedStrings.xml><?xml version="1.0" encoding="utf-8"?>
<sst xmlns="http://schemas.openxmlformats.org/spreadsheetml/2006/main" count="1219" uniqueCount="480">
  <si>
    <t>quest_id</t>
  </si>
  <si>
    <t>stage_id</t>
  </si>
  <si>
    <t>character_id</t>
  </si>
  <si>
    <t>level</t>
  </si>
  <si>
    <t>skill_set_id</t>
    <phoneticPr fontId="5"/>
  </si>
  <si>
    <t>fix_count</t>
  </si>
  <si>
    <t>incidence</t>
  </si>
  <si>
    <t>boss_flg</t>
  </si>
  <si>
    <t>speed</t>
  </si>
  <si>
    <t>drop_unit_id</t>
  </si>
  <si>
    <t>drop_unit_level</t>
  </si>
  <si>
    <t>drop_unit_rare</t>
  </si>
  <si>
    <t>drop_unit_rate</t>
  </si>
  <si>
    <t>floor_id</t>
  </si>
  <si>
    <t>total_size_min</t>
  </si>
  <si>
    <t>total_size_max</t>
  </si>
  <si>
    <t>name</t>
    <phoneticPr fontId="5"/>
  </si>
  <si>
    <t>rare</t>
    <phoneticPr fontId="5"/>
  </si>
  <si>
    <t>name</t>
    <phoneticPr fontId="5"/>
  </si>
  <si>
    <t>floor_id</t>
    <phoneticPr fontId="5"/>
  </si>
  <si>
    <t>name</t>
    <phoneticPr fontId="5"/>
  </si>
  <si>
    <t>name</t>
    <phoneticPr fontId="5"/>
  </si>
  <si>
    <t>skill_set_id</t>
  </si>
  <si>
    <t>drop_label</t>
    <phoneticPr fontId="5"/>
  </si>
  <si>
    <t>color</t>
    <phoneticPr fontId="5"/>
  </si>
  <si>
    <t>size</t>
    <phoneticPr fontId="5"/>
  </si>
  <si>
    <t>character_main_tribe_id</t>
    <phoneticPr fontId="5"/>
  </si>
  <si>
    <t>drop_label</t>
    <phoneticPr fontId="7"/>
  </si>
  <si>
    <t>temp_stage</t>
    <phoneticPr fontId="5"/>
  </si>
  <si>
    <t>temp_habitats</t>
    <phoneticPr fontId="5"/>
  </si>
  <si>
    <t>temp_floor</t>
    <phoneticPr fontId="5"/>
  </si>
  <si>
    <t>スキル</t>
    <phoneticPr fontId="5"/>
  </si>
  <si>
    <t>temp_stage</t>
    <phoneticPr fontId="5"/>
  </si>
  <si>
    <t>位置付け</t>
    <rPh sb="0" eb="3">
      <t>イチヅ</t>
    </rPh>
    <phoneticPr fontId="5"/>
  </si>
  <si>
    <t>name</t>
    <phoneticPr fontId="5"/>
  </si>
  <si>
    <t>temp_floor</t>
    <phoneticPr fontId="5"/>
  </si>
  <si>
    <t>status</t>
    <phoneticPr fontId="5"/>
  </si>
  <si>
    <t>hp_plus</t>
  </si>
  <si>
    <t>hp_plus</t>
    <phoneticPr fontId="5"/>
  </si>
  <si>
    <t>attack_plus</t>
  </si>
  <si>
    <t>attack_plus</t>
    <phoneticPr fontId="5"/>
  </si>
  <si>
    <t>defense_plus</t>
  </si>
  <si>
    <t>defense_plus</t>
    <phoneticPr fontId="5"/>
  </si>
  <si>
    <t>heal_plus</t>
  </si>
  <si>
    <t>heal_plus</t>
    <phoneticPr fontId="5"/>
  </si>
  <si>
    <t>bug</t>
  </si>
  <si>
    <t>bug</t>
    <phoneticPr fontId="5"/>
  </si>
  <si>
    <t>hp_coefficient</t>
  </si>
  <si>
    <t>hp_coefficient</t>
    <phoneticPr fontId="5"/>
  </si>
  <si>
    <t>attack_coefficient</t>
  </si>
  <si>
    <t>attack_coefficient</t>
    <phoneticPr fontId="5"/>
  </si>
  <si>
    <t>defense_correction</t>
  </si>
  <si>
    <t>defense_correction</t>
    <phoneticPr fontId="5"/>
  </si>
  <si>
    <t>null</t>
    <phoneticPr fontId="5"/>
  </si>
  <si>
    <t>seq_no</t>
    <phoneticPr fontId="5"/>
  </si>
  <si>
    <t>state_no</t>
    <phoneticPr fontId="5"/>
  </si>
  <si>
    <t>character_id</t>
    <phoneticPr fontId="5"/>
  </si>
  <si>
    <t>level</t>
    <phoneticPr fontId="5"/>
  </si>
  <si>
    <t>speed</t>
    <phoneticPr fontId="5"/>
  </si>
  <si>
    <t>skill_set_id</t>
    <phoneticPr fontId="5"/>
  </si>
  <si>
    <t>temp_id</t>
    <phoneticPr fontId="5"/>
  </si>
  <si>
    <t>skill_set_id</t>
    <phoneticPr fontId="7"/>
  </si>
  <si>
    <t>skill_id</t>
    <phoneticPr fontId="7"/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</si>
  <si>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</si>
  <si>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</si>
  <si>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</si>
  <si>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</si>
  <si>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</si>
  <si>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priority</t>
    <phoneticPr fontId="5"/>
  </si>
  <si>
    <t>invoke_rate</t>
    <phoneticPr fontId="5"/>
  </si>
  <si>
    <t>hp_threshold</t>
    <phoneticPr fontId="5"/>
  </si>
  <si>
    <t>hp_termination</t>
    <phoneticPr fontId="5"/>
  </si>
  <si>
    <t>invoke_times</t>
    <phoneticPr fontId="5"/>
  </si>
  <si>
    <t>every_time_count</t>
    <phoneticPr fontId="5"/>
  </si>
  <si>
    <t>neighbor_dead_id</t>
    <phoneticPr fontId="5"/>
  </si>
  <si>
    <t>invoke_weight</t>
    <phoneticPr fontId="5"/>
  </si>
  <si>
    <t>作成者</t>
    <rPh sb="0" eb="3">
      <t>サクセイシャ</t>
    </rPh>
    <phoneticPr fontId="5"/>
  </si>
  <si>
    <t>更新日</t>
    <rPh sb="0" eb="3">
      <t>コウシンニチジ</t>
    </rPh>
    <phoneticPr fontId="5"/>
  </si>
  <si>
    <t>備考（使用箇所）</t>
    <rPh sb="0" eb="2">
      <t>ビコウ</t>
    </rPh>
    <rPh sb="3" eb="7">
      <t>シヨウカショ</t>
    </rPh>
    <phoneticPr fontId="5"/>
  </si>
  <si>
    <t>enemy_skill_id</t>
  </si>
  <si>
    <t>effect_param</t>
    <phoneticPr fontId="5"/>
  </si>
  <si>
    <t>valid_flg</t>
  </si>
  <si>
    <t>name</t>
    <phoneticPr fontId="7"/>
  </si>
  <si>
    <t>comment</t>
    <phoneticPr fontId="7"/>
  </si>
  <si>
    <t>skill_trigger_id</t>
    <phoneticPr fontId="7"/>
  </si>
  <si>
    <t>first_time</t>
    <phoneticPr fontId="5"/>
  </si>
  <si>
    <t>priority</t>
    <phoneticPr fontId="5"/>
  </si>
  <si>
    <t>invoke_rate</t>
    <phoneticPr fontId="5"/>
  </si>
  <si>
    <t>重複チェック</t>
    <rPh sb="0" eb="2">
      <t>チョウフク</t>
    </rPh>
    <phoneticPr fontId="5"/>
  </si>
  <si>
    <t>null</t>
    <phoneticPr fontId="5"/>
  </si>
  <si>
    <t>null</t>
    <phoneticPr fontId="5"/>
  </si>
  <si>
    <t>enemy_skills</t>
    <phoneticPr fontId="5"/>
  </si>
  <si>
    <t>language</t>
  </si>
  <si>
    <t>name</t>
  </si>
  <si>
    <t>comment</t>
  </si>
  <si>
    <t>skill_trigger_id</t>
  </si>
  <si>
    <t>first_time</t>
  </si>
  <si>
    <t>invoke_rate</t>
  </si>
  <si>
    <t>hp_threshold</t>
  </si>
  <si>
    <t>invoke_times</t>
  </si>
  <si>
    <t>skill_id</t>
  </si>
  <si>
    <t>接頭語</t>
    <rPh sb="0" eb="3">
      <t>セットウゴ</t>
    </rPh>
    <phoneticPr fontId="5"/>
  </si>
  <si>
    <t>識別子</t>
    <rPh sb="0" eb="3">
      <t>シキベツシ</t>
    </rPh>
    <phoneticPr fontId="5"/>
  </si>
  <si>
    <t>形式</t>
    <rPh sb="0" eb="2">
      <t>ケイシキ</t>
    </rPh>
    <phoneticPr fontId="5"/>
  </si>
  <si>
    <t>出力ファイル名</t>
    <rPh sb="0" eb="2">
      <t>シュツリョク</t>
    </rPh>
    <rPh sb="6" eb="7">
      <t>メイ</t>
    </rPh>
    <phoneticPr fontId="5"/>
  </si>
  <si>
    <t>入力シート名</t>
    <rPh sb="0" eb="2">
      <t>ニュウリョク</t>
    </rPh>
    <rPh sb="5" eb="6">
      <t>メイ</t>
    </rPh>
    <phoneticPr fontId="5"/>
  </si>
  <si>
    <t>出力データ</t>
    <rPh sb="0" eb="2">
      <t>シュツリョク</t>
    </rPh>
    <phoneticPr fontId="5"/>
  </si>
  <si>
    <t>floors_</t>
    <phoneticPr fontId="5"/>
  </si>
  <si>
    <t>.tmp</t>
    <phoneticPr fontId="5"/>
  </si>
  <si>
    <t>floors</t>
    <phoneticPr fontId="5"/>
  </si>
  <si>
    <t>enemy_habitats_</t>
    <phoneticPr fontId="5"/>
  </si>
  <si>
    <t>enemy_habitats</t>
    <phoneticPr fontId="5"/>
  </si>
  <si>
    <t>enemy_habitat_S_</t>
    <phoneticPr fontId="5"/>
  </si>
  <si>
    <t>enemy_habitat_S</t>
    <phoneticPr fontId="5"/>
  </si>
  <si>
    <t>enemy_skill_sets_</t>
    <phoneticPr fontId="5"/>
  </si>
  <si>
    <t>enemy_skill_sets</t>
    <phoneticPr fontId="5"/>
  </si>
  <si>
    <t>enemy_skills_tmp_</t>
    <phoneticPr fontId="5"/>
  </si>
  <si>
    <t>.tmp</t>
    <phoneticPr fontId="5"/>
  </si>
  <si>
    <t>enemy_skills_i18n_</t>
    <phoneticPr fontId="5"/>
  </si>
  <si>
    <t>enemy_skills</t>
    <phoneticPr fontId="5"/>
  </si>
  <si>
    <t>enemy_skill_triggers_</t>
    <phoneticPr fontId="5"/>
  </si>
  <si>
    <t>.tmp</t>
    <phoneticPr fontId="5"/>
  </si>
  <si>
    <t>enemy_skill_triggers</t>
    <phoneticPr fontId="5"/>
  </si>
  <si>
    <t>hp_termination</t>
    <phoneticPr fontId="5"/>
  </si>
  <si>
    <t>invoke_weight</t>
    <phoneticPr fontId="5"/>
  </si>
  <si>
    <t>every_time_count</t>
    <phoneticPr fontId="5"/>
  </si>
  <si>
    <t>neighbor_dead_id</t>
    <phoneticPr fontId="5"/>
  </si>
  <si>
    <t>language</t>
    <phoneticPr fontId="5"/>
  </si>
  <si>
    <t>ja</t>
    <phoneticPr fontId="5"/>
  </si>
  <si>
    <t>skill_set_id</t>
    <phoneticPr fontId="5"/>
  </si>
  <si>
    <t>スキル</t>
    <phoneticPr fontId="5"/>
  </si>
  <si>
    <t>出力flg</t>
    <rPh sb="0" eb="2">
      <t>シュツリョク</t>
    </rPh>
    <phoneticPr fontId="5"/>
  </si>
  <si>
    <t>中間文字列１</t>
    <rPh sb="0" eb="2">
      <t>チュウカン</t>
    </rPh>
    <rPh sb="2" eb="5">
      <t>モジレツ</t>
    </rPh>
    <phoneticPr fontId="5"/>
  </si>
  <si>
    <t>効果１文字列</t>
    <rPh sb="0" eb="2">
      <t>コウカ</t>
    </rPh>
    <rPh sb="3" eb="6">
      <t>モジレツ</t>
    </rPh>
    <phoneticPr fontId="5"/>
  </si>
  <si>
    <t>効果１簡易デコード</t>
    <rPh sb="0" eb="2">
      <t>コウカ</t>
    </rPh>
    <rPh sb="3" eb="5">
      <t>カンイ</t>
    </rPh>
    <phoneticPr fontId="5"/>
  </si>
  <si>
    <t>効果２文字列</t>
    <rPh sb="0" eb="2">
      <t>コウカ</t>
    </rPh>
    <rPh sb="3" eb="6">
      <t>モジレツ</t>
    </rPh>
    <phoneticPr fontId="5"/>
  </si>
  <si>
    <t>効果２簡易デコード</t>
    <rPh sb="0" eb="2">
      <t>コウカ</t>
    </rPh>
    <rPh sb="3" eb="5">
      <t>カンイ</t>
    </rPh>
    <phoneticPr fontId="5"/>
  </si>
  <si>
    <t>効果３文字列</t>
    <rPh sb="0" eb="2">
      <t>コウカ</t>
    </rPh>
    <rPh sb="3" eb="6">
      <t>モジレツ</t>
    </rPh>
    <phoneticPr fontId="5"/>
  </si>
  <si>
    <t>効果３簡易デコード</t>
    <rPh sb="0" eb="2">
      <t>コウカ</t>
    </rPh>
    <rPh sb="3" eb="5">
      <t>カンイ</t>
    </rPh>
    <phoneticPr fontId="5"/>
  </si>
  <si>
    <t>効果１efect位置</t>
    <rPh sb="0" eb="2">
      <t>コウカ</t>
    </rPh>
    <rPh sb="8" eb="10">
      <t>イチ</t>
    </rPh>
    <phoneticPr fontId="5"/>
  </si>
  <si>
    <t>効果１target位置</t>
    <rPh sb="0" eb="2">
      <t>コウカ</t>
    </rPh>
    <rPh sb="9" eb="11">
      <t>イチ</t>
    </rPh>
    <phoneticPr fontId="5"/>
  </si>
  <si>
    <t>効果1終了位置</t>
    <rPh sb="0" eb="2">
      <t>コウカ</t>
    </rPh>
    <rPh sb="3" eb="5">
      <t>シュウリョウ</t>
    </rPh>
    <rPh sb="5" eb="7">
      <t>イチ</t>
    </rPh>
    <phoneticPr fontId="5"/>
  </si>
  <si>
    <t>効果1target終了位置</t>
    <rPh sb="0" eb="2">
      <t>コウカ</t>
    </rPh>
    <rPh sb="9" eb="11">
      <t>シュウリョウ</t>
    </rPh>
    <rPh sb="11" eb="13">
      <t>イチ</t>
    </rPh>
    <phoneticPr fontId="5"/>
  </si>
  <si>
    <t>効果2efect位置</t>
    <rPh sb="0" eb="2">
      <t>コウカ</t>
    </rPh>
    <rPh sb="8" eb="10">
      <t>イチ</t>
    </rPh>
    <phoneticPr fontId="5"/>
  </si>
  <si>
    <t>効果2終了位置</t>
    <rPh sb="0" eb="2">
      <t>コウカ</t>
    </rPh>
    <rPh sb="3" eb="5">
      <t>シュウリョウ</t>
    </rPh>
    <rPh sb="5" eb="7">
      <t>イチ</t>
    </rPh>
    <phoneticPr fontId="5"/>
  </si>
  <si>
    <t>効果2target位置</t>
    <rPh sb="0" eb="2">
      <t>コウカ</t>
    </rPh>
    <rPh sb="9" eb="11">
      <t>イチ</t>
    </rPh>
    <phoneticPr fontId="5"/>
  </si>
  <si>
    <t>効果2target終了位置</t>
    <rPh sb="0" eb="2">
      <t>コウカ</t>
    </rPh>
    <rPh sb="9" eb="11">
      <t>シュウリョウ</t>
    </rPh>
    <rPh sb="11" eb="13">
      <t>イチ</t>
    </rPh>
    <phoneticPr fontId="5"/>
  </si>
  <si>
    <t>効果3efect位置</t>
    <rPh sb="0" eb="2">
      <t>コウカ</t>
    </rPh>
    <rPh sb="8" eb="10">
      <t>イチ</t>
    </rPh>
    <phoneticPr fontId="5"/>
  </si>
  <si>
    <t>効果3終了位置</t>
    <rPh sb="0" eb="2">
      <t>コウカ</t>
    </rPh>
    <rPh sb="3" eb="5">
      <t>シュウリョウ</t>
    </rPh>
    <rPh sb="5" eb="7">
      <t>イチ</t>
    </rPh>
    <phoneticPr fontId="5"/>
  </si>
  <si>
    <t>効果3target位置</t>
    <rPh sb="0" eb="2">
      <t>コウカ</t>
    </rPh>
    <rPh sb="9" eb="11">
      <t>イチ</t>
    </rPh>
    <phoneticPr fontId="5"/>
  </si>
  <si>
    <t>効果3target終了位置</t>
    <rPh sb="0" eb="2">
      <t>コウカ</t>
    </rPh>
    <rPh sb="9" eb="11">
      <t>シュウリョウ</t>
    </rPh>
    <rPh sb="11" eb="13">
      <t>イチ</t>
    </rPh>
    <phoneticPr fontId="5"/>
  </si>
  <si>
    <t>quest_id</t>
    <phoneticPr fontId="5"/>
  </si>
  <si>
    <t>stage_id</t>
    <phoneticPr fontId="5"/>
  </si>
  <si>
    <t>temp_stage</t>
    <phoneticPr fontId="7"/>
  </si>
  <si>
    <t>stage_target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</si>
  <si>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</si>
  <si>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</si>
  <si>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</si>
  <si>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</si>
  <si>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</si>
  <si>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</si>
  <si>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</si>
  <si>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</si>
  <si>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</si>
  <si>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</si>
  <si>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</si>
  <si>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</si>
  <si>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</si>
  <si>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</si>
  <si>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bit</t>
  </si>
  <si>
    <t>2015-03-27 00:00:00</t>
  </si>
  <si>
    <t>2970-01-01 09:00:00</t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</si>
  <si>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</si>
  <si>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bugbonuses</t>
    <phoneticPr fontId="5"/>
  </si>
  <si>
    <t>stage_id</t>
    <phoneticPr fontId="5"/>
  </si>
  <si>
    <t>stage_target</t>
    <phoneticPr fontId="5"/>
  </si>
  <si>
    <t>bonus_id</t>
    <phoneticPr fontId="5"/>
  </si>
  <si>
    <t>bonus_type</t>
    <phoneticPr fontId="5"/>
  </si>
  <si>
    <t>stage_bug_bonuses_</t>
    <phoneticPr fontId="5"/>
  </si>
  <si>
    <t>skill_level</t>
    <phoneticPr fontId="5"/>
  </si>
  <si>
    <t>skill_level</t>
    <phoneticPr fontId="5"/>
  </si>
  <si>
    <r>
      <t>.</t>
    </r>
    <r>
      <rPr>
        <sz val="12"/>
        <color theme="1"/>
        <rFont val="ＭＳ Ｐゴシック"/>
        <family val="2"/>
        <charset val="128"/>
        <scheme val="minor"/>
      </rPr>
      <t>tmp</t>
    </r>
    <phoneticPr fontId="5"/>
  </si>
  <si>
    <t>quest_id</t>
    <phoneticPr fontId="5"/>
  </si>
  <si>
    <t>hint_id</t>
    <phoneticPr fontId="5"/>
  </si>
  <si>
    <t>floor_id</t>
    <phoneticPr fontId="5"/>
  </si>
  <si>
    <t>hint_type</t>
    <phoneticPr fontId="5"/>
  </si>
  <si>
    <t>hint</t>
    <phoneticPr fontId="5"/>
  </si>
  <si>
    <t>title</t>
    <phoneticPr fontId="5"/>
  </si>
  <si>
    <t>hint_type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</si>
  <si>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</si>
  <si>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</si>
  <si>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</si>
  <si>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</si>
  <si>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floor_id</t>
    <phoneticPr fontId="5"/>
  </si>
  <si>
    <t>tmp_hint_id</t>
    <phoneticPr fontId="5"/>
  </si>
  <si>
    <t>hint_id</t>
    <phoneticPr fontId="5"/>
  </si>
  <si>
    <t>filename</t>
    <phoneticPr fontId="5"/>
  </si>
  <si>
    <t>failure</t>
  </si>
  <si>
    <t>ja</t>
    <phoneticPr fontId="5"/>
  </si>
  <si>
    <t>攻略のヒント</t>
    <rPh sb="0" eb="2">
      <t>コウリャク</t>
    </rPh>
    <phoneticPr fontId="5"/>
  </si>
  <si>
    <t>NULL</t>
    <phoneticPr fontId="5"/>
  </si>
  <si>
    <t>stage_hints_data_c_</t>
    <phoneticPr fontId="5"/>
  </si>
  <si>
    <t>stage_hints_data_f_</t>
    <phoneticPr fontId="5"/>
  </si>
  <si>
    <r>
      <t>stage_hints_i18n</t>
    </r>
    <r>
      <rPr>
        <sz val="12"/>
        <color theme="1"/>
        <rFont val="ＭＳ Ｐゴシック"/>
        <family val="2"/>
        <charset val="128"/>
        <scheme val="minor"/>
      </rPr>
      <t>_</t>
    </r>
    <phoneticPr fontId="5"/>
  </si>
  <si>
    <t>hint_id</t>
    <phoneticPr fontId="5"/>
  </si>
  <si>
    <t>language</t>
    <phoneticPr fontId="5"/>
  </si>
  <si>
    <t>hint</t>
    <phoneticPr fontId="5"/>
  </si>
  <si>
    <t>filename</t>
  </si>
  <si>
    <t>title</t>
    <phoneticPr fontId="5"/>
  </si>
  <si>
    <r>
      <t>stage_hints</t>
    </r>
    <r>
      <rPr>
        <sz val="12"/>
        <color theme="1"/>
        <rFont val="ＭＳ Ｐゴシック"/>
        <family val="2"/>
        <charset val="128"/>
        <scheme val="minor"/>
      </rPr>
      <t>_complete</t>
    </r>
    <phoneticPr fontId="5"/>
  </si>
  <si>
    <t>stage_hints_failure</t>
    <phoneticPr fontId="5"/>
  </si>
  <si>
    <t>stage_hints_failure</t>
    <phoneticPr fontId="5"/>
  </si>
  <si>
    <t>temp_id</t>
    <phoneticPr fontId="5"/>
  </si>
  <si>
    <t>quest_id</t>
    <phoneticPr fontId="5"/>
  </si>
  <si>
    <t>name</t>
    <phoneticPr fontId="5"/>
  </si>
  <si>
    <t>stage_id</t>
    <phoneticPr fontId="5"/>
  </si>
  <si>
    <t>name</t>
    <phoneticPr fontId="5"/>
  </si>
  <si>
    <t>stage_target</t>
    <phoneticPr fontId="5"/>
  </si>
  <si>
    <t>bonus_category</t>
    <phoneticPr fontId="5"/>
  </si>
  <si>
    <t>bonus_id</t>
    <phoneticPr fontId="5"/>
  </si>
  <si>
    <t>weight</t>
    <phoneticPr fontId="5"/>
  </si>
  <si>
    <t>bonus_type</t>
    <phoneticPr fontId="5"/>
  </si>
  <si>
    <t>bonus_count</t>
    <phoneticPr fontId="5"/>
  </si>
  <si>
    <t>skill_level</t>
    <phoneticPr fontId="5"/>
  </si>
  <si>
    <t>definite_start_date</t>
    <phoneticPr fontId="5"/>
  </si>
  <si>
    <t>definite_end_date</t>
    <phoneticPr fontId="5"/>
  </si>
  <si>
    <t>everyone</t>
    <phoneticPr fontId="5"/>
  </si>
  <si>
    <t>unit</t>
    <phoneticPr fontId="5"/>
  </si>
  <si>
    <t>2016-5-27 0:00:00</t>
    <phoneticPr fontId="5"/>
  </si>
  <si>
    <t>2970-01-01 09:00:00</t>
    <phoneticPr fontId="5"/>
  </si>
  <si>
    <t>no_continue</t>
    <phoneticPr fontId="5"/>
  </si>
  <si>
    <t>stage_bonuses</t>
    <phoneticPr fontId="5"/>
  </si>
  <si>
    <t>.tmp</t>
    <phoneticPr fontId="5"/>
  </si>
  <si>
    <t>quest_id</t>
    <phoneticPr fontId="5"/>
  </si>
  <si>
    <t>stage_id</t>
    <phoneticPr fontId="5"/>
  </si>
  <si>
    <t>stage_target</t>
    <phoneticPr fontId="5"/>
  </si>
  <si>
    <t>bonus_category</t>
    <phoneticPr fontId="5"/>
  </si>
  <si>
    <t>bonus_id</t>
    <phoneticPr fontId="5"/>
  </si>
  <si>
    <t>bonus_type</t>
    <phoneticPr fontId="5"/>
  </si>
  <si>
    <t>bonus_value</t>
    <phoneticPr fontId="5"/>
  </si>
  <si>
    <t>bonus_count</t>
    <phoneticPr fontId="5"/>
  </si>
  <si>
    <t>level</t>
    <phoneticPr fontId="5"/>
  </si>
  <si>
    <t>skill_level</t>
    <phoneticPr fontId="5"/>
  </si>
  <si>
    <t>hp_plus</t>
    <phoneticPr fontId="5"/>
  </si>
  <si>
    <t>attack_plus</t>
    <phoneticPr fontId="5"/>
  </si>
  <si>
    <t>defense_plus</t>
    <phoneticPr fontId="5"/>
  </si>
  <si>
    <t>heal_plus</t>
    <phoneticPr fontId="5"/>
  </si>
  <si>
    <t>bug</t>
    <phoneticPr fontId="5"/>
  </si>
  <si>
    <t>weight</t>
    <phoneticPr fontId="5"/>
  </si>
  <si>
    <t>definite_start_date</t>
    <phoneticPr fontId="5"/>
  </si>
  <si>
    <t>definite_end_date</t>
    <phoneticPr fontId="5"/>
  </si>
  <si>
    <t>stage_bonuses_</t>
    <phoneticPr fontId="5"/>
  </si>
  <si>
    <t>hp</t>
    <phoneticPr fontId="5"/>
  </si>
  <si>
    <t>attack</t>
    <phoneticPr fontId="5"/>
  </si>
  <si>
    <t>full_member</t>
    <phoneticPr fontId="5"/>
  </si>
  <si>
    <t>link</t>
  </si>
  <si>
    <t>null</t>
    <phoneticPr fontId="5"/>
  </si>
  <si>
    <t>unit</t>
  </si>
  <si>
    <t>1Fパールヴァティ開幕</t>
    <rPh sb="9" eb="11">
      <t>カイマク</t>
    </rPh>
    <phoneticPr fontId="5"/>
  </si>
  <si>
    <t>１Fパールヴァティ撤退</t>
    <rPh sb="9" eb="11">
      <t>テッタイ</t>
    </rPh>
    <phoneticPr fontId="5"/>
  </si>
  <si>
    <t>１Fヴリトラ</t>
    <phoneticPr fontId="5"/>
  </si>
  <si>
    <t>１Fヴリトラ２G</t>
    <phoneticPr fontId="5"/>
  </si>
  <si>
    <t>１Fヴリトラ２Gアンノウンキラー</t>
    <phoneticPr fontId="5"/>
  </si>
  <si>
    <t>２Fカーリー</t>
    <phoneticPr fontId="5"/>
  </si>
  <si>
    <t>２Fカーリー撤退時</t>
    <rPh sb="6" eb="8">
      <t>テッタイ</t>
    </rPh>
    <rPh sb="8" eb="9">
      <t>ジ</t>
    </rPh>
    <phoneticPr fontId="5"/>
  </si>
  <si>
    <t>３Fエレキポット</t>
    <phoneticPr fontId="5"/>
  </si>
  <si>
    <t>３Fパールヴァティ</t>
    <phoneticPr fontId="5"/>
  </si>
  <si>
    <t>３Fドゥルガー</t>
    <phoneticPr fontId="5"/>
  </si>
  <si>
    <t>４Fカーリー１G</t>
    <phoneticPr fontId="5"/>
  </si>
  <si>
    <t>４Fカーリー２G</t>
    <phoneticPr fontId="5"/>
  </si>
  <si>
    <t>１Fパールヴァティ</t>
    <phoneticPr fontId="5"/>
  </si>
  <si>
    <t>１Fヴリトラ２G開幕</t>
    <rPh sb="8" eb="10">
      <t>カイマク</t>
    </rPh>
    <phoneticPr fontId="5"/>
  </si>
  <si>
    <t>２Fカーリー開幕通常</t>
    <rPh sb="6" eb="8">
      <t>カイマク</t>
    </rPh>
    <rPh sb="8" eb="10">
      <t>ツウジョウ</t>
    </rPh>
    <phoneticPr fontId="5"/>
  </si>
  <si>
    <t>2回連続攻撃</t>
    <phoneticPr fontId="5"/>
  </si>
  <si>
    <t>全体攻撃</t>
    <phoneticPr fontId="5"/>
  </si>
  <si>
    <t>ハートパネルを緑パネルに変換</t>
    <phoneticPr fontId="5"/>
  </si>
  <si>
    <t>…へぇ…あくまでも邪魔、するんですね…ドゥルガーさん</t>
    <phoneticPr fontId="5"/>
  </si>
  <si>
    <t>…パールヴァティ……さん…は…私が…消去…してあげます…</t>
    <phoneticPr fontId="5"/>
  </si>
  <si>
    <t>[effect:enemy_message, val1:1.4, val2:2.4]</t>
    <phoneticPr fontId="5"/>
  </si>
  <si>
    <t>「カーリーとの連絡が途絶えちゃったし
直接会えると良いのだけど…」</t>
    <rPh sb="7" eb="9">
      <t>レンラク</t>
    </rPh>
    <rPh sb="10" eb="12">
      <t>トダエマシタ</t>
    </rPh>
    <rPh sb="19" eb="21">
      <t>チョクセツ</t>
    </rPh>
    <rPh sb="21" eb="22">
      <t>aeru</t>
    </rPh>
    <rPh sb="25" eb="26">
      <t>ヨイ</t>
    </rPh>
    <phoneticPr fontId="5"/>
  </si>
  <si>
    <t>…また…後で…会いましょう？</t>
    <phoneticPr fontId="5"/>
  </si>
  <si>
    <t>私も…参加しちゃうわ…うふふ</t>
    <rPh sb="0" eb="1">
      <t>ワタシモ</t>
    </rPh>
    <rPh sb="3" eb="5">
      <t>サンカ</t>
    </rPh>
    <phoneticPr fontId="5"/>
  </si>
  <si>
    <t>１Fヴリトラがパールヴァティを攻撃</t>
    <phoneticPr fontId="5"/>
  </si>
  <si>
    <t>２Fカーリー開幕パールヴァティ</t>
    <rPh sb="6" eb="8">
      <t>カイマク</t>
    </rPh>
    <phoneticPr fontId="5"/>
  </si>
  <si>
    <t>２Fカーリー開幕ドゥルガー</t>
    <rPh sb="6" eb="8">
      <t>カイマク</t>
    </rPh>
    <phoneticPr fontId="5"/>
  </si>
  <si>
    <t>２Fカーリー開幕シヴァ</t>
    <rPh sb="6" eb="8">
      <t>カイマク</t>
    </rPh>
    <phoneticPr fontId="5"/>
  </si>
  <si>
    <t>２Fカーリー開幕カーマ</t>
    <rPh sb="6" eb="8">
      <t>カイマク</t>
    </rPh>
    <phoneticPr fontId="5"/>
  </si>
  <si>
    <t>種族Unknownに大ダメージの全体攻撃</t>
    <rPh sb="0" eb="2">
      <t>シュゾク</t>
    </rPh>
    <rPh sb="10" eb="11">
      <t>ダイダメージ</t>
    </rPh>
    <rPh sb="16" eb="20">
      <t>ゼンタイコウゲキ</t>
    </rPh>
    <phoneticPr fontId="5"/>
  </si>
  <si>
    <t>ハートパネルは50％の確率で
お邪魔パネルに変換されてドロップする！</t>
    <phoneticPr fontId="5"/>
  </si>
  <si>
    <t>ハートパネルは50％の確率で
お邪魔パネルに変換されてドロップする！</t>
    <phoneticPr fontId="5"/>
  </si>
  <si>
    <t>ハートパネルは50％の確率で
お邪魔パネルに変換されてドロップする！</t>
    <phoneticPr fontId="5"/>
  </si>
  <si>
    <t xml:space="preserve">[effect:drop_block, block_type:jammer, color:block_heart, val:0, rate:0.5, turn:-1, animation:jammer_influence04]    </t>
    <phoneticPr fontId="5"/>
  </si>
  <si>
    <t>[effect:enemy_counter, target:myself, invoke_condition:unit_all, counter_target:attacker, turn:5, val:0.35, animation:enemy_counter],[effect:spread, val:0.2]</t>
    <phoneticPr fontId="5"/>
  </si>
  <si>
    <t xml:space="preserve">[effect:enemy_message, val1:1.4, val2:2.4] </t>
    <phoneticPr fontId="5"/>
  </si>
  <si>
    <t xml:space="preserve">[effect:break_enchance_enemy, target:myself, val:200, lowest_val:1000, count :10, status:attack, turn:-1, block01:jammer, calc:add, animation:enemy_enhance_attack]    </t>
    <phoneticPr fontId="5"/>
  </si>
  <si>
    <t xml:space="preserve">[effect:enemy_message, val1:1.4, val2:2.4],[effect:force_change_block, new_block:damage, target:crash, color:block_red, count:10, val:0.1, animation:change_block]    </t>
    <phoneticPr fontId="5"/>
  </si>
  <si>
    <t xml:space="preserve">[effect:break_heal_fix, target:myself, val:100, lowest_val:1000, count:-1, block01:block_heart, animation:enemy_heal],[effect:rush, count:1, val:0.8]    </t>
    <phoneticPr fontId="5"/>
  </si>
  <si>
    <t xml:space="preserve">[effect:force_change_block, new_block:damage, target:block_all, ignore01:crash, ignore02:time_bomb, ignore03:color_break, ignore04:damage, color:block_red, count:2, val:0.25, animation:change_block]    </t>
    <phoneticPr fontId="5"/>
  </si>
  <si>
    <t xml:space="preserve">[effect:degrade_unit, target:unit_all, turn:-1, status:heal, val:0.5, calc:mul, animation:degrade_unit_all_heal],[effect:rush, count:4, val:0.25]  </t>
    <phoneticPr fontId="5"/>
  </si>
  <si>
    <t>ハートパネルは50％の確率で
お邪魔パネルに変換されてドロップする！</t>
    <phoneticPr fontId="5"/>
  </si>
  <si>
    <t>ハートパネルを最大10個青パネルに変換</t>
    <rPh sb="7" eb="9">
      <t>サイダイ</t>
    </rPh>
    <rPh sb="11" eb="12">
      <t>コ</t>
    </rPh>
    <phoneticPr fontId="5"/>
  </si>
  <si>
    <t xml:space="preserve">[effect:force_change_block, new_block:block_blue, target:block_heart, ignore01:crack_bomb, ignore02:time_bomb, count:10, val:0, animation:change_block]    </t>
    <phoneticPr fontId="5"/>
  </si>
  <si>
    <t>解除するまで回復力DOWN</t>
    <rPh sb="0" eb="2">
      <t>カイジョ</t>
    </rPh>
    <phoneticPr fontId="5"/>
  </si>
  <si>
    <t xml:space="preserve">[effect:freq_turn, target:enemy_all, turn:9, val:1, animation:enemy_freq_turn]    </t>
    <phoneticPr fontId="5"/>
  </si>
  <si>
    <t xml:space="preserve">[effect:freq_turn, target:enemy_all, turn:9, val:1, animation:enemy_freq_turn]    </t>
    <phoneticPr fontId="5"/>
  </si>
  <si>
    <t>9ターンの間行動頻度UP</t>
    <rPh sb="5" eb="6">
      <t>アイダ</t>
    </rPh>
    <phoneticPr fontId="5"/>
  </si>
  <si>
    <t xml:space="preserve">[effect:force_change_block, new_block:damage, target:block_all, ignore01:crash, ignore02:time_bomb, ignore03:color_break, ignore04:damage, color:block_red, count:1, val:0.25, animation:change_block]    </t>
    <phoneticPr fontId="5"/>
  </si>
  <si>
    <t xml:space="preserve">[effect:force_change_block, new_block:damage, target:block_all, ignore01:crash, ignore02:time_bomb, ignore03:color_break, ignore04:damage, color:block_red, count:2, val:0.3, animation:change_block]    </t>
    <phoneticPr fontId="5"/>
  </si>
  <si>
    <t xml:space="preserve">[effect:degrade_unit, target:unit_all, turn:-1, status:attack, val:0.5, calc:mul],[effect:spread, val:0.25] </t>
    <phoneticPr fontId="5"/>
  </si>
  <si>
    <t>[effect:degrade_unit, target:unit_all, turn:-1, status:attack, val:0.5, calc:mul]</t>
    <phoneticPr fontId="5"/>
  </si>
  <si>
    <t xml:space="preserve">[effect:degrade_unit, target:unit_all, turn:4, status:attack, val:0.5, calc:mul],[effect:spread, val:0.2]   </t>
    <phoneticPr fontId="5"/>
  </si>
  <si>
    <t xml:space="preserve">[effect:degrade_unit, target:unit_all, turn:-1, status:heal, val:0.3, calc:mul, animation:degrade_unit_all_heal]    </t>
    <phoneticPr fontId="5"/>
  </si>
  <si>
    <t xml:space="preserve">[effect:degrade_unit, target:unit_all, turn:4, status:heal, val:0.6, calc:mul, animation:degrade_unit_all_heal],[effect:rush, count:2, val:0.6]  </t>
    <phoneticPr fontId="5"/>
  </si>
  <si>
    <t>ギャハハハ！ケシトベ！</t>
    <phoneticPr fontId="5"/>
  </si>
  <si>
    <t>ハカイ！バクハ！サイコウ！！</t>
    <phoneticPr fontId="5"/>
  </si>
  <si>
    <t xml:space="preserve">[effect:break_enchance_enemy, target:myself, val:200, lowest_val:1000, count :10, status:attack, turn:3, block01:block_green, calc:add, animation:enemy_enhance_attack]    </t>
    <phoneticPr fontId="5"/>
  </si>
  <si>
    <t xml:space="preserve">[effect:break_attack_fix, target:unit_all, val:50, lowest_val:1000, count:-1, color:yellow, block01:block_yellow]    </t>
    <phoneticPr fontId="5"/>
  </si>
  <si>
    <t xml:space="preserve">[effect:force_change_block, new_block:block_green, target:block_heart, ignore01:time_bomb, ignore02:crash, ignore03:color_break, count:0, val:0]    </t>
    <phoneticPr fontId="5"/>
  </si>
  <si>
    <t>パールヴァティはヴリトラに妨害を受けている</t>
    <rPh sb="13" eb="15">
      <t>ボウガイ</t>
    </rPh>
    <rPh sb="16" eb="17">
      <t>ウケテイオル</t>
    </rPh>
    <phoneticPr fontId="5"/>
  </si>
  <si>
    <t>カーリーサマ　ノ　キョカ　デテル
キサマカラ　フキトバシテヤル</t>
    <phoneticPr fontId="5"/>
  </si>
  <si>
    <t>null</t>
    <phoneticPr fontId="5"/>
  </si>
  <si>
    <t xml:space="preserve">[effect:drop_block, block_type:jammer, color:block_heart, val:0, rate:0.5, turn:-1, animation:jammer_influence04]    </t>
    <phoneticPr fontId="5"/>
  </si>
  <si>
    <t>null</t>
    <phoneticPr fontId="5"/>
  </si>
  <si>
    <t>old</t>
  </si>
  <si>
    <t>最大10個のクラッシュパネルを
ダメージパネルに変換</t>
    <rPh sb="0" eb="2">
      <t>サイダイ</t>
    </rPh>
    <rPh sb="4" eb="5">
      <t>コ</t>
    </rPh>
    <rPh sb="24" eb="26">
      <t>ヘンカｎ</t>
    </rPh>
    <phoneticPr fontId="5"/>
  </si>
  <si>
    <t>キサマ　ハ
パールヴァティ！</t>
    <phoneticPr fontId="5"/>
  </si>
  <si>
    <t>作戦は…失敗でした…ね？
カーマ…さん</t>
    <phoneticPr fontId="5"/>
  </si>
  <si>
    <t xml:space="preserve">[effect:break_heal_fix, target:myself, val:1000, lowest_val:20000, count:-1, block01:jammer, animation:enemy_heal]    </t>
    <phoneticPr fontId="5"/>
  </si>
  <si>
    <t>null</t>
    <phoneticPr fontId="5"/>
  </si>
  <si>
    <t xml:space="preserve">[effect:freq_turn, target:enemy_all, turn:9, val:1, animation:enemy_freq_turn]    </t>
    <phoneticPr fontId="5"/>
  </si>
  <si>
    <t>ちょっ！カーリーの許可って
何の事よ！通しなさいっ！</t>
    <rPh sb="9" eb="11">
      <t>キョカ</t>
    </rPh>
    <rPh sb="14" eb="15">
      <t>ナニヨ</t>
    </rPh>
    <rPh sb="16" eb="17">
      <t>コト</t>
    </rPh>
    <rPh sb="19" eb="20">
      <t>トオシナサイ</t>
    </rPh>
    <phoneticPr fontId="5"/>
  </si>
  <si>
    <t xml:space="preserve">[effect:enemy_message, val1:2.0, val2:2.4] </t>
    <phoneticPr fontId="5"/>
  </si>
  <si>
    <t xml:space="preserve">[effect:enemy_message, val1:2.0, val2:2.4],[effect:suicide, val:1, dead_type:escape]    </t>
    <phoneticPr fontId="5"/>
  </si>
  <si>
    <t>[effect:enemy_message, val1:2.0, val2:2.4]</t>
    <phoneticPr fontId="5"/>
  </si>
  <si>
    <t>[effect:enemy_message, val1:2.0, val2:2.4]</t>
    <phoneticPr fontId="5"/>
  </si>
  <si>
    <t>ヴリトラはパールヴァティを攻撃！
パールヴァティは攻撃をかわした！</t>
    <rPh sb="13" eb="15">
      <t>コウゲキ</t>
    </rPh>
    <rPh sb="25" eb="27">
      <t>コウゲキヲ</t>
    </rPh>
    <phoneticPr fontId="5"/>
  </si>
  <si>
    <t>君たち、カーリーの様子を
確認してきて！お願いね！</t>
    <rPh sb="0" eb="1">
      <t>キミタチ</t>
    </rPh>
    <rPh sb="9" eb="11">
      <t>ヨウス</t>
    </rPh>
    <rPh sb="13" eb="15">
      <t>カクニｎ</t>
    </rPh>
    <phoneticPr fontId="5"/>
  </si>
  <si>
    <t>返事をするよりも早く
パールヴァティは去っていった…</t>
    <rPh sb="0" eb="2">
      <t>ヘンジ</t>
    </rPh>
    <rPh sb="8" eb="9">
      <t>ハヤク</t>
    </rPh>
    <rPh sb="19" eb="20">
      <t>サッテ</t>
    </rPh>
    <phoneticPr fontId="5"/>
  </si>
  <si>
    <t>ヴリトラの警戒対象が
こちらに変わったようだ！</t>
    <phoneticPr fontId="5"/>
  </si>
  <si>
    <t>ギャハ！！ニゲロニゲロ！</t>
    <phoneticPr fontId="5"/>
  </si>
  <si>
    <t>さぁ…私をボコボコにして…</t>
    <rPh sb="3" eb="4">
      <t>ワタシ</t>
    </rPh>
    <phoneticPr fontId="5"/>
  </si>
  <si>
    <t xml:space="preserve">[effect:enemy_message, val1:2.0, val2:2.4],[effect:freq_turn, target:enemy_all, turn:2, val:2, animation:enemy_freq_turn],[effect:tolerance, target:myself, turn:-1, count:-1, tolerance_effect:all, animation:enemy_tolerance]    </t>
    <phoneticPr fontId="5"/>
  </si>
  <si>
    <t xml:space="preserve">[effect:enemy_message, val1:2.0, val2:2.4],[effect:tolerance, target:myself, turn:-1, count:-1, tolerance_effect:all, animation:enemy_tolerance]    </t>
    <phoneticPr fontId="5"/>
  </si>
  <si>
    <t xml:space="preserve">[effect:break_attack_fix, target:unit_all, val:50, lowest_val:1000, count:-1, color:red, block01:jammer]    </t>
    <phoneticPr fontId="5"/>
  </si>
  <si>
    <t xml:space="preserve">[effect:force_change_block, new_block:damage, target:block_heart, ignore01:crash, ignore02:time_bomb, ignore03:color_break, color:block_red, count:1, val:0.25, animation:change_block],[effect:tolerance, target:myself, turn:-1, count:-1, tolerance_effect:all, animation:enemy_tolerance]        </t>
    <phoneticPr fontId="5"/>
  </si>
  <si>
    <t xml:space="preserve">[effect:break_attack_fix, target:unit_all, val:500, lowest_val:1, count:-1, color:red, block01:jammer]    </t>
    <phoneticPr fontId="5"/>
  </si>
  <si>
    <t>スケアクロウの外見が変わった！
スピーカーからはカーリーの声が聴こえる…</t>
    <rPh sb="7" eb="9">
      <t>ガイケｎ</t>
    </rPh>
    <rPh sb="10" eb="11">
      <t>カワル</t>
    </rPh>
    <rPh sb="29" eb="30">
      <t>コエ</t>
    </rPh>
    <rPh sb="31" eb="32">
      <t>kikoeru</t>
    </rPh>
    <phoneticPr fontId="5"/>
  </si>
  <si>
    <t>ハートパネルを吸収して回復</t>
    <phoneticPr fontId="5"/>
  </si>
  <si>
    <t xml:space="preserve">[effect:rush, count:2, val:0.8]    </t>
    <phoneticPr fontId="5"/>
  </si>
  <si>
    <t xml:space="preserve">[effect:spread, val:0.4]    </t>
    <phoneticPr fontId="5"/>
  </si>
  <si>
    <t xml:space="preserve">[effect:enemy_message, val1:1.4, val2:2.4],[effect:suicide, target:myself, val:0.1, dead_type:escape]    </t>
    <phoneticPr fontId="5"/>
  </si>
  <si>
    <t xml:space="preserve">[effect:enemy_message, val1:1.4, val2:2.4],[effect:suicide, target:myself, val:0.1, dead_type:escape]    </t>
    <phoneticPr fontId="5"/>
  </si>
  <si>
    <t xml:space="preserve">[effect:break_heal_fix, target:myself, val:2000, lowest_val:2000, count:-1, block01:block_blue, animation:enemy_heal]    </t>
    <phoneticPr fontId="5"/>
  </si>
  <si>
    <t xml:space="preserve">[effect:rush, count:2, val:0.8]    </t>
    <phoneticPr fontId="5"/>
  </si>
  <si>
    <t xml:space="preserve">[effect:enhance_enemy, target:enemy_all, turn:-1, status:attack, val:2000, calc:add, animation:enemy_enhance_attack],[effect:rush, count:1, val:0.8]    </t>
    <phoneticPr fontId="5"/>
  </si>
  <si>
    <t xml:space="preserve">[effect:enemy_message, val1:1.4, val2:2.4],[effect:tolerance, target:myself, turn:-1, count:-1, tolerance_effect:all, animation:enemy_tolerance],[effect:damage_anti_tribe, target:unit_all, tribe:unknown, val1:3, val2:0.25]   </t>
    <phoneticPr fontId="5"/>
  </si>
  <si>
    <t>ja</t>
    <phoneticPr fontId="5"/>
  </si>
  <si>
    <t xml:space="preserve">[effect:enemy_message, val1:1.4, val2:2.4],[effect:tolerance, target:myself, turn:-1, count:-1, tolerance_effect:all, animation:enemy_tolerance],[effect:damage_anti_tribe, target:unit_all, tribe:unknown, val1:3, val2:0.25]   </t>
    <phoneticPr fontId="5"/>
  </si>
  <si>
    <t xml:space="preserve">[effect:enemy_message, val1:1.4, val2:2.4],[effect:tolerance, target:myself, turn:-1, count:-1, tolerance_effect:all, animation:enemy_tolerance],[effect:damage_anti_tribe, target:unit_all, tribe:unknown, val1:3, val2:0.25]     </t>
    <phoneticPr fontId="5"/>
  </si>
  <si>
    <t>[effect:break_heal_fix, target:myself, val:2000, lowest_val:10000, count:30, block01:block_heart, animation:enemy_heal]</t>
    <phoneticPr fontId="5"/>
  </si>
  <si>
    <t>…シヴァ様…私だけを見て…</t>
    <rPh sb="4" eb="5">
      <t>サマ</t>
    </rPh>
    <rPh sb="6" eb="7">
      <t>ワタシ</t>
    </rPh>
    <rPh sb="10" eb="11">
      <t>ミテ</t>
    </rPh>
    <phoneticPr fontId="5"/>
  </si>
  <si>
    <t>連続攻撃</t>
    <phoneticPr fontId="5"/>
  </si>
  <si>
    <t>行動頻度UP</t>
    <phoneticPr fontId="5"/>
  </si>
  <si>
    <t>パネルをランダムに1個ダメージパネルに変換</t>
    <rPh sb="19" eb="21">
      <t>ヘンカｎ</t>
    </rPh>
    <phoneticPr fontId="5"/>
  </si>
  <si>
    <t>パネルをランダムに2個ダメージパネルに変換</t>
    <rPh sb="10" eb="11">
      <t>コ</t>
    </rPh>
    <rPh sb="19" eb="21">
      <t>ヘンカｎ</t>
    </rPh>
    <phoneticPr fontId="5"/>
  </si>
  <si>
    <t>私だけの…シヴァ…様…</t>
    <rPh sb="0" eb="1">
      <t>ワタシ</t>
    </rPh>
    <phoneticPr fontId="5"/>
  </si>
  <si>
    <t>無償の偏愛</t>
    <rPh sb="0" eb="2">
      <t>ムショウノ</t>
    </rPh>
    <rPh sb="3" eb="5">
      <t>ヘンアイ</t>
    </rPh>
    <phoneticPr fontId="5"/>
  </si>
  <si>
    <t>シヴァ様の隣は渡さない…！</t>
    <rPh sb="5" eb="6">
      <t>トナリ</t>
    </rPh>
    <rPh sb="7" eb="8">
      <t>ワタサナイ</t>
    </rPh>
    <phoneticPr fontId="5"/>
  </si>
  <si>
    <t>まだ…これからよ…</t>
    <phoneticPr fontId="5"/>
  </si>
  <si>
    <t>…綺麗にしましょうね…</t>
    <rPh sb="1" eb="3">
      <t>キレイニ</t>
    </rPh>
    <phoneticPr fontId="5"/>
  </si>
  <si>
    <t>…攻撃と…防御の両立…</t>
    <rPh sb="1" eb="3">
      <t>コウゲキトボウギョ</t>
    </rPh>
    <rPh sb="8" eb="10">
      <t>リョウリツ</t>
    </rPh>
    <phoneticPr fontId="5"/>
  </si>
  <si>
    <t>パールヴァティの外見になっている際に
永続の回復力ダウンを放ってきます
回復力アップのスキルを用意しましょう</t>
    <rPh sb="8" eb="10">
      <t>ガイケｎ</t>
    </rPh>
    <rPh sb="16" eb="17">
      <t>サイニ</t>
    </rPh>
    <rPh sb="19" eb="21">
      <t>エイゾク</t>
    </rPh>
    <rPh sb="22" eb="25">
      <t>カイフクリョク</t>
    </rPh>
    <rPh sb="29" eb="30">
      <t>ハナッテキマス</t>
    </rPh>
    <rPh sb="36" eb="39">
      <t>カイフクリョク</t>
    </rPh>
    <rPh sb="47" eb="49">
      <t>ヨウイ</t>
    </rPh>
    <phoneticPr fontId="5"/>
  </si>
  <si>
    <t>ドゥルガーの外見になっている間は
永続攻撃力DOWNのスキルと
黄パネル吸収攻撃には特に注意しましょう</t>
    <rPh sb="6" eb="8">
      <t>ガイケｎ</t>
    </rPh>
    <rPh sb="14" eb="15">
      <t>アイダ</t>
    </rPh>
    <rPh sb="17" eb="19">
      <t>エイゾク</t>
    </rPh>
    <rPh sb="19" eb="22">
      <t>コウゲキリョク</t>
    </rPh>
    <rPh sb="32" eb="33">
      <t>キ</t>
    </rPh>
    <rPh sb="36" eb="38">
      <t>キュウシュウ</t>
    </rPh>
    <rPh sb="38" eb="40">
      <t>コウゲキ</t>
    </rPh>
    <rPh sb="42" eb="43">
      <t>トクニ</t>
    </rPh>
    <rPh sb="44" eb="46">
      <t>チュウイ</t>
    </rPh>
    <phoneticPr fontId="5"/>
  </si>
  <si>
    <t>failure</t>
    <phoneticPr fontId="5"/>
  </si>
  <si>
    <t>ダメージパネルが複数同時に破壊されると
ダメージが合計されてしまいます
可能な限り小分けに処理するのが安全です</t>
    <rPh sb="8" eb="10">
      <t>フクスウ</t>
    </rPh>
    <rPh sb="10" eb="12">
      <t>ドウジ</t>
    </rPh>
    <rPh sb="13" eb="15">
      <t>ハカイサレルト</t>
    </rPh>
    <rPh sb="25" eb="27">
      <t>ゴウケイチ</t>
    </rPh>
    <rPh sb="36" eb="38">
      <t>カノウナカギリ</t>
    </rPh>
    <rPh sb="41" eb="43">
      <t>コワケニショリ</t>
    </rPh>
    <rPh sb="51" eb="53">
      <t>アンゼｎ</t>
    </rPh>
    <phoneticPr fontId="5"/>
  </si>
  <si>
    <t>complete</t>
  </si>
  <si>
    <t>かつてカーマが引き起こした人質事件は
カーリーが命じた陽動作戦であるという
可能性が浮上してきました</t>
    <rPh sb="7" eb="8">
      <t>ヒキオコシタ</t>
    </rPh>
    <rPh sb="13" eb="15">
      <t>ヒトジチ</t>
    </rPh>
    <rPh sb="15" eb="17">
      <t>ジケｎ</t>
    </rPh>
    <rPh sb="24" eb="25">
      <t>メイジタ</t>
    </rPh>
    <rPh sb="27" eb="29">
      <t>ヨウドウサクセイ</t>
    </rPh>
    <rPh sb="29" eb="31">
      <t>サクセｎ</t>
    </rPh>
    <rPh sb="38" eb="41">
      <t>カノウセイ</t>
    </rPh>
    <rPh sb="42" eb="44">
      <t>フジョウ</t>
    </rPh>
    <phoneticPr fontId="5"/>
  </si>
  <si>
    <t>カーリーとカーマ</t>
    <phoneticPr fontId="5"/>
  </si>
  <si>
    <t>カーリーとシヴァ</t>
    <phoneticPr fontId="5"/>
  </si>
  <si>
    <t>カーリーはシヴァの愛情を独占するために
他のガールフレンドを全員排除するつもりです</t>
    <rPh sb="9" eb="11">
      <t>アイジョウ</t>
    </rPh>
    <rPh sb="12" eb="14">
      <t>ドクセｎ</t>
    </rPh>
    <rPh sb="20" eb="21">
      <t>ホカノ</t>
    </rPh>
    <rPh sb="30" eb="32">
      <t>ゼンイｎ</t>
    </rPh>
    <rPh sb="32" eb="34">
      <t>ハイジョ</t>
    </rPh>
    <phoneticPr fontId="5"/>
  </si>
  <si>
    <t>カーリー</t>
    <phoneticPr fontId="5"/>
  </si>
  <si>
    <t>ヴェーダ・アーカイブの最深部を占拠して
他のアバターやAIの外見などを自在に
操ることが可能な権限を奪取しました</t>
    <rPh sb="11" eb="14">
      <t>サイシンブ</t>
    </rPh>
    <rPh sb="15" eb="17">
      <t>センキョ</t>
    </rPh>
    <rPh sb="20" eb="21">
      <t>ホカ</t>
    </rPh>
    <rPh sb="30" eb="32">
      <t>ガイケン</t>
    </rPh>
    <rPh sb="35" eb="37">
      <t>ジザイ</t>
    </rPh>
    <rPh sb="39" eb="40">
      <t>アヤツルコト</t>
    </rPh>
    <rPh sb="44" eb="46">
      <t>カノウ</t>
    </rPh>
    <rPh sb="47" eb="49">
      <t>ケンゲｎ</t>
    </rPh>
    <rPh sb="50" eb="52">
      <t>ダッシュ</t>
    </rPh>
    <phoneticPr fontId="5"/>
  </si>
  <si>
    <t>ヴェーダ・アーカイブ</t>
    <phoneticPr fontId="5"/>
  </si>
  <si>
    <t>溜め込むと…痛い…</t>
    <rPh sb="0" eb="1">
      <t>タメコムト</t>
    </rPh>
    <rPh sb="6" eb="7">
      <t>イタイワヨ</t>
    </rPh>
    <phoneticPr fontId="5"/>
  </si>
  <si>
    <t>オーバーライト・アタック</t>
    <phoneticPr fontId="5"/>
  </si>
  <si>
    <t>オーバーライト・ヒーリング</t>
    <phoneticPr fontId="5"/>
  </si>
  <si>
    <t>セット・ダメージ・ダブル</t>
    <phoneticPr fontId="5"/>
  </si>
  <si>
    <t>ガベージデータ・クリア</t>
    <phoneticPr fontId="5"/>
  </si>
  <si>
    <t>コレクト・ラブハート</t>
    <phoneticPr fontId="5"/>
  </si>
  <si>
    <t>ブースト・アタック</t>
    <phoneticPr fontId="5"/>
  </si>
  <si>
    <t>ドゥルガーさんと戦う練習…</t>
    <rPh sb="8" eb="9">
      <t>タタカウ</t>
    </rPh>
    <rPh sb="10" eb="12">
      <t>レンシュウ</t>
    </rPh>
    <phoneticPr fontId="5"/>
  </si>
  <si>
    <t>カーリーが攻撃に参加！
現在HPの10％ダメージ</t>
    <rPh sb="5" eb="7">
      <t>コウゲキ</t>
    </rPh>
    <rPh sb="8" eb="10">
      <t>サンカ</t>
    </rPh>
    <phoneticPr fontId="5"/>
  </si>
  <si>
    <t>永遠の倦怠</t>
    <rPh sb="0" eb="2">
      <t>エイエンノ</t>
    </rPh>
    <rPh sb="3" eb="5">
      <t>kenntai</t>
    </rPh>
    <phoneticPr fontId="5"/>
  </si>
  <si>
    <t>緊急治療</t>
    <rPh sb="0" eb="2">
      <t>キンキュウ</t>
    </rPh>
    <rPh sb="2" eb="4">
      <t>チリョウ</t>
    </rPh>
    <phoneticPr fontId="5"/>
  </si>
  <si>
    <t>復旧リソース散逸</t>
    <rPh sb="0" eb="2">
      <t>フッキュウリソース</t>
    </rPh>
    <rPh sb="6" eb="8">
      <t>サンイツ</t>
    </rPh>
    <phoneticPr fontId="5"/>
  </si>
  <si>
    <t>加速…するよ…</t>
    <rPh sb="0" eb="2">
      <t>カソク</t>
    </rPh>
    <phoneticPr fontId="5"/>
  </si>
  <si>
    <t>戦闘訓練よ…</t>
    <rPh sb="0" eb="4">
      <t>セントウクンレン</t>
    </rPh>
    <phoneticPr fontId="5"/>
  </si>
  <si>
    <t>ブルーヒーリング</t>
    <phoneticPr fontId="5"/>
  </si>
  <si>
    <t>リソース転換</t>
    <phoneticPr fontId="5"/>
  </si>
  <si>
    <t>永遠の焦燥</t>
    <rPh sb="0" eb="2">
      <t>エイエンノ</t>
    </rPh>
    <rPh sb="3" eb="5">
      <t>syousou</t>
    </rPh>
    <phoneticPr fontId="5"/>
  </si>
  <si>
    <t>…1回…2回…</t>
    <rPh sb="2" eb="3">
      <t>イッカイ</t>
    </rPh>
    <phoneticPr fontId="5"/>
  </si>
  <si>
    <t>実力を見極める…</t>
    <rPh sb="0" eb="2">
      <t>ジツリョク</t>
    </rPh>
    <rPh sb="3" eb="5">
      <t>ミキワメル</t>
    </rPh>
    <phoneticPr fontId="5"/>
  </si>
  <si>
    <t>えいっ…</t>
    <phoneticPr fontId="5"/>
  </si>
  <si>
    <t>かかってきなさい…</t>
    <phoneticPr fontId="5"/>
  </si>
  <si>
    <t>…早く…あの女と別れてよ…シヴァ様…</t>
    <phoneticPr fontId="5"/>
  </si>
  <si>
    <t>お邪魔パネル清掃</t>
    <rPh sb="6" eb="8">
      <t>セイソウ</t>
    </rPh>
    <phoneticPr fontId="5"/>
  </si>
  <si>
    <t>加速…するよ…</t>
    <phoneticPr fontId="5"/>
  </si>
  <si>
    <t>ああ…他のひとに…
とられ…ちゃう……</t>
    <rPh sb="3" eb="4">
      <t>ホカノ</t>
    </rPh>
    <phoneticPr fontId="5"/>
  </si>
  <si>
    <t>ヴェーダ・アーカイブ
最深部って…この辺りね</t>
    <rPh sb="11" eb="14">
      <t>サイシンブ</t>
    </rPh>
    <rPh sb="19" eb="20">
      <t>ヘン</t>
    </rPh>
    <phoneticPr fontId="5"/>
  </si>
  <si>
    <t>ココハ　ツウコウドメ　ダ
サッサト　アキラメルンダナ</t>
    <phoneticPr fontId="5"/>
  </si>
  <si>
    <t>…パール…ヴァティ……？
…早くシヴァ様と別れてね？</t>
    <rPh sb="14" eb="15">
      <t>ハヤク</t>
    </rPh>
    <rPh sb="19" eb="20">
      <t>サマ</t>
    </rPh>
    <rPh sb="21" eb="22">
      <t>ワカレテクレナイ</t>
    </rPh>
    <phoneticPr fontId="5"/>
  </si>
  <si>
    <t>エクセキューション</t>
    <phoneticPr fontId="5"/>
  </si>
  <si>
    <t>場所は…あそこにしましょう</t>
    <rPh sb="0" eb="2">
      <t>バショ</t>
    </rPh>
    <phoneticPr fontId="5"/>
  </si>
  <si>
    <t>…ドゥルガー…さん…
油断…できない…相手</t>
    <phoneticPr fontId="5"/>
  </si>
  <si>
    <t>シヴァ…様…？会いに…
きてくれた…嬉しい…</t>
    <rPh sb="7" eb="8">
      <t>aini</t>
    </rPh>
    <rPh sb="18" eb="19">
      <t>ウレシイ</t>
    </rPh>
    <phoneticPr fontId="5"/>
  </si>
  <si>
    <t>（カーリーの声が聴こえる）</t>
    <rPh sb="6" eb="7">
      <t>コエ</t>
    </rPh>
    <rPh sb="8" eb="9">
      <t>kikoeru</t>
    </rPh>
    <phoneticPr fontId="5"/>
  </si>
  <si>
    <t>3Fエレキポット</t>
    <phoneticPr fontId="5"/>
  </si>
  <si>
    <t>早い者勝ち…恨みっこなし…</t>
    <rPh sb="0" eb="1">
      <t>ハヤイモノガチ</t>
    </rPh>
    <rPh sb="6" eb="7">
      <t>ウラミッコナシ</t>
    </rPh>
    <phoneticPr fontId="5"/>
  </si>
  <si>
    <t>ヒャーッ！センセイコウゲキ！
ブッ！カイ！カーン！</t>
    <phoneticPr fontId="5"/>
  </si>
  <si>
    <t>……シヴァ様と…技…を…
…かけあえる…幸せ…</t>
    <rPh sb="8" eb="9">
      <t>ワザ</t>
    </rPh>
    <rPh sb="20" eb="21">
      <t>シアワセ</t>
    </rPh>
    <phoneticPr fontId="5"/>
  </si>
  <si>
    <t>ALICEの根幹となるデータベースです
フルアクセス権限は
唯一神の如き権能となってしまうため
厳重に分割管理されています</t>
    <rPh sb="6" eb="8">
      <t>コンカｎ</t>
    </rPh>
    <rPh sb="26" eb="28">
      <t>ケンゲｎ</t>
    </rPh>
    <rPh sb="30" eb="32">
      <t>ユイイツ</t>
    </rPh>
    <rPh sb="32" eb="33">
      <t>カミノゴトキ</t>
    </rPh>
    <rPh sb="36" eb="38">
      <t>ケンノウ</t>
    </rPh>
    <rPh sb="48" eb="50">
      <t>ゲンジュウ</t>
    </rPh>
    <rPh sb="51" eb="53">
      <t>ブンカツ</t>
    </rPh>
    <rPh sb="53" eb="55">
      <t>カンリサレテイル</t>
    </rPh>
    <phoneticPr fontId="5"/>
  </si>
  <si>
    <t>カーリーは永続の攻撃力DOWNと
回復力DOWNのスキルを使用します
攻撃力と回復力UPの手段を
忘れずに準備しましょう</t>
    <rPh sb="5" eb="7">
      <t>エイゾク</t>
    </rPh>
    <rPh sb="8" eb="11">
      <t>コウゲキリョク</t>
    </rPh>
    <rPh sb="17" eb="20">
      <t>カイフクリョク</t>
    </rPh>
    <rPh sb="29" eb="31">
      <t>シヨウ</t>
    </rPh>
    <rPh sb="35" eb="38">
      <t>コウゲキリョク</t>
    </rPh>
    <rPh sb="39" eb="42">
      <t>カイフクリョク</t>
    </rPh>
    <rPh sb="45" eb="47">
      <t>シュダｎ</t>
    </rPh>
    <rPh sb="49" eb="50">
      <t>ワスレズニ</t>
    </rPh>
    <rPh sb="53" eb="55">
      <t>ジュンビ</t>
    </rPh>
    <phoneticPr fontId="5"/>
  </si>
  <si>
    <t>これは人形…外見は設定で変えられる…
…突破できたら…私も本気で相手になる…</t>
    <rPh sb="3" eb="5">
      <t>ニンギョウ</t>
    </rPh>
    <rPh sb="6" eb="8">
      <t>ガイケｎ</t>
    </rPh>
    <rPh sb="9" eb="11">
      <t>セッテイ</t>
    </rPh>
    <rPh sb="12" eb="13">
      <t>カエラレル</t>
    </rPh>
    <rPh sb="20" eb="22">
      <t>トッパデキナイヨウナラ</t>
    </rPh>
    <rPh sb="27" eb="28">
      <t>ワタシ</t>
    </rPh>
    <rPh sb="29" eb="31">
      <t>ホンキ</t>
    </rPh>
    <rPh sb="32" eb="34">
      <t>アイテ</t>
    </rPh>
    <phoneticPr fontId="5"/>
  </si>
  <si>
    <t>5ターンカウンター
+全体攻撃</t>
  </si>
  <si>
    <t>…私の…技…どう…かな？
状態異常無効+種族Unknownに大ダメージ</t>
    <rPh sb="1" eb="2">
      <t>ワタシノ</t>
    </rPh>
    <rPh sb="4" eb="5">
      <t>ワザ</t>
    </rPh>
    <rPh sb="13" eb="17">
      <t>ジョウタイイジョウ</t>
    </rPh>
    <rPh sb="17" eb="19">
      <t>ムコウ</t>
    </rPh>
    <rPh sb="20" eb="22">
      <t>シュゾク</t>
    </rPh>
    <rPh sb="30" eb="31">
      <t>ニダイダメージ</t>
    </rPh>
    <phoneticPr fontId="5"/>
  </si>
  <si>
    <t>…貴女も…シヴァ様の事を…負けない！
状態異常無効+種族Unknownに大ダメージ</t>
    <rPh sb="1" eb="3">
      <t>アナタモ</t>
    </rPh>
    <rPh sb="10" eb="11">
      <t>コト</t>
    </rPh>
    <rPh sb="13" eb="14">
      <t>マケナイワ</t>
    </rPh>
    <phoneticPr fontId="5"/>
  </si>
  <si>
    <t>うふふ…あはははははははは！
状態異常無効+種族Unknownに大ダメージ</t>
  </si>
  <si>
    <t>状態異常無効
+種族Unknownに大ダメージ</t>
  </si>
  <si>
    <t>ハートパネルを吸収して回復
+単体攻撃</t>
    <phoneticPr fontId="5"/>
  </si>
  <si>
    <t>エネルギー砲</t>
    <rPh sb="5" eb="6">
      <t>hou</t>
    </rPh>
    <phoneticPr fontId="5"/>
  </si>
  <si>
    <t xml:space="preserve">[effect:break_attack_fix, target:unit_all, val:50, lowest_val:1000, count:-1, color:yellow, block01:block_yellow]    </t>
    <phoneticPr fontId="5"/>
  </si>
  <si>
    <t>イエローチャージ</t>
    <phoneticPr fontId="5"/>
  </si>
  <si>
    <t xml:space="preserve">[effect:damage_anti_tribe, target:unit_all, tribe:unknown, val1:3, val2:0.2]    </t>
    <phoneticPr fontId="5"/>
  </si>
  <si>
    <t xml:space="preserve">[effect:break_attack_fix, target:unit_all, val:250, lowest_val:1, count:-1, color:red, block01:jammer]    </t>
    <phoneticPr fontId="5"/>
  </si>
  <si>
    <t xml:space="preserve">[effect:enhance_enemy, target:enemy_all, turn:-1, status:attack, val:1500, calc:add, animation:enemy_enhance_attack],[effect:rush, count:1, val:0.8]    </t>
    <phoneticPr fontId="5"/>
  </si>
  <si>
    <t xml:space="preserve">[effect:break_enchance_enemy, target:myself, val:180, lowest_val:1000, count :10, status:attack, turn:-1, block01:jammer, calc:add, animation:enemy_enhance_attack]    </t>
    <phoneticPr fontId="5"/>
  </si>
  <si>
    <t>[effect:critical, val:2, animation:enemy_critical]</t>
    <phoneticPr fontId="5"/>
  </si>
  <si>
    <t xml:space="preserve">[effect:break_heal_fix, target:myself, val:1000, lowest_val:1000, count:-1, block01:block_heart, animation:enemy_heal],[effect:rush, count:1, val:0.8]    </t>
    <phoneticPr fontId="5"/>
  </si>
  <si>
    <t>ハートパネルは30％の確率で
お邪魔パネルに変換されてドロップする！</t>
    <phoneticPr fontId="5"/>
  </si>
  <si>
    <t>ハートパネルは30％の確率で
お邪魔パネルに変換されてドロップする！</t>
    <phoneticPr fontId="5"/>
  </si>
  <si>
    <t xml:space="preserve">[effect:drop_block, block_type:jammer, color:block_heart, val:0, rate:0.3, turn:-1, animation:jammer_influence04]    </t>
    <phoneticPr fontId="5"/>
  </si>
  <si>
    <t>緑パネルを吸収して
3ターン攻撃力UP(最大10個)</t>
    <phoneticPr fontId="5"/>
  </si>
  <si>
    <t>ハートパネルを吸収して回復(最大30個)</t>
    <phoneticPr fontId="5"/>
  </si>
  <si>
    <t>お邪魔パネルを吸収して攻撃力UP(最大10個)</t>
    <phoneticPr fontId="5"/>
  </si>
  <si>
    <t>お邪魔パネルを吸収して全体攻撃</t>
    <phoneticPr fontId="5"/>
  </si>
  <si>
    <t>ハートパネルを1個ダメージパネルに変換
+状態異常無効</t>
    <rPh sb="17" eb="19">
      <t>ヘンカｎ</t>
    </rPh>
    <rPh sb="21" eb="25">
      <t>ジョウタイイジョウ</t>
    </rPh>
    <rPh sb="25" eb="27">
      <t>ムコウ</t>
    </rPh>
    <phoneticPr fontId="5"/>
  </si>
  <si>
    <t>ヴリトラの使用してくるスキルにより
種族Unknownは大ダメージを受けます
パーティの種族構成に注意しましょう</t>
    <phoneticPr fontId="5"/>
  </si>
  <si>
    <t>ヴリトラの使用してくるスキルにより
種族Unknownは大ダメージを受けます
パーティの種族構成に注意しましょう</t>
    <rPh sb="5" eb="7">
      <t>siyou</t>
    </rPh>
    <rPh sb="18" eb="20">
      <t>シュゾク</t>
    </rPh>
    <rPh sb="28" eb="29">
      <t>ダイダメージ</t>
    </rPh>
    <rPh sb="34" eb="35">
      <t>ウケマス</t>
    </rPh>
    <rPh sb="44" eb="48">
      <t>シュゾクコウセイ</t>
    </rPh>
    <rPh sb="49" eb="51">
      <t>チュウイ</t>
    </rPh>
    <phoneticPr fontId="5"/>
  </si>
  <si>
    <t>カーリーは種族Unknownに対し
大ダメージとなるスキルを持っています
パーティの種族構成に注意しましょう</t>
    <rPh sb="5" eb="7">
      <t>シュゾク</t>
    </rPh>
    <rPh sb="15" eb="16">
      <t>タイシテ</t>
    </rPh>
    <rPh sb="18" eb="19">
      <t>ダイダメージ</t>
    </rPh>
    <rPh sb="30" eb="31">
      <t>モッテイマス</t>
    </rPh>
    <rPh sb="42" eb="46">
      <t>シュゾクコウセイ</t>
    </rPh>
    <rPh sb="47" eb="49">
      <t>チュウイ</t>
    </rPh>
    <phoneticPr fontId="5"/>
  </si>
  <si>
    <t>ダメージパネルの発動によるダメージは
タップ回数を使い切るまでは未確定です
確定前に回復することで相殺が可能です</t>
    <phoneticPr fontId="5"/>
  </si>
  <si>
    <t>ダメージパネルの発動によるダメージは
タップ回数を使い切るまでは未確定です
確定前に回復することで相殺が可能です</t>
    <phoneticPr fontId="5"/>
  </si>
  <si>
    <t>ダメージパネルの発動によるダメージは
タップ回数を使い切るまでは未確定です
確定前に回復することで相殺が可能です</t>
    <phoneticPr fontId="5"/>
  </si>
  <si>
    <t>解除するまで全ユニットの攻撃力DOWN</t>
    <rPh sb="0" eb="2">
      <t>カイジョ</t>
    </rPh>
    <phoneticPr fontId="5"/>
  </si>
  <si>
    <t>カーリーが攻撃に参加！
現在HPの10％ダメージ</t>
    <rPh sb="5" eb="7">
      <t>コウゲキニ</t>
    </rPh>
    <rPh sb="8" eb="10">
      <t>サンカ</t>
    </rPh>
    <phoneticPr fontId="5"/>
  </si>
  <si>
    <t>カーリーは立ち去っていった</t>
    <rPh sb="5" eb="6">
      <t>タチ</t>
    </rPh>
    <phoneticPr fontId="5"/>
  </si>
  <si>
    <t>9ターンの間行動頻度UP</t>
    <phoneticPr fontId="5"/>
  </si>
  <si>
    <t>2回連続攻撃</t>
    <phoneticPr fontId="5"/>
  </si>
  <si>
    <t>解除するまで全ユニットの攻撃力50%DOWN
+全体攻撃</t>
    <phoneticPr fontId="5"/>
  </si>
  <si>
    <t>解除するまで全ユニットの回復力50%DOWN
+4回連続攻撃</t>
    <phoneticPr fontId="5"/>
  </si>
  <si>
    <t>4ターン全ユニット回復力60%DOWN
+連続攻撃</t>
    <phoneticPr fontId="5"/>
  </si>
  <si>
    <t>4ターン全ユニットの攻撃力50%DOWN
+全体攻撃</t>
    <phoneticPr fontId="5"/>
  </si>
  <si>
    <t>解除するまで全ユニットの回復力50%DOWN
+4回連続攻撃</t>
    <phoneticPr fontId="5"/>
  </si>
  <si>
    <t>クリティカル！</t>
    <phoneticPr fontId="5"/>
  </si>
  <si>
    <t>さらにドゥルガーの外見に変化！
相変わらずカーリーの声は隠せていない…</t>
    <rPh sb="12" eb="14">
      <t>ヘンカ</t>
    </rPh>
    <rPh sb="16" eb="18">
      <t>アイカワラズ</t>
    </rPh>
    <rPh sb="26" eb="27">
      <t>コエ</t>
    </rPh>
    <rPh sb="28" eb="29">
      <t>カクセテイナイ</t>
    </rPh>
    <phoneticPr fontId="5"/>
  </si>
  <si>
    <t>ドーン！ドカーン！ワハハ！</t>
    <phoneticPr fontId="5"/>
  </si>
  <si>
    <t>…パールヴァティ……さん…は…
私が…消去…してあげます…</t>
    <phoneticPr fontId="5"/>
  </si>
  <si>
    <t>お邪魔パネルを吸収して全体攻撃</t>
    <rPh sb="11" eb="13">
      <t>ゼンタイ</t>
    </rPh>
    <phoneticPr fontId="5"/>
  </si>
  <si>
    <t>黄パネルを吸収して全体攻撃</t>
    <rPh sb="9" eb="11">
      <t>ゼンタイ</t>
    </rPh>
    <rPh sb="11" eb="13">
      <t>コウゲキ</t>
    </rPh>
    <phoneticPr fontId="5"/>
  </si>
  <si>
    <t>黄パネルを吸収して全体攻撃</t>
    <rPh sb="9" eb="11">
      <t>ゼンタイ</t>
    </rPh>
    <phoneticPr fontId="5"/>
  </si>
  <si>
    <t>青パネルを吸収して回復</t>
    <phoneticPr fontId="5"/>
  </si>
  <si>
    <t>お邪魔パネルを吸収して回復</t>
    <phoneticPr fontId="5"/>
  </si>
  <si>
    <t>次のターンにCパネルを
ダメージパネルに変換（最大10個）</t>
    <rPh sb="0" eb="1">
      <t>ツギノターン</t>
    </rPh>
    <rPh sb="20" eb="22">
      <t>ヘンカｎ</t>
    </rPh>
    <phoneticPr fontId="5"/>
  </si>
  <si>
    <t>次のターンにCパネルを
ダメージパネルに変換（最大10個）</t>
    <phoneticPr fontId="5"/>
  </si>
  <si>
    <t>お邪魔パネルを吸収して
攻撃力UP(最大10個)</t>
    <phoneticPr fontId="5"/>
  </si>
  <si>
    <t>攻撃力UP
+単体攻撃</t>
    <phoneticPr fontId="5"/>
  </si>
  <si>
    <t>解除するまで全ユニットの攻撃力50%DOWN
+全体攻撃</t>
    <phoneticPr fontId="5"/>
  </si>
  <si>
    <t>攻撃力UP
+単体攻撃</t>
    <phoneticPr fontId="5"/>
  </si>
  <si>
    <t xml:space="preserve">[effect:force_change_block, new_block:damage, target:block_all, ignore01:block_positive, ignore02:block_negative, color:block_red, count:2, val:0.3, animation:change_block]    </t>
  </si>
  <si>
    <t xml:space="preserve">[effect:force_change_block, new_block:damage, target:block_all, ignore01:block_positive, ignore02:block_negative, color:block_red, count:1, val:0.25, animation:change_block]    </t>
  </si>
  <si>
    <t xml:space="preserve">[effect:force_change_block, new_block:damage, target:block_all, ignore01:block_positive, ignore02:block_negative, color:block_red, count:2, val:0.25, animation:change_block]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</si>
</sst>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_);[Red]\(0\)"/>
    <numFmt numFmtId="177" formatCode="0.0"/>
  </numFmts>
  <fonts count="52" x14ac:knownFonts="1"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6"/>
      <name val="ＭＳ Ｐゴシック"/>
      <family val="2"/>
      <charset val="128"/>
    </font>
    <font>
      <sz val="10"/>
      <color rgb="FF00000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theme="0"/>
      <name val="ＭＳ Ｐゴシック"/>
      <family val="3"/>
      <charset val="128"/>
    </font>
    <font>
      <sz val="12"/>
      <color theme="0"/>
      <name val="ＭＳ Ｐゴシック"/>
      <family val="2"/>
      <charset val="128"/>
      <scheme val="minor"/>
    </font>
    <font>
      <sz val="10"/>
      <color theme="0"/>
      <name val="ＭＳ Ｐゴシック"/>
      <family val="3"/>
      <charset val="128"/>
      <scheme val="minor"/>
    </font>
    <font>
      <b/>
      <sz val="10"/>
      <color indexed="81"/>
      <name val="ＭＳ Ｐゴシック"/>
      <family val="2"/>
      <charset val="128"/>
    </font>
    <font>
      <sz val="10"/>
      <color theme="1"/>
      <name val="ＭＳ Ｐゴシック"/>
      <family val="3"/>
      <charset val="128"/>
      <scheme val="minor"/>
    </font>
    <font>
      <sz val="10"/>
      <color indexed="81"/>
      <name val="ＭＳ Ｐゴシック"/>
      <family val="3"/>
      <charset val="128"/>
    </font>
    <font>
      <sz val="10"/>
      <color indexed="8"/>
      <name val="Arial"/>
      <family val="2"/>
    </font>
    <font>
      <sz val="12"/>
      <color indexed="8"/>
      <name val="Times New Roman"/>
      <family val="1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8"/>
      <name val="ＭＳ Ｐゴシック"/>
      <family val="3"/>
      <charset val="128"/>
    </font>
    <font>
      <sz val="11"/>
      <color theme="1"/>
      <name val="ＭＳ Ｐゴシック"/>
      <family val="2"/>
      <charset val="128"/>
      <scheme val="minor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rgb="FF000000"/>
      <name val="ＭＳ Ｐゴシック"/>
      <family val="3"/>
      <charset val="128"/>
      <scheme val="minor"/>
    </font>
    <font>
      <sz val="12"/>
      <name val="ＭＳ Ｐゴシック"/>
      <family val="3"/>
      <charset val="128"/>
      <scheme val="minor"/>
    </font>
    <font>
      <sz val="10"/>
      <color rgb="FF000000"/>
      <name val="Arial"/>
      <family val="2"/>
    </font>
    <font>
      <sz val="10"/>
      <color indexed="8"/>
      <name val="ＭＳ Ｐゴシック"/>
      <family val="3"/>
      <charset val="128"/>
      <scheme val="minor"/>
    </font>
    <font>
      <sz val="9.6"/>
      <color rgb="FF000000"/>
      <name val="Arial"/>
      <family val="2"/>
    </font>
    <font>
      <sz val="9.6"/>
      <color rgb="FF000000"/>
      <name val="ＭＳ Ｐゴシック"/>
      <family val="2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b/>
      <sz val="10"/>
      <color theme="1"/>
      <name val="ＭＳ Ｐゴシック"/>
      <family val="3"/>
      <charset val="128"/>
      <scheme val="minor"/>
    </font>
  </fonts>
  <fills count="3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2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16"/>
        <bgColor indexed="37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DDEBF7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</fills>
  <borders count="4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/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698">
    <xf numFmtId="0" fontId="0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3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8" fillId="0" borderId="0"/>
    <xf numFmtId="38" fontId="19" fillId="0" borderId="0" applyFill="0" applyBorder="0" applyAlignment="0" applyProtection="0"/>
    <xf numFmtId="0" fontId="20" fillId="8" borderId="0" applyNumberFormat="0" applyBorder="0" applyAlignment="0" applyProtection="0"/>
    <xf numFmtId="0" fontId="21" fillId="9" borderId="0" applyNumberFormat="0" applyBorder="0" applyAlignment="0" applyProtection="0"/>
    <xf numFmtId="0" fontId="22" fillId="0" borderId="0"/>
    <xf numFmtId="0" fontId="23" fillId="0" borderId="0">
      <alignment vertical="center"/>
    </xf>
    <xf numFmtId="0" fontId="24" fillId="0" borderId="0">
      <alignment vertical="center"/>
    </xf>
    <xf numFmtId="0" fontId="25" fillId="10" borderId="0" applyNumberFormat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2" fillId="0" borderId="0"/>
    <xf numFmtId="0" fontId="2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38" fontId="1" fillId="0" borderId="0" applyFont="0" applyFill="0" applyBorder="0" applyAlignment="0" applyProtection="0">
      <alignment vertical="center"/>
    </xf>
    <xf numFmtId="0" fontId="32" fillId="16" borderId="13" applyNumberFormat="0" applyAlignment="0" applyProtection="0"/>
    <xf numFmtId="0" fontId="33" fillId="17" borderId="0" applyNumberFormat="0" applyBorder="0" applyAlignment="0" applyProtection="0"/>
    <xf numFmtId="0" fontId="34" fillId="18" borderId="14" applyNumberFormat="0" applyAlignment="0" applyProtection="0"/>
    <xf numFmtId="0" fontId="35" fillId="0" borderId="0" applyNumberFormat="0" applyFill="0" applyBorder="0" applyAlignment="0" applyProtection="0"/>
    <xf numFmtId="0" fontId="36" fillId="19" borderId="0" applyNumberFormat="0" applyBorder="0" applyAlignment="0" applyProtection="0"/>
    <xf numFmtId="0" fontId="37" fillId="20" borderId="15" applyNumberFormat="0" applyAlignment="0" applyProtection="0"/>
    <xf numFmtId="0" fontId="38" fillId="0" borderId="0" applyNumberFormat="0" applyFill="0" applyBorder="0" applyAlignment="0" applyProtection="0"/>
    <xf numFmtId="0" fontId="39" fillId="0" borderId="16" applyNumberFormat="0" applyFill="0" applyAlignment="0" applyProtection="0"/>
    <xf numFmtId="0" fontId="40" fillId="0" borderId="17" applyNumberFormat="0" applyFill="0" applyAlignment="0" applyProtection="0"/>
    <xf numFmtId="0" fontId="41" fillId="0" borderId="18" applyNumberFormat="0" applyFill="0" applyAlignment="0" applyProtection="0"/>
    <xf numFmtId="0" fontId="41" fillId="0" borderId="0" applyNumberFormat="0" applyFill="0" applyBorder="0" applyAlignment="0" applyProtection="0"/>
    <xf numFmtId="0" fontId="42" fillId="18" borderId="0" applyNumberFormat="0" applyBorder="0" applyAlignment="0" applyProtection="0"/>
    <xf numFmtId="0" fontId="42" fillId="17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2" borderId="0" applyNumberFormat="0" applyBorder="0" applyAlignment="0" applyProtection="0"/>
    <xf numFmtId="0" fontId="42" fillId="16" borderId="0" applyNumberFormat="0" applyBorder="0" applyAlignment="0" applyProtection="0"/>
    <xf numFmtId="0" fontId="42" fillId="18" borderId="0" applyNumberFormat="0" applyBorder="0" applyAlignment="0" applyProtection="0"/>
    <xf numFmtId="0" fontId="42" fillId="23" borderId="0" applyNumberFormat="0" applyBorder="0" applyAlignment="0" applyProtection="0"/>
    <xf numFmtId="0" fontId="42" fillId="21" borderId="0" applyNumberFormat="0" applyBorder="0" applyAlignment="0" applyProtection="0"/>
    <xf numFmtId="0" fontId="42" fillId="18" borderId="0" applyNumberFormat="0" applyBorder="0" applyAlignment="0" applyProtection="0"/>
    <xf numFmtId="0" fontId="42" fillId="24" borderId="0" applyNumberFormat="0" applyBorder="0" applyAlignment="0" applyProtection="0"/>
    <xf numFmtId="0" fontId="42" fillId="1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3" fillId="21" borderId="0" applyNumberFormat="0" applyBorder="0" applyAlignment="0" applyProtection="0"/>
    <xf numFmtId="0" fontId="43" fillId="18" borderId="0" applyNumberFormat="0" applyBorder="0" applyAlignment="0" applyProtection="0"/>
    <xf numFmtId="0" fontId="43" fillId="25" borderId="0" applyNumberFormat="0" applyBorder="0" applyAlignment="0" applyProtection="0"/>
    <xf numFmtId="0" fontId="43" fillId="17" borderId="0" applyNumberFormat="0" applyBorder="0" applyAlignment="0" applyProtection="0"/>
    <xf numFmtId="0" fontId="35" fillId="0" borderId="0" applyNumberFormat="0" applyFill="0" applyBorder="0" applyAlignment="0" applyProtection="0"/>
    <xf numFmtId="0" fontId="43" fillId="25" borderId="0" applyNumberFormat="0" applyBorder="0" applyAlignment="0" applyProtection="0"/>
    <xf numFmtId="0" fontId="43" fillId="26" borderId="0" applyNumberFormat="0" applyBorder="0" applyAlignment="0" applyProtection="0"/>
    <xf numFmtId="0" fontId="43" fillId="21" borderId="0" applyNumberFormat="0" applyBorder="0" applyAlignment="0" applyProtection="0"/>
    <xf numFmtId="0" fontId="43" fillId="27" borderId="0" applyNumberFormat="0" applyBorder="0" applyAlignment="0" applyProtection="0"/>
    <xf numFmtId="0" fontId="43" fillId="25" borderId="0" applyNumberFormat="0" applyBorder="0" applyAlignment="0" applyProtection="0"/>
    <xf numFmtId="0" fontId="43" fillId="23" borderId="0" applyNumberFormat="0" applyBorder="0" applyAlignment="0" applyProtection="0"/>
    <xf numFmtId="0" fontId="44" fillId="28" borderId="0" applyNumberFormat="0" applyBorder="0" applyAlignment="0" applyProtection="0"/>
    <xf numFmtId="0" fontId="33" fillId="17" borderId="0" applyNumberFormat="0" applyBorder="0" applyAlignment="0" applyProtection="0"/>
    <xf numFmtId="0" fontId="45" fillId="0" borderId="19" applyNumberFormat="0" applyFill="0" applyAlignment="0" applyProtection="0"/>
    <xf numFmtId="0" fontId="46" fillId="18" borderId="20" applyNumberFormat="0" applyAlignment="0" applyProtection="0"/>
    <xf numFmtId="0" fontId="46" fillId="29" borderId="20" applyNumberFormat="0" applyAlignment="0" applyProtection="0"/>
    <xf numFmtId="0" fontId="34" fillId="17" borderId="14" applyNumberFormat="0" applyAlignment="0" applyProtection="0"/>
    <xf numFmtId="0" fontId="47" fillId="0" borderId="21" applyNumberFormat="0" applyFill="0" applyAlignment="0" applyProtection="0"/>
    <xf numFmtId="0" fontId="48" fillId="29" borderId="14" applyNumberFormat="0" applyAlignment="0" applyProtection="0"/>
    <xf numFmtId="0" fontId="49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22" applyNumberFormat="0" applyFill="0" applyAlignment="0" applyProtection="0"/>
    <xf numFmtId="0" fontId="1" fillId="0" borderId="0"/>
    <xf numFmtId="0" fontId="1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</cellStyleXfs>
  <cellXfs count="174">
    <xf numFmtId="0" fontId="0" fillId="0" borderId="0" xfId="0"/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4" fillId="0" borderId="0" xfId="0" applyFont="1" applyAlignment="1">
      <alignment vertical="center"/>
    </xf>
    <xf numFmtId="0" fontId="6" fillId="5" borderId="3" xfId="0" applyFont="1" applyFill="1" applyBorder="1" applyAlignment="1">
      <alignment vertical="center"/>
    </xf>
    <xf numFmtId="0" fontId="8" fillId="0" borderId="4" xfId="0" applyFont="1" applyBorder="1" applyAlignment="1">
      <alignment vertical="center"/>
    </xf>
    <xf numFmtId="0" fontId="4" fillId="0" borderId="5" xfId="0" applyFont="1" applyBorder="1" applyAlignment="1">
      <alignment vertical="center"/>
    </xf>
    <xf numFmtId="0" fontId="4" fillId="0" borderId="1" xfId="0" applyFont="1" applyFill="1" applyBorder="1" applyAlignment="1">
      <alignment vertical="center"/>
    </xf>
    <xf numFmtId="0" fontId="4" fillId="0" borderId="6" xfId="0" applyFont="1" applyBorder="1" applyAlignment="1">
      <alignment vertical="center"/>
    </xf>
    <xf numFmtId="0" fontId="4" fillId="0" borderId="0" xfId="0" applyFont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6" fillId="5" borderId="1" xfId="0" applyFont="1" applyFill="1" applyBorder="1" applyAlignment="1">
      <alignment vertical="center"/>
    </xf>
    <xf numFmtId="0" fontId="6" fillId="0" borderId="1" xfId="0" applyFont="1" applyFill="1" applyBorder="1" applyAlignment="1">
      <alignment vertical="center"/>
    </xf>
    <xf numFmtId="0" fontId="4" fillId="3" borderId="0" xfId="0" applyFont="1" applyFill="1" applyAlignment="1">
      <alignment horizontal="center" vertical="center"/>
    </xf>
    <xf numFmtId="0" fontId="4" fillId="3" borderId="0" xfId="0" applyFont="1" applyFill="1" applyAlignment="1">
      <alignment vertical="center"/>
    </xf>
    <xf numFmtId="0" fontId="4" fillId="3" borderId="7" xfId="0" applyFont="1" applyFill="1" applyBorder="1" applyAlignment="1">
      <alignment horizontal="center" vertical="center"/>
    </xf>
    <xf numFmtId="0" fontId="12" fillId="7" borderId="0" xfId="0" applyFont="1" applyFill="1" applyAlignment="1">
      <alignment vertical="center"/>
    </xf>
    <xf numFmtId="0" fontId="6" fillId="5" borderId="9" xfId="0" applyFont="1" applyFill="1" applyBorder="1" applyAlignment="1">
      <alignment vertical="center"/>
    </xf>
    <xf numFmtId="0" fontId="6" fillId="5" borderId="7" xfId="0" applyFont="1" applyFill="1" applyBorder="1" applyAlignment="1">
      <alignment vertical="center"/>
    </xf>
    <xf numFmtId="0" fontId="12" fillId="0" borderId="0" xfId="0" applyFont="1" applyFill="1" applyAlignment="1">
      <alignment vertical="center"/>
    </xf>
    <xf numFmtId="0" fontId="4" fillId="0" borderId="1" xfId="0" applyFont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176" fontId="4" fillId="0" borderId="3" xfId="0" applyNumberFormat="1" applyFont="1" applyFill="1" applyBorder="1" applyAlignment="1">
      <alignment horizontal="center" vertical="center"/>
    </xf>
    <xf numFmtId="0" fontId="6" fillId="3" borderId="7" xfId="0" applyFont="1" applyFill="1" applyBorder="1" applyAlignment="1">
      <alignment vertical="center"/>
    </xf>
    <xf numFmtId="0" fontId="4" fillId="3" borderId="1" xfId="0" applyFont="1" applyFill="1" applyBorder="1" applyAlignment="1">
      <alignment vertical="center"/>
    </xf>
    <xf numFmtId="177" fontId="8" fillId="0" borderId="4" xfId="0" applyNumberFormat="1" applyFont="1" applyBorder="1" applyAlignment="1">
      <alignment vertical="center"/>
    </xf>
    <xf numFmtId="0" fontId="4" fillId="2" borderId="7" xfId="0" applyFont="1" applyFill="1" applyBorder="1" applyAlignment="1">
      <alignment horizontal="left" vertical="center"/>
    </xf>
    <xf numFmtId="0" fontId="12" fillId="7" borderId="0" xfId="0" applyFont="1" applyFill="1" applyAlignment="1">
      <alignment horizontal="left" vertical="center"/>
    </xf>
    <xf numFmtId="0" fontId="4" fillId="2" borderId="1" xfId="0" applyFont="1" applyFill="1" applyBorder="1" applyAlignment="1">
      <alignment horizontal="left" vertical="center"/>
    </xf>
    <xf numFmtId="0" fontId="4" fillId="3" borderId="7" xfId="0" applyFont="1" applyFill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8" xfId="0" applyFont="1" applyFill="1" applyBorder="1" applyAlignment="1">
      <alignment horizontal="left" vertical="center"/>
    </xf>
    <xf numFmtId="0" fontId="4" fillId="3" borderId="10" xfId="0" applyFont="1" applyFill="1" applyBorder="1" applyAlignment="1">
      <alignment horizontal="left" vertical="center"/>
    </xf>
    <xf numFmtId="0" fontId="4" fillId="2" borderId="2" xfId="0" applyFont="1" applyFill="1" applyBorder="1" applyAlignment="1">
      <alignment horizontal="left" vertical="center"/>
    </xf>
    <xf numFmtId="0" fontId="6" fillId="4" borderId="7" xfId="0" applyFont="1" applyFill="1" applyBorder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4" fillId="6" borderId="7" xfId="0" applyFont="1" applyFill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6" fillId="0" borderId="7" xfId="0" applyFont="1" applyFill="1" applyBorder="1" applyAlignment="1">
      <alignment vertical="center"/>
    </xf>
    <xf numFmtId="0" fontId="14" fillId="7" borderId="0" xfId="0" applyFont="1" applyFill="1" applyAlignment="1">
      <alignment vertical="center"/>
    </xf>
    <xf numFmtId="0" fontId="11" fillId="3" borderId="2" xfId="0" applyFont="1" applyFill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16" fillId="3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vertical="center"/>
    </xf>
    <xf numFmtId="0" fontId="16" fillId="3" borderId="7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16" fillId="0" borderId="7" xfId="0" applyFont="1" applyFill="1" applyBorder="1" applyAlignment="1">
      <alignment horizontal="left" vertical="center"/>
    </xf>
    <xf numFmtId="0" fontId="16" fillId="0" borderId="7" xfId="0" applyFont="1" applyFill="1" applyBorder="1" applyAlignment="1">
      <alignment horizontal="left" vertical="center" wrapText="1"/>
    </xf>
    <xf numFmtId="14" fontId="16" fillId="0" borderId="7" xfId="0" applyNumberFormat="1" applyFont="1" applyFill="1" applyBorder="1" applyAlignment="1">
      <alignment horizontal="left" vertical="center"/>
    </xf>
    <xf numFmtId="0" fontId="11" fillId="6" borderId="2" xfId="0" applyFont="1" applyFill="1" applyBorder="1" applyAlignment="1">
      <alignment horizontal="center" vertical="center"/>
    </xf>
    <xf numFmtId="0" fontId="14" fillId="7" borderId="0" xfId="0" applyFont="1" applyFill="1" applyAlignment="1">
      <alignment horizontal="center" vertical="center"/>
    </xf>
    <xf numFmtId="0" fontId="13" fillId="11" borderId="7" xfId="0" applyFont="1" applyFill="1" applyBorder="1"/>
    <xf numFmtId="0" fontId="0" fillId="11" borderId="7" xfId="0" applyFill="1" applyBorder="1"/>
    <xf numFmtId="0" fontId="0" fillId="0" borderId="7" xfId="0" applyBorder="1"/>
    <xf numFmtId="0" fontId="0" fillId="6" borderId="7" xfId="0" applyFill="1" applyBorder="1"/>
    <xf numFmtId="0" fontId="26" fillId="12" borderId="7" xfId="0" applyFont="1" applyFill="1" applyBorder="1"/>
    <xf numFmtId="0" fontId="13" fillId="11" borderId="7" xfId="434" applyFont="1" applyFill="1" applyBorder="1" applyAlignment="1"/>
    <xf numFmtId="0" fontId="24" fillId="0" borderId="7" xfId="434" applyBorder="1" applyAlignment="1"/>
    <xf numFmtId="0" fontId="0" fillId="13" borderId="7" xfId="0" applyFill="1" applyBorder="1"/>
    <xf numFmtId="0" fontId="16" fillId="3" borderId="7" xfId="0" applyFont="1" applyFill="1" applyBorder="1" applyAlignment="1">
      <alignment horizontal="left" vertical="center" wrapText="1"/>
    </xf>
    <xf numFmtId="0" fontId="16" fillId="6" borderId="7" xfId="614" applyFont="1" applyFill="1" applyBorder="1" applyAlignment="1">
      <alignment horizontal="left"/>
    </xf>
    <xf numFmtId="0" fontId="14" fillId="7" borderId="0" xfId="614" applyFont="1" applyFill="1" applyAlignment="1">
      <alignment horizontal="center" vertical="center"/>
    </xf>
    <xf numFmtId="0" fontId="0" fillId="6" borderId="7" xfId="615" applyFont="1" applyFill="1" applyBorder="1"/>
    <xf numFmtId="0" fontId="0" fillId="0" borderId="7" xfId="615" applyFont="1" applyBorder="1"/>
    <xf numFmtId="0" fontId="2" fillId="11" borderId="7" xfId="615" applyFill="1" applyBorder="1"/>
    <xf numFmtId="0" fontId="4" fillId="0" borderId="7" xfId="0" applyFont="1" applyBorder="1" applyAlignment="1">
      <alignment vertical="center"/>
    </xf>
    <xf numFmtId="0" fontId="6" fillId="5" borderId="11" xfId="0" applyFont="1" applyFill="1" applyBorder="1" applyAlignment="1">
      <alignment vertical="center"/>
    </xf>
    <xf numFmtId="0" fontId="0" fillId="3" borderId="7" xfId="0" applyFill="1" applyBorder="1"/>
    <xf numFmtId="0" fontId="16" fillId="3" borderId="7" xfId="614" applyFont="1" applyFill="1" applyBorder="1" applyAlignment="1">
      <alignment horizontal="left"/>
    </xf>
    <xf numFmtId="0" fontId="16" fillId="6" borderId="7" xfId="0" applyFont="1" applyFill="1" applyBorder="1" applyAlignment="1">
      <alignment horizontal="center"/>
    </xf>
    <xf numFmtId="56" fontId="16" fillId="6" borderId="7" xfId="0" applyNumberFormat="1" applyFont="1" applyFill="1" applyBorder="1" applyAlignment="1">
      <alignment horizontal="center"/>
    </xf>
    <xf numFmtId="0" fontId="2" fillId="0" borderId="0" xfId="615"/>
    <xf numFmtId="0" fontId="27" fillId="6" borderId="7" xfId="0" applyFont="1" applyFill="1" applyBorder="1" applyAlignment="1">
      <alignment horizontal="center"/>
    </xf>
    <xf numFmtId="0" fontId="16" fillId="3" borderId="7" xfId="0" applyFont="1" applyFill="1" applyBorder="1" applyAlignment="1">
      <alignment horizontal="center"/>
    </xf>
    <xf numFmtId="0" fontId="16" fillId="14" borderId="7" xfId="0" applyFont="1" applyFill="1" applyBorder="1" applyAlignment="1">
      <alignment horizontal="center"/>
    </xf>
    <xf numFmtId="0" fontId="16" fillId="15" borderId="7" xfId="0" applyFont="1" applyFill="1" applyBorder="1" applyAlignment="1">
      <alignment horizontal="center"/>
    </xf>
    <xf numFmtId="0" fontId="0" fillId="15" borderId="7" xfId="0" applyFill="1" applyBorder="1"/>
    <xf numFmtId="0" fontId="27" fillId="0" borderId="7" xfId="0" applyFont="1" applyFill="1" applyBorder="1"/>
    <xf numFmtId="0" fontId="28" fillId="0" borderId="7" xfId="0" applyFont="1" applyFill="1" applyBorder="1"/>
    <xf numFmtId="0" fontId="29" fillId="3" borderId="12" xfId="0" applyFont="1" applyFill="1" applyBorder="1" applyAlignment="1">
      <alignment vertical="center"/>
    </xf>
    <xf numFmtId="0" fontId="30" fillId="0" borderId="7" xfId="0" applyFont="1" applyFill="1" applyBorder="1"/>
    <xf numFmtId="0" fontId="29" fillId="0" borderId="12" xfId="0" applyFont="1" applyFill="1" applyBorder="1" applyAlignment="1">
      <alignment vertical="center"/>
    </xf>
    <xf numFmtId="0" fontId="30" fillId="14" borderId="7" xfId="0" applyFont="1" applyFill="1" applyBorder="1"/>
    <xf numFmtId="0" fontId="31" fillId="0" borderId="7" xfId="0" applyFont="1" applyFill="1" applyBorder="1"/>
    <xf numFmtId="0" fontId="27" fillId="0" borderId="0" xfId="0" applyFont="1" applyFill="1"/>
    <xf numFmtId="0" fontId="16" fillId="30" borderId="7" xfId="0" applyFont="1" applyFill="1" applyBorder="1" applyAlignment="1">
      <alignment horizontal="center"/>
    </xf>
    <xf numFmtId="0" fontId="30" fillId="30" borderId="7" xfId="0" applyFont="1" applyFill="1" applyBorder="1"/>
    <xf numFmtId="0" fontId="16" fillId="13" borderId="7" xfId="0" applyFont="1" applyFill="1" applyBorder="1" applyAlignment="1">
      <alignment horizontal="center"/>
    </xf>
    <xf numFmtId="56" fontId="16" fillId="14" borderId="7" xfId="0" applyNumberFormat="1" applyFont="1" applyFill="1" applyBorder="1" applyAlignment="1">
      <alignment horizontal="center"/>
    </xf>
    <xf numFmtId="0" fontId="16" fillId="6" borderId="7" xfId="11" applyFont="1" applyFill="1" applyBorder="1" applyAlignment="1">
      <alignment horizontal="left"/>
    </xf>
    <xf numFmtId="0" fontId="13" fillId="7" borderId="0" xfId="0" applyFont="1" applyFill="1" applyAlignment="1">
      <alignment horizontal="center"/>
    </xf>
    <xf numFmtId="0" fontId="51" fillId="6" borderId="7" xfId="0" applyFont="1" applyFill="1" applyBorder="1" applyAlignment="1">
      <alignment horizontal="center"/>
    </xf>
    <xf numFmtId="0" fontId="13" fillId="7" borderId="0" xfId="0" applyFont="1" applyFill="1" applyAlignment="1">
      <alignment horizontal="left" indent="1"/>
    </xf>
    <xf numFmtId="0" fontId="30" fillId="3" borderId="7" xfId="0" applyFont="1" applyFill="1" applyBorder="1"/>
    <xf numFmtId="22" fontId="30" fillId="0" borderId="7" xfId="0" quotePrefix="1" applyNumberFormat="1" applyFont="1" applyFill="1" applyBorder="1"/>
    <xf numFmtId="0" fontId="30" fillId="0" borderId="7" xfId="0" quotePrefix="1" applyFont="1" applyFill="1" applyBorder="1"/>
    <xf numFmtId="0" fontId="2" fillId="0" borderId="7" xfId="615" applyBorder="1"/>
    <xf numFmtId="0" fontId="2" fillId="6" borderId="7" xfId="615" applyFill="1" applyBorder="1"/>
    <xf numFmtId="0" fontId="4" fillId="31" borderId="7" xfId="0" applyFont="1" applyFill="1" applyBorder="1" applyAlignment="1">
      <alignment horizontal="left" vertical="center"/>
    </xf>
    <xf numFmtId="1" fontId="32" fillId="31" borderId="7" xfId="0" applyNumberFormat="1" applyFont="1" applyFill="1" applyBorder="1" applyAlignment="1">
      <alignment vertical="center"/>
    </xf>
    <xf numFmtId="0" fontId="4" fillId="31" borderId="0" xfId="0" applyFont="1" applyFill="1" applyAlignment="1">
      <alignment vertical="center"/>
    </xf>
    <xf numFmtId="0" fontId="0" fillId="0" borderId="24" xfId="0" applyBorder="1"/>
    <xf numFmtId="0" fontId="0" fillId="3" borderId="24" xfId="0" applyFill="1" applyBorder="1"/>
    <xf numFmtId="0" fontId="6" fillId="5" borderId="24" xfId="0" applyFont="1" applyFill="1" applyBorder="1" applyAlignment="1">
      <alignment vertical="center"/>
    </xf>
    <xf numFmtId="0" fontId="0" fillId="0" borderId="25" xfId="0" applyBorder="1"/>
    <xf numFmtId="0" fontId="0" fillId="0" borderId="26" xfId="0" applyBorder="1"/>
    <xf numFmtId="0" fontId="0" fillId="0" borderId="8" xfId="0" applyBorder="1"/>
    <xf numFmtId="0" fontId="0" fillId="0" borderId="27" xfId="0" applyBorder="1"/>
    <xf numFmtId="0" fontId="0" fillId="0" borderId="28" xfId="0" applyBorder="1"/>
    <xf numFmtId="0" fontId="0" fillId="3" borderId="28" xfId="0" applyFill="1" applyBorder="1"/>
    <xf numFmtId="0" fontId="6" fillId="5" borderId="28" xfId="0" applyFont="1" applyFill="1" applyBorder="1" applyAlignment="1">
      <alignment vertical="center"/>
    </xf>
    <xf numFmtId="0" fontId="0" fillId="0" borderId="29" xfId="0" applyBorder="1"/>
    <xf numFmtId="0" fontId="0" fillId="13" borderId="30" xfId="0" applyFill="1" applyBorder="1"/>
    <xf numFmtId="0" fontId="0" fillId="13" borderId="27" xfId="0" applyFill="1" applyBorder="1"/>
    <xf numFmtId="0" fontId="0" fillId="0" borderId="31" xfId="0" applyBorder="1"/>
    <xf numFmtId="0" fontId="16" fillId="6" borderId="2" xfId="614" applyFont="1" applyFill="1" applyBorder="1" applyAlignment="1">
      <alignment horizontal="left"/>
    </xf>
    <xf numFmtId="0" fontId="0" fillId="0" borderId="32" xfId="0" applyBorder="1"/>
    <xf numFmtId="0" fontId="0" fillId="0" borderId="10" xfId="0" applyBorder="1"/>
    <xf numFmtId="0" fontId="0" fillId="0" borderId="33" xfId="0" applyBorder="1"/>
    <xf numFmtId="0" fontId="0" fillId="0" borderId="30" xfId="0" applyBorder="1"/>
    <xf numFmtId="38" fontId="16" fillId="0" borderId="7" xfId="628" applyFont="1" applyFill="1" applyBorder="1" applyAlignment="1">
      <alignment wrapText="1"/>
    </xf>
    <xf numFmtId="0" fontId="16" fillId="6" borderId="2" xfId="0" applyFont="1" applyFill="1" applyBorder="1" applyAlignment="1">
      <alignment horizontal="center" vertical="center"/>
    </xf>
    <xf numFmtId="0" fontId="16" fillId="3" borderId="2" xfId="0" applyFont="1" applyFill="1" applyBorder="1" applyAlignment="1">
      <alignment horizontal="center" vertical="center"/>
    </xf>
    <xf numFmtId="0" fontId="16" fillId="0" borderId="23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16" fillId="0" borderId="24" xfId="0" applyFont="1" applyFill="1" applyBorder="1" applyAlignment="1">
      <alignment horizontal="left" vertical="center"/>
    </xf>
    <xf numFmtId="0" fontId="16" fillId="0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horizontal="left" vertical="center" wrapText="1"/>
    </xf>
    <xf numFmtId="0" fontId="16" fillId="3" borderId="24" xfId="0" applyFont="1" applyFill="1" applyBorder="1" applyAlignment="1">
      <alignment vertical="center"/>
    </xf>
    <xf numFmtId="14" fontId="16" fillId="0" borderId="24" xfId="0" applyNumberFormat="1" applyFont="1" applyFill="1" applyBorder="1" applyAlignment="1">
      <alignment horizontal="left" vertical="center"/>
    </xf>
    <xf numFmtId="0" fontId="16" fillId="0" borderId="34" xfId="0" applyFont="1" applyFill="1" applyBorder="1" applyAlignment="1">
      <alignment horizontal="left" vertical="center"/>
    </xf>
    <xf numFmtId="0" fontId="16" fillId="0" borderId="35" xfId="0" applyFont="1" applyFill="1" applyBorder="1" applyAlignment="1">
      <alignment horizontal="left" vertical="center"/>
    </xf>
    <xf numFmtId="0" fontId="16" fillId="0" borderId="28" xfId="0" applyFont="1" applyFill="1" applyBorder="1" applyAlignment="1">
      <alignment vertical="center"/>
    </xf>
    <xf numFmtId="0" fontId="16" fillId="0" borderId="28" xfId="0" applyFont="1" applyFill="1" applyBorder="1" applyAlignment="1">
      <alignment horizontal="left" vertical="center"/>
    </xf>
    <xf numFmtId="0" fontId="16" fillId="0" borderId="28" xfId="0" applyFont="1" applyFill="1" applyBorder="1" applyAlignment="1">
      <alignment horizontal="left" vertical="center" wrapText="1"/>
    </xf>
    <xf numFmtId="0" fontId="16" fillId="3" borderId="28" xfId="0" applyFont="1" applyFill="1" applyBorder="1" applyAlignment="1">
      <alignment horizontal="left" vertical="center" wrapText="1"/>
    </xf>
    <xf numFmtId="0" fontId="16" fillId="3" borderId="28" xfId="0" applyFont="1" applyFill="1" applyBorder="1" applyAlignment="1">
      <alignment vertical="center"/>
    </xf>
    <xf numFmtId="14" fontId="16" fillId="0" borderId="28" xfId="0" applyNumberFormat="1" applyFont="1" applyFill="1" applyBorder="1" applyAlignment="1">
      <alignment horizontal="left" vertical="center"/>
    </xf>
    <xf numFmtId="0" fontId="16" fillId="0" borderId="36" xfId="0" applyFont="1" applyFill="1" applyBorder="1" applyAlignment="1">
      <alignment horizontal="left" vertical="center"/>
    </xf>
    <xf numFmtId="0" fontId="16" fillId="32" borderId="24" xfId="0" applyFont="1" applyFill="1" applyBorder="1" applyAlignment="1">
      <alignment vertical="center"/>
    </xf>
    <xf numFmtId="0" fontId="16" fillId="32" borderId="7" xfId="0" applyFont="1" applyFill="1" applyBorder="1" applyAlignment="1">
      <alignment vertical="center"/>
    </xf>
    <xf numFmtId="0" fontId="16" fillId="32" borderId="28" xfId="0" applyFont="1" applyFill="1" applyBorder="1" applyAlignment="1">
      <alignment vertical="center"/>
    </xf>
    <xf numFmtId="0" fontId="16" fillId="32" borderId="2" xfId="0" applyFont="1" applyFill="1" applyBorder="1" applyAlignment="1">
      <alignment vertical="center"/>
    </xf>
    <xf numFmtId="0" fontId="16" fillId="0" borderId="2" xfId="0" applyFont="1" applyFill="1" applyBorder="1" applyAlignment="1">
      <alignment horizontal="left" vertical="center"/>
    </xf>
    <xf numFmtId="0" fontId="16" fillId="0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horizontal="left" vertical="center" wrapText="1"/>
    </xf>
    <xf numFmtId="0" fontId="16" fillId="3" borderId="2" xfId="0" applyFont="1" applyFill="1" applyBorder="1" applyAlignment="1">
      <alignment vertical="center"/>
    </xf>
    <xf numFmtId="14" fontId="16" fillId="0" borderId="2" xfId="0" applyNumberFormat="1" applyFont="1" applyFill="1" applyBorder="1" applyAlignment="1">
      <alignment horizontal="left" vertical="center"/>
    </xf>
    <xf numFmtId="0" fontId="16" fillId="0" borderId="37" xfId="0" applyFont="1" applyFill="1" applyBorder="1" applyAlignment="1">
      <alignment horizontal="left" vertical="center"/>
    </xf>
    <xf numFmtId="0" fontId="16" fillId="32" borderId="38" xfId="0" applyFont="1" applyFill="1" applyBorder="1" applyAlignment="1">
      <alignment vertical="center"/>
    </xf>
    <xf numFmtId="0" fontId="16" fillId="0" borderId="38" xfId="0" applyFont="1" applyFill="1" applyBorder="1" applyAlignment="1">
      <alignment horizontal="left" vertical="center"/>
    </xf>
    <xf numFmtId="0" fontId="16" fillId="0" borderId="38" xfId="0" applyFont="1" applyFill="1" applyBorder="1" applyAlignment="1">
      <alignment horizontal="left" vertical="center" wrapText="1"/>
    </xf>
    <xf numFmtId="0" fontId="16" fillId="3" borderId="38" xfId="0" applyFont="1" applyFill="1" applyBorder="1" applyAlignment="1">
      <alignment horizontal="left" vertical="center" wrapText="1"/>
    </xf>
    <xf numFmtId="0" fontId="16" fillId="3" borderId="38" xfId="0" applyFont="1" applyFill="1" applyBorder="1" applyAlignment="1">
      <alignment vertical="center"/>
    </xf>
    <xf numFmtId="14" fontId="16" fillId="0" borderId="38" xfId="0" applyNumberFormat="1" applyFont="1" applyFill="1" applyBorder="1" applyAlignment="1">
      <alignment horizontal="left" vertical="center"/>
    </xf>
    <xf numFmtId="0" fontId="16" fillId="0" borderId="39" xfId="0" applyFont="1" applyFill="1" applyBorder="1" applyAlignment="1">
      <alignment horizontal="left" vertical="center"/>
    </xf>
    <xf numFmtId="0" fontId="16" fillId="0" borderId="40" xfId="0" applyFont="1" applyFill="1" applyBorder="1" applyAlignment="1">
      <alignment vertical="center"/>
    </xf>
    <xf numFmtId="0" fontId="16" fillId="0" borderId="12" xfId="0" applyFont="1" applyFill="1" applyBorder="1" applyAlignment="1">
      <alignment vertical="center"/>
    </xf>
    <xf numFmtId="0" fontId="16" fillId="3" borderId="12" xfId="0" applyFont="1" applyFill="1" applyBorder="1" applyAlignment="1">
      <alignment vertical="center"/>
    </xf>
    <xf numFmtId="0" fontId="16" fillId="3" borderId="34" xfId="0" applyFont="1" applyFill="1" applyBorder="1" applyAlignment="1">
      <alignment vertical="center"/>
    </xf>
    <xf numFmtId="0" fontId="16" fillId="3" borderId="35" xfId="0" applyFont="1" applyFill="1" applyBorder="1" applyAlignment="1">
      <alignment vertical="center"/>
    </xf>
    <xf numFmtId="0" fontId="16" fillId="3" borderId="36" xfId="0" applyFont="1" applyFill="1" applyBorder="1" applyAlignment="1">
      <alignment vertical="center"/>
    </xf>
    <xf numFmtId="0" fontId="14" fillId="7" borderId="41" xfId="0" applyFont="1" applyFill="1" applyBorder="1" applyAlignment="1">
      <alignment vertical="center"/>
    </xf>
    <xf numFmtId="0" fontId="16" fillId="0" borderId="2" xfId="0" applyFont="1" applyFill="1" applyBorder="1" applyAlignment="1">
      <alignment vertical="center"/>
    </xf>
    <xf numFmtId="0" fontId="16" fillId="3" borderId="2" xfId="0" applyFont="1" applyFill="1" applyBorder="1" applyAlignment="1">
      <alignment horizontal="left" vertical="center"/>
    </xf>
    <xf numFmtId="0" fontId="16" fillId="3" borderId="12" xfId="0" applyFont="1" applyFill="1" applyBorder="1" applyAlignment="1">
      <alignment horizontal="left" vertical="center"/>
    </xf>
    <xf numFmtId="0" fontId="16" fillId="3" borderId="24" xfId="0" applyFont="1" applyFill="1" applyBorder="1" applyAlignment="1">
      <alignment horizontal="left" vertical="center"/>
    </xf>
    <xf numFmtId="0" fontId="16" fillId="0" borderId="34" xfId="0" applyFont="1" applyFill="1" applyBorder="1" applyAlignment="1">
      <alignment vertical="center"/>
    </xf>
    <xf numFmtId="0" fontId="16" fillId="0" borderId="42" xfId="0" applyFont="1" applyFill="1" applyBorder="1" applyAlignment="1">
      <alignment vertical="center"/>
    </xf>
    <xf numFmtId="0" fontId="16" fillId="3" borderId="28" xfId="0" applyFont="1" applyFill="1" applyBorder="1" applyAlignment="1">
      <alignment horizontal="left" vertical="center"/>
    </xf>
    <xf numFmtId="0" fontId="16" fillId="0" borderId="36" xfId="0" applyFont="1" applyFill="1" applyBorder="1" applyAlignment="1">
      <alignment vertical="center"/>
    </xf>
    <xf numFmtId="0" fontId="16" fillId="0" borderId="43" xfId="0" applyFont="1" applyFill="1" applyBorder="1" applyAlignment="1">
      <alignment vertical="center"/>
    </xf>
    <xf numFmtId="0" fontId="16" fillId="0" borderId="35" xfId="0" applyFont="1" applyFill="1" applyBorder="1" applyAlignment="1">
      <alignment vertical="center"/>
    </xf>
    <xf numFmtId="0" fontId="16" fillId="33" borderId="7" xfId="0" applyFont="1" applyFill="1" applyBorder="1" applyAlignment="1">
      <alignment horizontal="left" vertical="center" wrapText="1"/>
    </xf>
  </cellXfs>
  <cellStyles count="698">
    <cellStyle name="20% - ANZg1" xfId="640"/>
    <cellStyle name="20% - ANZg2" xfId="641"/>
    <cellStyle name="20% - ANZg3" xfId="642"/>
    <cellStyle name="20% - ANZg4" xfId="643"/>
    <cellStyle name="20% - ANZg5" xfId="644"/>
    <cellStyle name="20% - ANZg6" xfId="645"/>
    <cellStyle name="40% - ANZg1" xfId="646"/>
    <cellStyle name="40% - ANZg2" xfId="647"/>
    <cellStyle name="40% - ANZg3" xfId="648"/>
    <cellStyle name="40% - ANZg4" xfId="649"/>
    <cellStyle name="40% - ANZg5" xfId="650"/>
    <cellStyle name="40% - ANZg6" xfId="651"/>
    <cellStyle name="60% - ANZg1" xfId="652"/>
    <cellStyle name="60% - ANZg2" xfId="653"/>
    <cellStyle name="60% - ANZg3" xfId="654"/>
    <cellStyle name="60% - ANZg4" xfId="655"/>
    <cellStyle name="60% - ANZg5" xfId="656"/>
    <cellStyle name="60% - ANZg6" xfId="657"/>
    <cellStyle name="Excel Built-in Normal" xfId="428"/>
    <cellStyle name="^Cg" xfId="635"/>
    <cellStyle name="`FbN Z" xfId="634"/>
    <cellStyle name="ANZg 1" xfId="659"/>
    <cellStyle name="ANZg 2" xfId="660"/>
    <cellStyle name="ANZg 3" xfId="661"/>
    <cellStyle name="ANZg 4" xfId="662"/>
    <cellStyle name="ANZg 5" xfId="663"/>
    <cellStyle name="ANZg 6" xfId="664"/>
    <cellStyle name="" xfId="629"/>
    <cellStyle name="N Z" xfId="667"/>
    <cellStyle name="_" xfId="630"/>
    <cellStyle name="«¢" xfId="633"/>
    <cellStyle name="vZ" xfId="672"/>
    <cellStyle name="x÷" xfId="674"/>
    <cellStyle name="x¶" xfId="673"/>
    <cellStyle name="ýo_ 1" xfId="675"/>
    <cellStyle name="©oµ 1" xfId="636"/>
    <cellStyle name="©oµ 2" xfId="637"/>
    <cellStyle name="©oµ 3" xfId="638"/>
    <cellStyle name="©oµ 4" xfId="639"/>
    <cellStyle name="v" xfId="671"/>
    <cellStyle name="o_" xfId="668"/>
    <cellStyle name="oÍ" xfId="669"/>
    <cellStyle name="__÷" xfId="632"/>
    <cellStyle name="à¾¶" xfId="658"/>
    <cellStyle name="__" xfId="631"/>
    <cellStyle name="üÍ" xfId="670"/>
    <cellStyle name="Ê" xfId="666"/>
    <cellStyle name="Ç¢" xfId="665"/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2" builtinId="8" hidden="1"/>
    <cellStyle name="ハイパーリンク" xfId="14" builtinId="8" hidden="1"/>
    <cellStyle name="ハイパーリンク" xfId="16" builtinId="8" hidden="1"/>
    <cellStyle name="ハイパーリンク" xfId="18" builtinId="8" hidden="1"/>
    <cellStyle name="ハイパーリンク" xfId="20" builtinId="8" hidden="1"/>
    <cellStyle name="ハイパーリンク" xfId="22" builtinId="8" hidden="1"/>
    <cellStyle name="ハイパーリンク" xfId="24" builtinId="8" hidden="1"/>
    <cellStyle name="ハイパーリンク" xfId="26" builtinId="8" hidden="1"/>
    <cellStyle name="ハイパーリンク" xfId="28" builtinId="8" hidden="1"/>
    <cellStyle name="ハイパーリンク" xfId="30" builtinId="8" hidden="1"/>
    <cellStyle name="ハイパーリンク" xfId="32" builtinId="8" hidden="1"/>
    <cellStyle name="ハイパーリンク" xfId="34" builtinId="8" hidden="1"/>
    <cellStyle name="ハイパーリンク" xfId="36" builtinId="8" hidden="1"/>
    <cellStyle name="ハイパーリンク" xfId="38" builtinId="8" hidden="1"/>
    <cellStyle name="ハイパーリンク" xfId="40" builtinId="8" hidden="1"/>
    <cellStyle name="ハイパーリンク" xfId="42" builtinId="8" hidden="1"/>
    <cellStyle name="ハイパーリンク" xfId="44" builtinId="8" hidden="1"/>
    <cellStyle name="ハイパーリンク" xfId="46" builtinId="8" hidden="1"/>
    <cellStyle name="ハイパーリンク" xfId="48" builtinId="8" hidden="1"/>
    <cellStyle name="ハイパーリンク" xfId="50" builtinId="8" hidden="1"/>
    <cellStyle name="ハイパーリンク" xfId="52" builtinId="8" hidden="1"/>
    <cellStyle name="ハイパーリンク" xfId="54" builtinId="8" hidden="1"/>
    <cellStyle name="ハイパーリンク" xfId="56" builtinId="8" hidden="1"/>
    <cellStyle name="ハイパーリンク" xfId="58" builtinId="8" hidden="1"/>
    <cellStyle name="ハイパーリンク" xfId="60" builtinId="8" hidden="1"/>
    <cellStyle name="ハイパーリンク" xfId="62" builtinId="8" hidden="1"/>
    <cellStyle name="ハイパーリンク" xfId="64" builtinId="8" hidden="1"/>
    <cellStyle name="ハイパーリンク" xfId="66" builtinId="8" hidden="1"/>
    <cellStyle name="ハイパーリンク" xfId="68" builtinId="8" hidden="1"/>
    <cellStyle name="ハイパーリンク" xfId="70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桁区切り 2" xfId="429"/>
    <cellStyle name="桁区切り 2 2" xfId="628"/>
    <cellStyle name="標準" xfId="0" builtinId="0"/>
    <cellStyle name="標準 2" xfId="432"/>
    <cellStyle name="標準 2 2" xfId="433"/>
    <cellStyle name="標準 3" xfId="434"/>
    <cellStyle name="標準 4" xfId="11"/>
    <cellStyle name="標準 4 2" xfId="614"/>
    <cellStyle name="標準 5" xfId="676"/>
    <cellStyle name="標準 5 2" xfId="677"/>
    <cellStyle name="標準 6" xfId="615"/>
    <cellStyle name="無題1" xfId="435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3" builtinId="9" hidden="1"/>
    <cellStyle name="表示済みのハイパーリンク" xfId="15" builtinId="9" hidden="1"/>
    <cellStyle name="表示済みのハイパーリンク" xfId="17" builtinId="9" hidden="1"/>
    <cellStyle name="表示済みのハイパーリンク" xfId="19" builtinId="9" hidden="1"/>
    <cellStyle name="表示済みのハイパーリンク" xfId="21" builtinId="9" hidden="1"/>
    <cellStyle name="表示済みのハイパーリンク" xfId="23" builtinId="9" hidden="1"/>
    <cellStyle name="表示済みのハイパーリンク" xfId="25" builtinId="9" hidden="1"/>
    <cellStyle name="表示済みのハイパーリンク" xfId="27" builtinId="9" hidden="1"/>
    <cellStyle name="表示済みのハイパーリンク" xfId="29" builtinId="9" hidden="1"/>
    <cellStyle name="表示済みのハイパーリンク" xfId="31" builtinId="9" hidden="1"/>
    <cellStyle name="表示済みのハイパーリンク" xfId="33" builtinId="9" hidden="1"/>
    <cellStyle name="表示済みのハイパーリンク" xfId="35" builtinId="9" hidden="1"/>
    <cellStyle name="表示済みのハイパーリンク" xfId="37" builtinId="9" hidden="1"/>
    <cellStyle name="表示済みのハイパーリンク" xfId="39" builtinId="9" hidden="1"/>
    <cellStyle name="表示済みのハイパーリンク" xfId="41" builtinId="9" hidden="1"/>
    <cellStyle name="表示済みのハイパーリンク" xfId="43" builtinId="9" hidden="1"/>
    <cellStyle name="表示済みのハイパーリンク" xfId="45" builtinId="9" hidden="1"/>
    <cellStyle name="表示済みのハイパーリンク" xfId="47" builtinId="9" hidden="1"/>
    <cellStyle name="表示済みのハイパーリンク" xfId="49" builtinId="9" hidden="1"/>
    <cellStyle name="表示済みのハイパーリンク" xfId="51" builtinId="9" hidden="1"/>
    <cellStyle name="表示済みのハイパーリンク" xfId="53" builtinId="9" hidden="1"/>
    <cellStyle name="表示済みのハイパーリンク" xfId="55" builtinId="9" hidden="1"/>
    <cellStyle name="表示済みのハイパーリンク" xfId="57" builtinId="9" hidden="1"/>
    <cellStyle name="表示済みのハイパーリンク" xfId="59" builtinId="9" hidden="1"/>
    <cellStyle name="表示済みのハイパーリンク" xfId="61" builtinId="9" hidden="1"/>
    <cellStyle name="表示済みのハイパーリンク" xfId="63" builtinId="9" hidden="1"/>
    <cellStyle name="表示済みのハイパーリンク" xfId="65" builtinId="9" hidden="1"/>
    <cellStyle name="表示済みのハイパーリンク" xfId="67" builtinId="9" hidden="1"/>
    <cellStyle name="表示済みのハイパーリンク" xfId="69" builtinId="9" hidden="1"/>
    <cellStyle name="表示済みのハイパーリンク" xfId="71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赤字強調" xfId="431"/>
    <cellStyle name="青字強調" xfId="43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externalLink" Target="externalLinks/externalLink2.xml"/><Relationship Id="rId14" Type="http://schemas.openxmlformats.org/officeDocument/2006/relationships/externalLink" Target="externalLinks/externalLink3.xml"/><Relationship Id="rId15" Type="http://schemas.openxmlformats.org/officeDocument/2006/relationships/externalLink" Target="externalLinks/externalLink4.xml"/><Relationship Id="rId16" Type="http://schemas.openxmlformats.org/officeDocument/2006/relationships/externalLink" Target="externalLinks/externalLink5.xml"/><Relationship Id="rId17" Type="http://schemas.openxmlformats.org/officeDocument/2006/relationships/externalLink" Target="externalLinks/externalLink6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@/psf/Home/Users/sumi/Desktop/&#20316;&#26989;&#29992;/%20&#12503;&#12525;&#12480;&#12463;&#12488;&#12510;&#12493;&#12540;&#12472;&#12515;/&#12487;&#12540;&#12479;&#12471;&#12540;&#12488;/&#12518;&#12491;&#12483;&#12488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QuestMaster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Master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EnemySkillMaster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Definitions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ユニット基礎設計"/>
      <sheetName val="ユニット"/>
      <sheetName val="characters_i18n"/>
      <sheetName val="unit_levels"/>
      <sheetName val="characters"/>
      <sheetName val="units"/>
      <sheetName val="character_type_i18n"/>
      <sheetName val="character_tribe_i18n"/>
      <sheetName val="awake_materials"/>
      <sheetName val="awake_material_habitats"/>
      <sheetName val="limitbreak_materials"/>
      <sheetName val="unit_skills"/>
      <sheetName val="スキル仕様"/>
      <sheetName val="party_skills"/>
      <sheetName val="パーティスキル仕様"/>
      <sheetName val="パラメータ仕様"/>
      <sheetName val="unit_skill_up_patterns"/>
      <sheetName val="スキルラベル"/>
      <sheetName val="コスト"/>
      <sheetName val="レベル"/>
      <sheetName val="経験値"/>
      <sheetName val="RC6SV"/>
      <sheetName val="属性"/>
      <sheetName val="マナ"/>
      <sheetName val="経験値テーブル"/>
      <sheetName val="素材経験値"/>
      <sheetName val="売却ビット係数"/>
      <sheetName val="Sheet1"/>
      <sheetName val="localized_texts"/>
      <sheetName val="character_types"/>
      <sheetName val="character_tribes"/>
      <sheetName val="mst_evolution"/>
      <sheetName val="group_skills"/>
      <sheetName val="grimoires(extended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マスタ"/>
      <sheetName val="quests"/>
      <sheetName val="stages"/>
      <sheetName val="weekly_quests"/>
      <sheetName val="rank_quests"/>
      <sheetName val="event_quests"/>
      <sheetName val="banners"/>
      <sheetName val="guerilla_quests"/>
      <sheetName val="noon_guerilla_times"/>
      <sheetName val="night_guerilla_times"/>
      <sheetName val="automatic_quest_bonuses"/>
    </sheetNames>
    <sheetDataSet>
      <sheetData sheetId="0"/>
      <sheetData sheetId="1"/>
      <sheetData sheetId="2">
        <row r="1">
          <cell r="A1" t="str">
            <v>quest_id</v>
          </cell>
          <cell r="B1" t="str">
            <v>quest_type</v>
          </cell>
          <cell r="C1" t="str">
            <v>language</v>
          </cell>
          <cell r="D1" t="str">
            <v>name</v>
          </cell>
          <cell r="E1" t="str">
            <v>detail</v>
          </cell>
          <cell r="F1" t="str">
            <v>valid_flg</v>
          </cell>
          <cell r="G1" t="str">
            <v>pay_limit_time</v>
          </cell>
          <cell r="H1" t="str">
            <v>attribute_red</v>
          </cell>
          <cell r="I1" t="str">
            <v>attribute_blue</v>
          </cell>
          <cell r="J1" t="str">
            <v>attribute_green</v>
          </cell>
          <cell r="K1" t="str">
            <v>attribute_yellow</v>
          </cell>
          <cell r="L1" t="str">
            <v>story</v>
          </cell>
          <cell r="M1" t="str">
            <v>story文字数</v>
          </cell>
          <cell r="N1" t="str">
            <v>位置付け</v>
          </cell>
          <cell r="O1" t="str">
            <v>備考</v>
          </cell>
          <cell r="P1" t="str">
            <v>options</v>
          </cell>
          <cell r="Q1" t="str">
            <v>help_myself</v>
          </cell>
          <cell r="R1" t="str">
            <v>preview_start_date</v>
          </cell>
          <cell r="S1" t="str">
            <v>preview_end_date</v>
          </cell>
        </row>
        <row r="2">
          <cell r="A2">
            <v>0</v>
          </cell>
        </row>
        <row r="3">
          <cell r="A3">
            <v>1</v>
          </cell>
        </row>
        <row r="4">
          <cell r="A4">
            <v>2</v>
          </cell>
        </row>
        <row r="5">
          <cell r="A5">
            <v>3</v>
          </cell>
        </row>
        <row r="6">
          <cell r="A6">
            <v>4</v>
          </cell>
        </row>
        <row r="7">
          <cell r="A7">
            <v>5</v>
          </cell>
        </row>
        <row r="8">
          <cell r="A8">
            <v>6</v>
          </cell>
        </row>
        <row r="9">
          <cell r="A9">
            <v>7</v>
          </cell>
        </row>
        <row r="10">
          <cell r="A10">
            <v>8</v>
          </cell>
        </row>
        <row r="11">
          <cell r="A11">
            <v>9</v>
          </cell>
        </row>
        <row r="12">
          <cell r="A12">
            <v>10</v>
          </cell>
        </row>
        <row r="13">
          <cell r="A13">
            <v>11</v>
          </cell>
        </row>
        <row r="14">
          <cell r="A14">
            <v>12</v>
          </cell>
        </row>
        <row r="15">
          <cell r="A15">
            <v>13</v>
          </cell>
        </row>
        <row r="16">
          <cell r="A16">
            <v>14</v>
          </cell>
        </row>
        <row r="17">
          <cell r="A17">
            <v>15</v>
          </cell>
        </row>
        <row r="18">
          <cell r="A18">
            <v>16</v>
          </cell>
        </row>
        <row r="19">
          <cell r="A19">
            <v>17</v>
          </cell>
        </row>
        <row r="20">
          <cell r="A20">
            <v>18</v>
          </cell>
        </row>
        <row r="21">
          <cell r="A21">
            <v>19</v>
          </cell>
        </row>
        <row r="22">
          <cell r="A22">
            <v>20</v>
          </cell>
        </row>
        <row r="23">
          <cell r="A23">
            <v>21</v>
          </cell>
        </row>
        <row r="24">
          <cell r="A24">
            <v>22</v>
          </cell>
        </row>
        <row r="25">
          <cell r="A25">
            <v>23</v>
          </cell>
        </row>
        <row r="26">
          <cell r="A26">
            <v>24</v>
          </cell>
        </row>
        <row r="27">
          <cell r="A27">
            <v>25</v>
          </cell>
        </row>
        <row r="28">
          <cell r="A28">
            <v>26</v>
          </cell>
        </row>
        <row r="29">
          <cell r="A29">
            <v>27</v>
          </cell>
        </row>
        <row r="30">
          <cell r="A30">
            <v>28</v>
          </cell>
        </row>
        <row r="31">
          <cell r="A31">
            <v>29</v>
          </cell>
        </row>
        <row r="32">
          <cell r="A32">
            <v>30</v>
          </cell>
        </row>
        <row r="33">
          <cell r="A33">
            <v>31</v>
          </cell>
        </row>
        <row r="34">
          <cell r="A34">
            <v>10008</v>
          </cell>
        </row>
        <row r="35">
          <cell r="A35">
            <v>10010</v>
          </cell>
        </row>
        <row r="36">
          <cell r="A36">
            <v>10015</v>
          </cell>
        </row>
        <row r="37">
          <cell r="A37">
            <v>10020</v>
          </cell>
        </row>
        <row r="38">
          <cell r="A38">
            <v>10025</v>
          </cell>
        </row>
        <row r="39">
          <cell r="A39">
            <v>10030</v>
          </cell>
        </row>
        <row r="40">
          <cell r="A40">
            <v>10035</v>
          </cell>
        </row>
        <row r="41">
          <cell r="A41">
            <v>10040</v>
          </cell>
        </row>
        <row r="42">
          <cell r="A42">
            <v>10045</v>
          </cell>
        </row>
        <row r="43">
          <cell r="A43">
            <v>10050</v>
          </cell>
        </row>
        <row r="44">
          <cell r="A44">
            <v>10055</v>
          </cell>
        </row>
        <row r="45">
          <cell r="A45">
            <v>10060</v>
          </cell>
        </row>
        <row r="46">
          <cell r="A46">
            <v>10065</v>
          </cell>
        </row>
        <row r="47">
          <cell r="A47">
            <v>10090</v>
          </cell>
        </row>
        <row r="48">
          <cell r="A48">
            <v>10100</v>
          </cell>
        </row>
        <row r="49">
          <cell r="A49">
            <v>11001</v>
          </cell>
        </row>
        <row r="50">
          <cell r="A50">
            <v>11002</v>
          </cell>
        </row>
        <row r="51">
          <cell r="A51">
            <v>11003</v>
          </cell>
        </row>
        <row r="52">
          <cell r="A52">
            <v>11004</v>
          </cell>
        </row>
        <row r="53">
          <cell r="A53">
            <v>11005</v>
          </cell>
        </row>
        <row r="54">
          <cell r="A54">
            <v>11006</v>
          </cell>
        </row>
        <row r="55">
          <cell r="A55">
            <v>11007</v>
          </cell>
        </row>
        <row r="56">
          <cell r="A56">
            <v>11008</v>
          </cell>
        </row>
        <row r="57">
          <cell r="A57">
            <v>11101</v>
          </cell>
        </row>
        <row r="58">
          <cell r="A58">
            <v>11102</v>
          </cell>
        </row>
        <row r="59">
          <cell r="A59">
            <v>11103</v>
          </cell>
        </row>
        <row r="60">
          <cell r="A60">
            <v>11104</v>
          </cell>
        </row>
        <row r="61">
          <cell r="A61">
            <v>11105</v>
          </cell>
        </row>
        <row r="62">
          <cell r="A62">
            <v>11106</v>
          </cell>
        </row>
        <row r="63">
          <cell r="A63">
            <v>11206</v>
          </cell>
        </row>
        <row r="64">
          <cell r="A64">
            <v>11016</v>
          </cell>
        </row>
        <row r="65">
          <cell r="A65">
            <v>11017</v>
          </cell>
        </row>
        <row r="66">
          <cell r="A66">
            <v>11018</v>
          </cell>
        </row>
        <row r="67">
          <cell r="A67">
            <v>11207</v>
          </cell>
        </row>
        <row r="68">
          <cell r="A68">
            <v>11208</v>
          </cell>
        </row>
        <row r="69">
          <cell r="A69">
            <v>11209</v>
          </cell>
        </row>
        <row r="70">
          <cell r="A70">
            <v>11210</v>
          </cell>
        </row>
        <row r="71">
          <cell r="A71">
            <v>11211</v>
          </cell>
        </row>
        <row r="72">
          <cell r="A72">
            <v>11212</v>
          </cell>
        </row>
        <row r="73">
          <cell r="A73">
            <v>11213</v>
          </cell>
        </row>
        <row r="74">
          <cell r="A74">
            <v>11214</v>
          </cell>
        </row>
        <row r="75">
          <cell r="A75">
            <v>11215</v>
          </cell>
        </row>
        <row r="76">
          <cell r="A76">
            <v>11216</v>
          </cell>
        </row>
        <row r="77">
          <cell r="A77">
            <v>11217</v>
          </cell>
        </row>
        <row r="78">
          <cell r="A78">
            <v>11218</v>
          </cell>
        </row>
        <row r="79">
          <cell r="A79">
            <v>11219</v>
          </cell>
        </row>
        <row r="80">
          <cell r="A80">
            <v>11220</v>
          </cell>
        </row>
        <row r="81">
          <cell r="A81">
            <v>11221</v>
          </cell>
        </row>
        <row r="82">
          <cell r="A82">
            <v>11224</v>
          </cell>
        </row>
        <row r="83">
          <cell r="A83">
            <v>11225</v>
          </cell>
        </row>
        <row r="84">
          <cell r="A84">
            <v>11226</v>
          </cell>
        </row>
        <row r="85">
          <cell r="A85">
            <v>11227</v>
          </cell>
        </row>
        <row r="86">
          <cell r="A86">
            <v>11228</v>
          </cell>
        </row>
        <row r="87">
          <cell r="A87">
            <v>11229</v>
          </cell>
        </row>
        <row r="88">
          <cell r="A88">
            <v>11230</v>
          </cell>
        </row>
        <row r="89">
          <cell r="A89">
            <v>11231</v>
          </cell>
        </row>
        <row r="90">
          <cell r="A90">
            <v>12001</v>
          </cell>
        </row>
        <row r="91">
          <cell r="A91">
            <v>12002</v>
          </cell>
        </row>
        <row r="92">
          <cell r="A92">
            <v>12003</v>
          </cell>
        </row>
        <row r="93">
          <cell r="A93">
            <v>12004</v>
          </cell>
        </row>
        <row r="94">
          <cell r="A94">
            <v>13001</v>
          </cell>
        </row>
        <row r="95">
          <cell r="A95">
            <v>13101</v>
          </cell>
        </row>
        <row r="96">
          <cell r="A96">
            <v>13300</v>
          </cell>
        </row>
        <row r="97">
          <cell r="A97">
            <v>13301</v>
          </cell>
        </row>
        <row r="98">
          <cell r="A98">
            <v>13302</v>
          </cell>
        </row>
        <row r="99">
          <cell r="A99">
            <v>13400</v>
          </cell>
        </row>
        <row r="100">
          <cell r="A100">
            <v>14001</v>
          </cell>
        </row>
        <row r="101">
          <cell r="A101">
            <v>14002</v>
          </cell>
        </row>
        <row r="102">
          <cell r="A102">
            <v>14003</v>
          </cell>
        </row>
        <row r="103">
          <cell r="A103">
            <v>14004</v>
          </cell>
        </row>
        <row r="104">
          <cell r="A104">
            <v>14005</v>
          </cell>
        </row>
        <row r="105">
          <cell r="A105">
            <v>14006</v>
          </cell>
        </row>
        <row r="106">
          <cell r="A106">
            <v>15027</v>
          </cell>
        </row>
        <row r="107">
          <cell r="A107">
            <v>15028</v>
          </cell>
        </row>
        <row r="108">
          <cell r="A108">
            <v>15029</v>
          </cell>
        </row>
        <row r="109">
          <cell r="A109">
            <v>15030</v>
          </cell>
        </row>
        <row r="110">
          <cell r="A110">
            <v>15031</v>
          </cell>
        </row>
        <row r="111">
          <cell r="A111">
            <v>20001</v>
          </cell>
        </row>
        <row r="112">
          <cell r="A112">
            <v>20002</v>
          </cell>
        </row>
        <row r="113">
          <cell r="A113">
            <v>20003</v>
          </cell>
        </row>
        <row r="114">
          <cell r="A114">
            <v>20004</v>
          </cell>
        </row>
        <row r="115">
          <cell r="A115">
            <v>20005</v>
          </cell>
        </row>
        <row r="116">
          <cell r="A116">
            <v>20006</v>
          </cell>
        </row>
        <row r="117">
          <cell r="A117">
            <v>20007</v>
          </cell>
        </row>
        <row r="118">
          <cell r="A118">
            <v>20008</v>
          </cell>
        </row>
        <row r="119">
          <cell r="A119">
            <v>20009</v>
          </cell>
        </row>
        <row r="120">
          <cell r="A120">
            <v>20010</v>
          </cell>
        </row>
        <row r="121">
          <cell r="A121">
            <v>20011</v>
          </cell>
        </row>
        <row r="122">
          <cell r="A122">
            <v>20012</v>
          </cell>
        </row>
        <row r="123">
          <cell r="A123">
            <v>20013</v>
          </cell>
        </row>
        <row r="124">
          <cell r="A124">
            <v>20014</v>
          </cell>
        </row>
        <row r="125">
          <cell r="A125">
            <v>20015</v>
          </cell>
        </row>
        <row r="126">
          <cell r="A126">
            <v>20016</v>
          </cell>
        </row>
        <row r="127">
          <cell r="A127">
            <v>20017</v>
          </cell>
        </row>
        <row r="128">
          <cell r="A128">
            <v>20018</v>
          </cell>
        </row>
        <row r="129">
          <cell r="A129">
            <v>20019</v>
          </cell>
        </row>
        <row r="130">
          <cell r="A130">
            <v>20020</v>
          </cell>
        </row>
        <row r="131">
          <cell r="A131">
            <v>20021</v>
          </cell>
        </row>
        <row r="132">
          <cell r="A132">
            <v>20022</v>
          </cell>
        </row>
        <row r="133">
          <cell r="A133">
            <v>30001</v>
          </cell>
        </row>
        <row r="134">
          <cell r="A134">
            <v>30002</v>
          </cell>
        </row>
        <row r="135">
          <cell r="A135">
            <v>30003</v>
          </cell>
        </row>
        <row r="136">
          <cell r="A136">
            <v>30004</v>
          </cell>
        </row>
        <row r="137">
          <cell r="A137">
            <v>30005</v>
          </cell>
        </row>
        <row r="138">
          <cell r="A138">
            <v>30006</v>
          </cell>
        </row>
        <row r="139">
          <cell r="A139">
            <v>30007</v>
          </cell>
        </row>
        <row r="140">
          <cell r="A140">
            <v>30008</v>
          </cell>
        </row>
        <row r="141">
          <cell r="A141">
            <v>30009</v>
          </cell>
        </row>
        <row r="142">
          <cell r="A142">
            <v>30010</v>
          </cell>
        </row>
        <row r="143">
          <cell r="A143">
            <v>30011</v>
          </cell>
        </row>
        <row r="144">
          <cell r="A144">
            <v>30012</v>
          </cell>
        </row>
        <row r="145">
          <cell r="A145">
            <v>30013</v>
          </cell>
        </row>
        <row r="146">
          <cell r="A146">
            <v>30014</v>
          </cell>
        </row>
        <row r="147">
          <cell r="A147">
            <v>30015</v>
          </cell>
        </row>
        <row r="148">
          <cell r="A148">
            <v>30016</v>
          </cell>
        </row>
        <row r="149">
          <cell r="A149">
            <v>30017</v>
          </cell>
        </row>
        <row r="150">
          <cell r="A150">
            <v>30018</v>
          </cell>
        </row>
        <row r="151">
          <cell r="A151">
            <v>30019</v>
          </cell>
        </row>
        <row r="152">
          <cell r="A152">
            <v>30020</v>
          </cell>
        </row>
        <row r="153">
          <cell r="A153">
            <v>30021</v>
          </cell>
        </row>
        <row r="154">
          <cell r="A154">
            <v>30022</v>
          </cell>
        </row>
        <row r="155">
          <cell r="A155">
            <v>30023</v>
          </cell>
        </row>
        <row r="156">
          <cell r="A156">
            <v>30024</v>
          </cell>
        </row>
        <row r="157">
          <cell r="A157">
            <v>30025</v>
          </cell>
        </row>
        <row r="158">
          <cell r="A158">
            <v>30026</v>
          </cell>
        </row>
        <row r="159">
          <cell r="A159">
            <v>30027</v>
          </cell>
        </row>
        <row r="160">
          <cell r="A160">
            <v>30028</v>
          </cell>
        </row>
        <row r="161">
          <cell r="A161">
            <v>30029</v>
          </cell>
        </row>
        <row r="162">
          <cell r="A162">
            <v>30030</v>
          </cell>
        </row>
        <row r="163">
          <cell r="A163">
            <v>30031</v>
          </cell>
        </row>
        <row r="164">
          <cell r="A164">
            <v>30032</v>
          </cell>
        </row>
        <row r="165">
          <cell r="A165">
            <v>30033</v>
          </cell>
        </row>
        <row r="166">
          <cell r="A166">
            <v>30034</v>
          </cell>
        </row>
        <row r="167">
          <cell r="A167">
            <v>30035</v>
          </cell>
        </row>
        <row r="168">
          <cell r="A168">
            <v>30036</v>
          </cell>
        </row>
        <row r="169">
          <cell r="A169">
            <v>30037</v>
          </cell>
        </row>
        <row r="170">
          <cell r="A170">
            <v>30038</v>
          </cell>
        </row>
        <row r="171">
          <cell r="A171">
            <v>30039</v>
          </cell>
        </row>
        <row r="172">
          <cell r="A172">
            <v>30040</v>
          </cell>
        </row>
        <row r="173">
          <cell r="A173">
            <v>30041</v>
          </cell>
        </row>
        <row r="174">
          <cell r="A174">
            <v>30042</v>
          </cell>
        </row>
        <row r="175">
          <cell r="A175">
            <v>30043</v>
          </cell>
        </row>
        <row r="176">
          <cell r="A176">
            <v>30044</v>
          </cell>
        </row>
        <row r="177">
          <cell r="A177">
            <v>30045</v>
          </cell>
        </row>
        <row r="178">
          <cell r="A178">
            <v>30046</v>
          </cell>
        </row>
        <row r="179">
          <cell r="A179">
            <v>30047</v>
          </cell>
        </row>
        <row r="180">
          <cell r="A180">
            <v>30048</v>
          </cell>
        </row>
        <row r="181">
          <cell r="A181">
            <v>30049</v>
          </cell>
        </row>
        <row r="182">
          <cell r="A182">
            <v>39001</v>
          </cell>
        </row>
        <row r="183">
          <cell r="A183">
            <v>39002</v>
          </cell>
        </row>
        <row r="184">
          <cell r="A184">
            <v>39003</v>
          </cell>
        </row>
        <row r="185">
          <cell r="A185">
            <v>39004</v>
          </cell>
        </row>
        <row r="186">
          <cell r="A186">
            <v>39005</v>
          </cell>
        </row>
        <row r="187">
          <cell r="A187">
            <v>39006</v>
          </cell>
        </row>
        <row r="188">
          <cell r="A188">
            <v>39007</v>
          </cell>
        </row>
        <row r="189">
          <cell r="A189">
            <v>39008</v>
          </cell>
        </row>
        <row r="190">
          <cell r="A190">
            <v>39009</v>
          </cell>
        </row>
        <row r="191">
          <cell r="A191">
            <v>39010</v>
          </cell>
        </row>
        <row r="192">
          <cell r="A192">
            <v>39011</v>
          </cell>
        </row>
        <row r="193">
          <cell r="A193">
            <v>39012</v>
          </cell>
        </row>
        <row r="194">
          <cell r="A194">
            <v>40001</v>
          </cell>
        </row>
        <row r="195">
          <cell r="A195">
            <v>40002</v>
          </cell>
        </row>
        <row r="196">
          <cell r="A196">
            <v>40003</v>
          </cell>
        </row>
        <row r="197">
          <cell r="A197">
            <v>40004</v>
          </cell>
        </row>
        <row r="198">
          <cell r="A198">
            <v>40005</v>
          </cell>
        </row>
        <row r="199">
          <cell r="A199">
            <v>40006</v>
          </cell>
        </row>
        <row r="200">
          <cell r="A200">
            <v>40007</v>
          </cell>
        </row>
        <row r="201">
          <cell r="A201">
            <v>40008</v>
          </cell>
        </row>
        <row r="202">
          <cell r="A202">
            <v>40009</v>
          </cell>
        </row>
        <row r="203">
          <cell r="A203">
            <v>40010</v>
          </cell>
        </row>
        <row r="204">
          <cell r="A204">
            <v>40011</v>
          </cell>
        </row>
        <row r="205">
          <cell r="A205">
            <v>40012</v>
          </cell>
        </row>
        <row r="206">
          <cell r="A206">
            <v>40013</v>
          </cell>
        </row>
        <row r="207">
          <cell r="A207">
            <v>40014</v>
          </cell>
        </row>
        <row r="208">
          <cell r="A208">
            <v>40015</v>
          </cell>
        </row>
        <row r="209">
          <cell r="A209">
            <v>40016</v>
          </cell>
        </row>
        <row r="210">
          <cell r="A210">
            <v>40017</v>
          </cell>
        </row>
        <row r="211">
          <cell r="A211">
            <v>40018</v>
          </cell>
        </row>
        <row r="212">
          <cell r="A212">
            <v>40019</v>
          </cell>
        </row>
        <row r="213">
          <cell r="A213">
            <v>40021</v>
          </cell>
        </row>
        <row r="214">
          <cell r="A214">
            <v>40022</v>
          </cell>
        </row>
        <row r="215">
          <cell r="A215">
            <v>40023</v>
          </cell>
        </row>
        <row r="216">
          <cell r="A216">
            <v>40024</v>
          </cell>
        </row>
        <row r="217">
          <cell r="A217">
            <v>40025</v>
          </cell>
        </row>
        <row r="218">
          <cell r="A218">
            <v>40026</v>
          </cell>
        </row>
        <row r="219">
          <cell r="A219">
            <v>40027</v>
          </cell>
        </row>
        <row r="220">
          <cell r="A220">
            <v>40028</v>
          </cell>
        </row>
        <row r="221">
          <cell r="A221">
            <v>40029</v>
          </cell>
        </row>
        <row r="222">
          <cell r="A222">
            <v>40030</v>
          </cell>
        </row>
        <row r="223">
          <cell r="A223">
            <v>40031</v>
          </cell>
        </row>
        <row r="224">
          <cell r="A224">
            <v>40032</v>
          </cell>
        </row>
        <row r="225">
          <cell r="A225">
            <v>40033</v>
          </cell>
        </row>
        <row r="226">
          <cell r="A226">
            <v>40034</v>
          </cell>
        </row>
        <row r="227">
          <cell r="A227">
            <v>40035</v>
          </cell>
        </row>
        <row r="228">
          <cell r="A228">
            <v>40036</v>
          </cell>
        </row>
        <row r="229">
          <cell r="A229">
            <v>40037</v>
          </cell>
        </row>
        <row r="230">
          <cell r="A230">
            <v>40038</v>
          </cell>
        </row>
        <row r="231">
          <cell r="A231">
            <v>40039</v>
          </cell>
        </row>
        <row r="232">
          <cell r="A232">
            <v>40040</v>
          </cell>
        </row>
        <row r="233">
          <cell r="A233">
            <v>40041</v>
          </cell>
        </row>
        <row r="234">
          <cell r="A234">
            <v>40042</v>
          </cell>
        </row>
        <row r="235">
          <cell r="A235">
            <v>40043</v>
          </cell>
        </row>
        <row r="236">
          <cell r="A236">
            <v>40044</v>
          </cell>
        </row>
        <row r="237">
          <cell r="A237">
            <v>48001</v>
          </cell>
        </row>
        <row r="238">
          <cell r="A238">
            <v>48002</v>
          </cell>
        </row>
        <row r="239">
          <cell r="A239">
            <v>48003</v>
          </cell>
        </row>
        <row r="240">
          <cell r="A240">
            <v>48004</v>
          </cell>
        </row>
        <row r="241">
          <cell r="A241">
            <v>48005</v>
          </cell>
        </row>
        <row r="242">
          <cell r="A242">
            <v>48006</v>
          </cell>
        </row>
        <row r="243">
          <cell r="A243">
            <v>48007</v>
          </cell>
        </row>
        <row r="244">
          <cell r="A244">
            <v>48008</v>
          </cell>
        </row>
        <row r="245">
          <cell r="A245">
            <v>48009</v>
          </cell>
        </row>
        <row r="246">
          <cell r="A246">
            <v>48010</v>
          </cell>
        </row>
        <row r="247">
          <cell r="A247">
            <v>48011</v>
          </cell>
        </row>
        <row r="248">
          <cell r="A248">
            <v>48012</v>
          </cell>
        </row>
        <row r="249">
          <cell r="A249">
            <v>48501</v>
          </cell>
        </row>
        <row r="250">
          <cell r="A250">
            <v>48502</v>
          </cell>
        </row>
        <row r="251">
          <cell r="A251">
            <v>48701</v>
          </cell>
        </row>
        <row r="252">
          <cell r="A252">
            <v>41001</v>
          </cell>
        </row>
        <row r="253">
          <cell r="A253">
            <v>41002</v>
          </cell>
        </row>
        <row r="254">
          <cell r="A254">
            <v>41003</v>
          </cell>
        </row>
        <row r="255">
          <cell r="A255">
            <v>41004</v>
          </cell>
        </row>
        <row r="256">
          <cell r="A256">
            <v>41005</v>
          </cell>
        </row>
        <row r="257">
          <cell r="A257">
            <v>41006</v>
          </cell>
        </row>
        <row r="258">
          <cell r="A258">
            <v>41007</v>
          </cell>
        </row>
        <row r="259">
          <cell r="A259">
            <v>41008</v>
          </cell>
        </row>
        <row r="260">
          <cell r="A260">
            <v>41009</v>
          </cell>
        </row>
        <row r="261">
          <cell r="A261">
            <v>41010</v>
          </cell>
        </row>
        <row r="262">
          <cell r="A262">
            <v>41011</v>
          </cell>
        </row>
        <row r="263">
          <cell r="A263">
            <v>41012</v>
          </cell>
        </row>
        <row r="264">
          <cell r="A264">
            <v>41013</v>
          </cell>
        </row>
        <row r="265">
          <cell r="A265">
            <v>41014</v>
          </cell>
        </row>
        <row r="266">
          <cell r="A266">
            <v>41015</v>
          </cell>
        </row>
        <row r="267">
          <cell r="A267">
            <v>47001</v>
          </cell>
        </row>
        <row r="268">
          <cell r="A268">
            <v>47002</v>
          </cell>
        </row>
        <row r="269">
          <cell r="A269">
            <v>47003</v>
          </cell>
        </row>
        <row r="270">
          <cell r="A270">
            <v>47004</v>
          </cell>
        </row>
        <row r="271">
          <cell r="A271">
            <v>47005</v>
          </cell>
        </row>
        <row r="272">
          <cell r="A272">
            <v>47006</v>
          </cell>
        </row>
        <row r="273">
          <cell r="A273">
            <v>47007</v>
          </cell>
        </row>
        <row r="274">
          <cell r="A274">
            <v>47008</v>
          </cell>
        </row>
        <row r="275">
          <cell r="A275">
            <v>47009</v>
          </cell>
        </row>
        <row r="276">
          <cell r="A276">
            <v>47010</v>
          </cell>
        </row>
        <row r="277">
          <cell r="A277">
            <v>47011</v>
          </cell>
        </row>
        <row r="278">
          <cell r="A278">
            <v>47012</v>
          </cell>
        </row>
        <row r="279">
          <cell r="A279">
            <v>49001</v>
          </cell>
        </row>
        <row r="280">
          <cell r="A280">
            <v>49002</v>
          </cell>
        </row>
        <row r="281">
          <cell r="A281">
            <v>49003</v>
          </cell>
        </row>
        <row r="282">
          <cell r="A282">
            <v>49004</v>
          </cell>
        </row>
        <row r="283">
          <cell r="A283">
            <v>49005</v>
          </cell>
        </row>
        <row r="284">
          <cell r="A284">
            <v>49006</v>
          </cell>
        </row>
        <row r="285">
          <cell r="A285">
            <v>49007</v>
          </cell>
        </row>
        <row r="286">
          <cell r="A286">
            <v>49008</v>
          </cell>
        </row>
        <row r="287">
          <cell r="A287">
            <v>49009</v>
          </cell>
        </row>
        <row r="288">
          <cell r="A288">
            <v>49010</v>
          </cell>
        </row>
        <row r="289">
          <cell r="A289">
            <v>49011</v>
          </cell>
        </row>
        <row r="290">
          <cell r="A290">
            <v>49012</v>
          </cell>
        </row>
        <row r="291">
          <cell r="A291">
            <v>49013</v>
          </cell>
        </row>
        <row r="292">
          <cell r="A292">
            <v>49014</v>
          </cell>
        </row>
        <row r="293">
          <cell r="A293">
            <v>49015</v>
          </cell>
        </row>
        <row r="294">
          <cell r="A294">
            <v>50001</v>
          </cell>
        </row>
        <row r="295">
          <cell r="A295">
            <v>50002</v>
          </cell>
        </row>
        <row r="296">
          <cell r="A296">
            <v>50003</v>
          </cell>
        </row>
        <row r="297">
          <cell r="A297">
            <v>50004</v>
          </cell>
        </row>
        <row r="298">
          <cell r="A298">
            <v>50005</v>
          </cell>
        </row>
        <row r="299">
          <cell r="A299">
            <v>50006</v>
          </cell>
        </row>
        <row r="300">
          <cell r="A300">
            <v>50007</v>
          </cell>
        </row>
        <row r="301">
          <cell r="A301">
            <v>50008</v>
          </cell>
        </row>
        <row r="302">
          <cell r="A302">
            <v>50009</v>
          </cell>
        </row>
        <row r="303">
          <cell r="A303">
            <v>50010</v>
          </cell>
        </row>
        <row r="304">
          <cell r="A304">
            <v>50011</v>
          </cell>
        </row>
        <row r="305">
          <cell r="A305">
            <v>50012</v>
          </cell>
        </row>
        <row r="306">
          <cell r="A306">
            <v>50013</v>
          </cell>
        </row>
        <row r="307">
          <cell r="A307">
            <v>50014</v>
          </cell>
        </row>
        <row r="308">
          <cell r="A308">
            <v>50015</v>
          </cell>
        </row>
        <row r="309">
          <cell r="A309">
            <v>51001</v>
          </cell>
        </row>
        <row r="310">
          <cell r="A310">
            <v>51002</v>
          </cell>
        </row>
        <row r="311">
          <cell r="A311">
            <v>58001</v>
          </cell>
        </row>
        <row r="312">
          <cell r="A312">
            <v>59001</v>
          </cell>
        </row>
        <row r="313">
          <cell r="A313">
            <v>59002</v>
          </cell>
        </row>
        <row r="314">
          <cell r="A314">
            <v>60001</v>
          </cell>
        </row>
        <row r="315">
          <cell r="A315">
            <v>60002</v>
          </cell>
        </row>
        <row r="316">
          <cell r="A316">
            <v>60003</v>
          </cell>
        </row>
        <row r="317">
          <cell r="A317">
            <v>60004</v>
          </cell>
        </row>
        <row r="318">
          <cell r="A318">
            <v>60005</v>
          </cell>
        </row>
        <row r="319">
          <cell r="A319">
            <v>60006</v>
          </cell>
        </row>
        <row r="320">
          <cell r="A320">
            <v>60007</v>
          </cell>
        </row>
        <row r="321">
          <cell r="A321">
            <v>60010</v>
          </cell>
        </row>
        <row r="322">
          <cell r="A322">
            <v>60011</v>
          </cell>
        </row>
        <row r="323">
          <cell r="A323">
            <v>61011</v>
          </cell>
        </row>
        <row r="324">
          <cell r="A324">
            <v>60012</v>
          </cell>
        </row>
        <row r="325">
          <cell r="A325">
            <v>60013</v>
          </cell>
        </row>
        <row r="326">
          <cell r="A326">
            <v>60014</v>
          </cell>
        </row>
        <row r="327">
          <cell r="A327">
            <v>60015</v>
          </cell>
        </row>
        <row r="328">
          <cell r="A328">
            <v>60016</v>
          </cell>
        </row>
        <row r="329">
          <cell r="A329">
            <v>60017</v>
          </cell>
        </row>
        <row r="330">
          <cell r="A330">
            <v>60018</v>
          </cell>
        </row>
        <row r="331">
          <cell r="A331">
            <v>60019</v>
          </cell>
        </row>
        <row r="332">
          <cell r="A332">
            <v>60020</v>
          </cell>
        </row>
        <row r="333">
          <cell r="A333">
            <v>60025</v>
          </cell>
        </row>
        <row r="334">
          <cell r="A334">
            <v>60026</v>
          </cell>
        </row>
        <row r="335">
          <cell r="A335">
            <v>60027</v>
          </cell>
        </row>
        <row r="336">
          <cell r="A336">
            <v>60028</v>
          </cell>
        </row>
        <row r="337">
          <cell r="A337">
            <v>65525</v>
          </cell>
        </row>
        <row r="338">
          <cell r="A338">
            <v>65526</v>
          </cell>
        </row>
        <row r="339">
          <cell r="A339">
            <v>65527</v>
          </cell>
        </row>
        <row r="340">
          <cell r="A340">
            <v>65528</v>
          </cell>
        </row>
        <row r="341">
          <cell r="A341">
            <v>65529</v>
          </cell>
        </row>
        <row r="342">
          <cell r="A342">
            <v>65530</v>
          </cell>
        </row>
        <row r="343">
          <cell r="A343">
            <v>65531</v>
          </cell>
        </row>
        <row r="344">
          <cell r="A344">
            <v>65532</v>
          </cell>
        </row>
        <row r="345">
          <cell r="A345">
            <v>65533</v>
          </cell>
        </row>
        <row r="346">
          <cell r="A346">
            <v>65534</v>
          </cell>
        </row>
        <row r="347">
          <cell r="A347">
            <v>65535</v>
          </cell>
        </row>
        <row r="348">
          <cell r="A348">
            <v>60021</v>
          </cell>
        </row>
        <row r="349">
          <cell r="A349">
            <v>60022</v>
          </cell>
        </row>
        <row r="350">
          <cell r="A350">
            <v>60023</v>
          </cell>
        </row>
        <row r="351">
          <cell r="A351">
            <v>60024</v>
          </cell>
        </row>
      </sheetData>
      <sheetData sheetId="3">
        <row r="1">
          <cell r="A1" t="str">
            <v>ID</v>
          </cell>
        </row>
        <row r="2">
          <cell r="A2" t="str">
            <v>temp_stage</v>
          </cell>
          <cell r="B2" t="str">
            <v>valid_flg</v>
          </cell>
          <cell r="C2" t="str">
            <v>quest_id</v>
          </cell>
          <cell r="D2" t="str">
            <v>クエスト名</v>
          </cell>
          <cell r="E2" t="str">
            <v>位置付け</v>
          </cell>
          <cell r="F2" t="str">
            <v>stage_id</v>
          </cell>
          <cell r="G2" t="str">
            <v>language</v>
          </cell>
          <cell r="H2" t="str">
            <v>name</v>
          </cell>
          <cell r="I2" t="str">
            <v>位置付け</v>
          </cell>
          <cell r="J2" t="str">
            <v>thumbnail_character_id</v>
          </cell>
          <cell r="K2" t="str">
            <v>stamina</v>
          </cell>
          <cell r="L2" t="str">
            <v>rank_exp</v>
          </cell>
          <cell r="M2" t="str">
            <v>red_flg</v>
          </cell>
          <cell r="N2" t="str">
            <v>blue_flg</v>
          </cell>
          <cell r="O2" t="str">
            <v>green_flg</v>
          </cell>
          <cell r="P2" t="str">
            <v>yellow_flg</v>
          </cell>
          <cell r="Q2" t="str">
            <v>heal_flg</v>
          </cell>
          <cell r="R2" t="str">
            <v>attack_count</v>
          </cell>
          <cell r="S2" t="str">
            <v>treasure_type</v>
          </cell>
          <cell r="T2" t="str">
            <v>treasure_value</v>
          </cell>
          <cell r="U2" t="str">
            <v>prev_quest_id</v>
          </cell>
          <cell r="V2" t="str">
            <v>prev_stage_id</v>
          </cell>
          <cell r="W2" t="str">
            <v>name</v>
          </cell>
          <cell r="X2" t="str">
            <v>attribute_red</v>
          </cell>
          <cell r="Y2" t="str">
            <v>attribute_blue</v>
          </cell>
          <cell r="Z2" t="str">
            <v>attribute_green</v>
          </cell>
          <cell r="AA2" t="str">
            <v>attribute_yellow</v>
          </cell>
          <cell r="AB2" t="str">
            <v>completable_time</v>
          </cell>
          <cell r="AC2" t="str">
            <v>background</v>
          </cell>
          <cell r="AD2" t="str">
            <v>crash_panel_materials</v>
          </cell>
          <cell r="AE2" t="str">
            <v>stage_target</v>
          </cell>
          <cell r="AF2" t="str">
            <v>bgm</v>
          </cell>
          <cell r="AG2" t="str">
            <v>bgm_boss</v>
          </cell>
          <cell r="AH2" t="str">
            <v>bgm_boss_last</v>
          </cell>
          <cell r="AI2" t="str">
            <v>continue_limit</v>
          </cell>
          <cell r="AJ2" t="str">
            <v>need_rank</v>
          </cell>
          <cell r="AK2" t="str">
            <v>chat_type</v>
          </cell>
          <cell r="AL2" t="str">
            <v>treasure_bug</v>
          </cell>
        </row>
        <row r="3">
          <cell r="A3" t="str">
            <v>0_1</v>
          </cell>
        </row>
        <row r="4">
          <cell r="A4" t="str">
            <v>0_2</v>
          </cell>
        </row>
        <row r="5">
          <cell r="A5" t="str">
            <v>1_1</v>
          </cell>
        </row>
        <row r="6">
          <cell r="A6" t="str">
            <v>1_2</v>
          </cell>
        </row>
        <row r="7">
          <cell r="A7" t="str">
            <v>1_3</v>
          </cell>
        </row>
        <row r="8">
          <cell r="A8" t="str">
            <v>1_4</v>
          </cell>
        </row>
        <row r="9">
          <cell r="A9" t="str">
            <v>2_1</v>
          </cell>
        </row>
        <row r="10">
          <cell r="A10" t="str">
            <v>2_2</v>
          </cell>
        </row>
        <row r="11">
          <cell r="A11" t="str">
            <v>2_3</v>
          </cell>
        </row>
        <row r="12">
          <cell r="A12" t="str">
            <v>2_4</v>
          </cell>
        </row>
        <row r="13">
          <cell r="A13" t="str">
            <v>3_1</v>
          </cell>
        </row>
        <row r="14">
          <cell r="A14" t="str">
            <v>3_2</v>
          </cell>
        </row>
        <row r="15">
          <cell r="A15" t="str">
            <v>3_3</v>
          </cell>
        </row>
        <row r="16">
          <cell r="A16" t="str">
            <v>3_4</v>
          </cell>
        </row>
        <row r="17">
          <cell r="A17" t="str">
            <v>4_1</v>
          </cell>
        </row>
        <row r="18">
          <cell r="A18" t="str">
            <v>4_2</v>
          </cell>
        </row>
        <row r="19">
          <cell r="A19" t="str">
            <v>4_3</v>
          </cell>
        </row>
        <row r="20">
          <cell r="A20" t="str">
            <v>4_4</v>
          </cell>
        </row>
        <row r="21">
          <cell r="A21" t="str">
            <v>5_1</v>
          </cell>
        </row>
        <row r="22">
          <cell r="A22" t="str">
            <v>5_2</v>
          </cell>
        </row>
        <row r="23">
          <cell r="A23" t="str">
            <v>5_3</v>
          </cell>
        </row>
        <row r="24">
          <cell r="A24" t="str">
            <v>5_4</v>
          </cell>
        </row>
        <row r="25">
          <cell r="A25" t="str">
            <v>6_1</v>
          </cell>
        </row>
        <row r="26">
          <cell r="A26" t="str">
            <v>6_2</v>
          </cell>
        </row>
        <row r="27">
          <cell r="A27" t="str">
            <v>6_3</v>
          </cell>
        </row>
        <row r="28">
          <cell r="A28" t="str">
            <v>6_4</v>
          </cell>
        </row>
        <row r="29">
          <cell r="A29" t="str">
            <v>6_5</v>
          </cell>
        </row>
        <row r="30">
          <cell r="A30" t="str">
            <v>6_6</v>
          </cell>
        </row>
        <row r="31">
          <cell r="A31" t="str">
            <v>7_1</v>
          </cell>
        </row>
        <row r="32">
          <cell r="A32" t="str">
            <v>7_2</v>
          </cell>
        </row>
        <row r="33">
          <cell r="A33" t="str">
            <v>7_3</v>
          </cell>
        </row>
        <row r="34">
          <cell r="A34" t="str">
            <v>7_4</v>
          </cell>
        </row>
        <row r="35">
          <cell r="A35" t="str">
            <v>7_5</v>
          </cell>
        </row>
        <row r="36">
          <cell r="A36" t="str">
            <v>7_6</v>
          </cell>
        </row>
        <row r="37">
          <cell r="A37" t="str">
            <v>8_1</v>
          </cell>
        </row>
        <row r="38">
          <cell r="A38" t="str">
            <v>8_2</v>
          </cell>
        </row>
        <row r="39">
          <cell r="A39" t="str">
            <v>8_3</v>
          </cell>
        </row>
        <row r="40">
          <cell r="A40" t="str">
            <v>8_4</v>
          </cell>
        </row>
        <row r="41">
          <cell r="A41" t="str">
            <v>8_5</v>
          </cell>
        </row>
        <row r="42">
          <cell r="A42" t="str">
            <v>8_6</v>
          </cell>
        </row>
        <row r="43">
          <cell r="A43" t="str">
            <v>9_1</v>
          </cell>
        </row>
        <row r="44">
          <cell r="A44" t="str">
            <v>9_2</v>
          </cell>
        </row>
        <row r="45">
          <cell r="A45" t="str">
            <v>9_3</v>
          </cell>
        </row>
        <row r="46">
          <cell r="A46" t="str">
            <v>9_4</v>
          </cell>
        </row>
        <row r="47">
          <cell r="A47" t="str">
            <v>9_5</v>
          </cell>
        </row>
        <row r="48">
          <cell r="A48" t="str">
            <v>9_6</v>
          </cell>
        </row>
        <row r="49">
          <cell r="A49" t="str">
            <v>10_1</v>
          </cell>
        </row>
        <row r="50">
          <cell r="A50" t="str">
            <v>10_2</v>
          </cell>
        </row>
        <row r="51">
          <cell r="A51" t="str">
            <v>10_3</v>
          </cell>
        </row>
        <row r="52">
          <cell r="A52" t="str">
            <v>10_4</v>
          </cell>
        </row>
        <row r="53">
          <cell r="A53" t="str">
            <v>10_5</v>
          </cell>
        </row>
        <row r="54">
          <cell r="A54" t="str">
            <v>10_6</v>
          </cell>
        </row>
        <row r="55">
          <cell r="A55" t="str">
            <v>11_1</v>
          </cell>
        </row>
        <row r="56">
          <cell r="A56" t="str">
            <v>11_2</v>
          </cell>
        </row>
        <row r="57">
          <cell r="A57" t="str">
            <v>11_3</v>
          </cell>
        </row>
        <row r="58">
          <cell r="A58" t="str">
            <v>11_4</v>
          </cell>
        </row>
        <row r="59">
          <cell r="A59" t="str">
            <v>11_5</v>
          </cell>
        </row>
        <row r="60">
          <cell r="A60" t="str">
            <v>11_6</v>
          </cell>
        </row>
        <row r="61">
          <cell r="A61" t="str">
            <v>12_1</v>
          </cell>
        </row>
        <row r="62">
          <cell r="A62" t="str">
            <v>12_2</v>
          </cell>
        </row>
        <row r="63">
          <cell r="A63" t="str">
            <v>12_3</v>
          </cell>
        </row>
        <row r="64">
          <cell r="A64" t="str">
            <v>12_4</v>
          </cell>
        </row>
        <row r="65">
          <cell r="A65" t="str">
            <v>12_5</v>
          </cell>
        </row>
        <row r="66">
          <cell r="A66" t="str">
            <v>12_6</v>
          </cell>
        </row>
        <row r="67">
          <cell r="A67" t="str">
            <v>13_1</v>
          </cell>
        </row>
        <row r="68">
          <cell r="A68" t="str">
            <v>13_2</v>
          </cell>
        </row>
        <row r="69">
          <cell r="A69" t="str">
            <v>13_3</v>
          </cell>
        </row>
        <row r="70">
          <cell r="A70" t="str">
            <v>13_4</v>
          </cell>
        </row>
        <row r="71">
          <cell r="A71" t="str">
            <v>13_5</v>
          </cell>
        </row>
        <row r="72">
          <cell r="A72" t="str">
            <v>13_6</v>
          </cell>
        </row>
        <row r="73">
          <cell r="A73" t="str">
            <v>14_1</v>
          </cell>
        </row>
        <row r="74">
          <cell r="A74" t="str">
            <v>14_2</v>
          </cell>
        </row>
        <row r="75">
          <cell r="A75" t="str">
            <v>14_3</v>
          </cell>
        </row>
        <row r="76">
          <cell r="A76" t="str">
            <v>14_4</v>
          </cell>
        </row>
        <row r="77">
          <cell r="A77" t="str">
            <v>14_5</v>
          </cell>
        </row>
        <row r="78">
          <cell r="A78" t="str">
            <v>14_6</v>
          </cell>
        </row>
        <row r="79">
          <cell r="A79" t="str">
            <v>15_1</v>
          </cell>
        </row>
        <row r="80">
          <cell r="A80" t="str">
            <v>15_2</v>
          </cell>
        </row>
        <row r="81">
          <cell r="A81" t="str">
            <v>15_3</v>
          </cell>
        </row>
        <row r="82">
          <cell r="A82" t="str">
            <v>15_4</v>
          </cell>
        </row>
        <row r="83">
          <cell r="A83" t="str">
            <v>15_5</v>
          </cell>
        </row>
        <row r="84">
          <cell r="A84" t="str">
            <v>15_6</v>
          </cell>
        </row>
        <row r="85">
          <cell r="A85" t="str">
            <v>16_1</v>
          </cell>
        </row>
        <row r="86">
          <cell r="A86" t="str">
            <v>16_2</v>
          </cell>
        </row>
        <row r="87">
          <cell r="A87" t="str">
            <v>16_3</v>
          </cell>
        </row>
        <row r="88">
          <cell r="A88" t="str">
            <v>16_4</v>
          </cell>
        </row>
        <row r="89">
          <cell r="A89" t="str">
            <v>16_5</v>
          </cell>
        </row>
        <row r="90">
          <cell r="A90" t="str">
            <v>16_6</v>
          </cell>
        </row>
        <row r="91">
          <cell r="A91" t="str">
            <v>17_1</v>
          </cell>
        </row>
        <row r="92">
          <cell r="A92" t="str">
            <v>17_2</v>
          </cell>
        </row>
        <row r="93">
          <cell r="A93" t="str">
            <v>17_3</v>
          </cell>
        </row>
        <row r="94">
          <cell r="A94" t="str">
            <v>17_4</v>
          </cell>
        </row>
        <row r="95">
          <cell r="A95" t="str">
            <v>17_5</v>
          </cell>
        </row>
        <row r="96">
          <cell r="A96" t="str">
            <v>17_6</v>
          </cell>
        </row>
        <row r="97">
          <cell r="A97" t="str">
            <v>18_1</v>
          </cell>
        </row>
        <row r="98">
          <cell r="A98" t="str">
            <v>18_2</v>
          </cell>
        </row>
        <row r="99">
          <cell r="A99" t="str">
            <v>18_3</v>
          </cell>
        </row>
        <row r="100">
          <cell r="A100" t="str">
            <v>18_4</v>
          </cell>
        </row>
        <row r="101">
          <cell r="A101" t="str">
            <v>18_5</v>
          </cell>
        </row>
        <row r="102">
          <cell r="A102" t="str">
            <v>18_6</v>
          </cell>
        </row>
        <row r="103">
          <cell r="A103" t="str">
            <v>19_1</v>
          </cell>
        </row>
        <row r="104">
          <cell r="A104" t="str">
            <v>19_2</v>
          </cell>
        </row>
        <row r="105">
          <cell r="A105" t="str">
            <v>19_3</v>
          </cell>
        </row>
        <row r="106">
          <cell r="A106" t="str">
            <v>19_4</v>
          </cell>
        </row>
        <row r="107">
          <cell r="A107" t="str">
            <v>19_5</v>
          </cell>
        </row>
        <row r="108">
          <cell r="A108" t="str">
            <v>19_6</v>
          </cell>
        </row>
        <row r="109">
          <cell r="A109" t="str">
            <v>20_1</v>
          </cell>
        </row>
        <row r="110">
          <cell r="A110" t="str">
            <v>20_2</v>
          </cell>
        </row>
        <row r="111">
          <cell r="A111" t="str">
            <v>20_3</v>
          </cell>
        </row>
        <row r="112">
          <cell r="A112" t="str">
            <v>20_4</v>
          </cell>
        </row>
        <row r="113">
          <cell r="A113" t="str">
            <v>20_5</v>
          </cell>
        </row>
        <row r="114">
          <cell r="A114" t="str">
            <v>20_6</v>
          </cell>
        </row>
        <row r="115">
          <cell r="A115" t="str">
            <v>21_1</v>
          </cell>
        </row>
        <row r="116">
          <cell r="A116" t="str">
            <v>21_2</v>
          </cell>
        </row>
        <row r="117">
          <cell r="A117" t="str">
            <v>21_3</v>
          </cell>
        </row>
        <row r="118">
          <cell r="A118" t="str">
            <v>21_4</v>
          </cell>
        </row>
        <row r="119">
          <cell r="A119" t="str">
            <v>21_5</v>
          </cell>
        </row>
        <row r="120">
          <cell r="A120" t="str">
            <v>21_6</v>
          </cell>
        </row>
        <row r="121">
          <cell r="A121" t="str">
            <v>22_1</v>
          </cell>
        </row>
        <row r="122">
          <cell r="A122" t="str">
            <v>22_2</v>
          </cell>
        </row>
        <row r="123">
          <cell r="A123" t="str">
            <v>22_3</v>
          </cell>
        </row>
        <row r="124">
          <cell r="A124" t="str">
            <v>22_4</v>
          </cell>
        </row>
        <row r="125">
          <cell r="A125" t="str">
            <v>22_5</v>
          </cell>
        </row>
        <row r="126">
          <cell r="A126" t="str">
            <v>22_6</v>
          </cell>
        </row>
        <row r="127">
          <cell r="A127" t="str">
            <v>23_1</v>
          </cell>
        </row>
        <row r="128">
          <cell r="A128" t="str">
            <v>23_2</v>
          </cell>
        </row>
        <row r="129">
          <cell r="A129" t="str">
            <v>23_3</v>
          </cell>
        </row>
        <row r="130">
          <cell r="A130" t="str">
            <v>23_4</v>
          </cell>
        </row>
        <row r="131">
          <cell r="A131" t="str">
            <v>23_5</v>
          </cell>
        </row>
        <row r="132">
          <cell r="A132" t="str">
            <v>23_6</v>
          </cell>
        </row>
        <row r="133">
          <cell r="A133" t="str">
            <v>24_1</v>
          </cell>
        </row>
        <row r="134">
          <cell r="A134" t="str">
            <v>24_2</v>
          </cell>
        </row>
        <row r="135">
          <cell r="A135" t="str">
            <v>24_3</v>
          </cell>
        </row>
        <row r="136">
          <cell r="A136" t="str">
            <v>24_4</v>
          </cell>
        </row>
        <row r="137">
          <cell r="A137" t="str">
            <v>24_5</v>
          </cell>
        </row>
        <row r="138">
          <cell r="A138" t="str">
            <v>24_6</v>
          </cell>
        </row>
        <row r="139">
          <cell r="A139" t="str">
            <v>25_1</v>
          </cell>
        </row>
        <row r="140">
          <cell r="A140" t="str">
            <v>25_2</v>
          </cell>
        </row>
        <row r="141">
          <cell r="A141" t="str">
            <v>25_3</v>
          </cell>
        </row>
        <row r="142">
          <cell r="A142" t="str">
            <v>25_4</v>
          </cell>
        </row>
        <row r="143">
          <cell r="A143" t="str">
            <v>25_5</v>
          </cell>
        </row>
        <row r="144">
          <cell r="A144" t="str">
            <v>25_6</v>
          </cell>
        </row>
        <row r="145">
          <cell r="A145" t="str">
            <v>26_1</v>
          </cell>
        </row>
        <row r="146">
          <cell r="A146" t="str">
            <v>26_2</v>
          </cell>
        </row>
        <row r="147">
          <cell r="A147" t="str">
            <v>26_3</v>
          </cell>
        </row>
        <row r="148">
          <cell r="A148" t="str">
            <v>26_4</v>
          </cell>
        </row>
        <row r="149">
          <cell r="A149" t="str">
            <v>26_5</v>
          </cell>
        </row>
        <row r="150">
          <cell r="A150" t="str">
            <v>26_6</v>
          </cell>
        </row>
        <row r="151">
          <cell r="A151" t="str">
            <v>27_1</v>
          </cell>
        </row>
        <row r="152">
          <cell r="A152" t="str">
            <v>27_2</v>
          </cell>
        </row>
        <row r="153">
          <cell r="A153" t="str">
            <v>27_3</v>
          </cell>
        </row>
        <row r="154">
          <cell r="A154" t="str">
            <v>27_4</v>
          </cell>
        </row>
        <row r="155">
          <cell r="A155" t="str">
            <v>27_5</v>
          </cell>
        </row>
        <row r="156">
          <cell r="A156" t="str">
            <v>27_6</v>
          </cell>
        </row>
        <row r="157">
          <cell r="A157" t="str">
            <v>28_1</v>
          </cell>
        </row>
        <row r="158">
          <cell r="A158" t="str">
            <v>28_2</v>
          </cell>
        </row>
        <row r="159">
          <cell r="A159" t="str">
            <v>28_3</v>
          </cell>
        </row>
        <row r="160">
          <cell r="A160" t="str">
            <v>28_4</v>
          </cell>
        </row>
        <row r="161">
          <cell r="A161" t="str">
            <v>28_5</v>
          </cell>
        </row>
        <row r="162">
          <cell r="A162" t="str">
            <v>28_6</v>
          </cell>
        </row>
        <row r="163">
          <cell r="A163" t="str">
            <v>29_1</v>
          </cell>
        </row>
        <row r="164">
          <cell r="A164" t="str">
            <v>29_2</v>
          </cell>
        </row>
        <row r="165">
          <cell r="A165" t="str">
            <v>29_3</v>
          </cell>
        </row>
        <row r="166">
          <cell r="A166" t="str">
            <v>29_4</v>
          </cell>
        </row>
        <row r="167">
          <cell r="A167" t="str">
            <v>29_5</v>
          </cell>
        </row>
        <row r="168">
          <cell r="A168" t="str">
            <v>29_6</v>
          </cell>
        </row>
        <row r="169">
          <cell r="A169" t="str">
            <v>30_1</v>
          </cell>
        </row>
        <row r="170">
          <cell r="A170" t="str">
            <v>30_2</v>
          </cell>
        </row>
        <row r="171">
          <cell r="A171" t="str">
            <v>30_3</v>
          </cell>
        </row>
        <row r="172">
          <cell r="A172" t="str">
            <v>30_4</v>
          </cell>
        </row>
        <row r="173">
          <cell r="A173" t="str">
            <v>30_5</v>
          </cell>
        </row>
        <row r="174">
          <cell r="A174" t="str">
            <v>30_6</v>
          </cell>
        </row>
        <row r="175">
          <cell r="A175" t="str">
            <v>31_1</v>
          </cell>
        </row>
        <row r="176">
          <cell r="A176" t="str">
            <v>31_2</v>
          </cell>
        </row>
        <row r="177">
          <cell r="A177" t="str">
            <v>31_3</v>
          </cell>
        </row>
        <row r="178">
          <cell r="A178" t="str">
            <v>31_4</v>
          </cell>
        </row>
        <row r="179">
          <cell r="A179" t="str">
            <v>31_5</v>
          </cell>
        </row>
        <row r="180">
          <cell r="A180" t="str">
            <v>31_6</v>
          </cell>
        </row>
        <row r="181">
          <cell r="A181" t="str">
            <v>10008_1</v>
          </cell>
        </row>
        <row r="182">
          <cell r="A182" t="str">
            <v>10010_1</v>
          </cell>
        </row>
        <row r="183">
          <cell r="A183" t="str">
            <v>10015_1</v>
          </cell>
        </row>
        <row r="184">
          <cell r="A184" t="str">
            <v>10020_1</v>
          </cell>
        </row>
        <row r="185">
          <cell r="A185" t="str">
            <v>10025_1</v>
          </cell>
        </row>
        <row r="186">
          <cell r="A186" t="str">
            <v>10030_1</v>
          </cell>
        </row>
        <row r="187">
          <cell r="A187" t="str">
            <v>10035_1</v>
          </cell>
        </row>
        <row r="188">
          <cell r="A188" t="str">
            <v>10040_1</v>
          </cell>
        </row>
        <row r="189">
          <cell r="A189" t="str">
            <v>10045_1</v>
          </cell>
        </row>
        <row r="190">
          <cell r="A190" t="str">
            <v>10050_1</v>
          </cell>
        </row>
        <row r="191">
          <cell r="A191" t="str">
            <v>10055_1</v>
          </cell>
        </row>
        <row r="192">
          <cell r="A192" t="str">
            <v>10060_1</v>
          </cell>
        </row>
        <row r="193">
          <cell r="A193" t="str">
            <v>10065_1</v>
          </cell>
        </row>
        <row r="194">
          <cell r="A194" t="str">
            <v>10090_1</v>
          </cell>
        </row>
        <row r="195">
          <cell r="A195" t="str">
            <v>10100_1</v>
          </cell>
        </row>
        <row r="196">
          <cell r="A196" t="str">
            <v>11001_1</v>
          </cell>
        </row>
        <row r="197">
          <cell r="A197" t="str">
            <v>11001_2</v>
          </cell>
        </row>
        <row r="198">
          <cell r="A198" t="str">
            <v>11001_3</v>
          </cell>
        </row>
        <row r="199">
          <cell r="A199" t="str">
            <v>11001_4</v>
          </cell>
        </row>
        <row r="200">
          <cell r="A200" t="str">
            <v>11001_10</v>
          </cell>
        </row>
        <row r="201">
          <cell r="A201" t="str">
            <v>11002_1</v>
          </cell>
        </row>
        <row r="202">
          <cell r="A202" t="str">
            <v>11002_2</v>
          </cell>
        </row>
        <row r="203">
          <cell r="A203" t="str">
            <v>11002_3</v>
          </cell>
        </row>
        <row r="204">
          <cell r="A204" t="str">
            <v>11002_4</v>
          </cell>
        </row>
        <row r="205">
          <cell r="A205" t="str">
            <v>11002_10</v>
          </cell>
        </row>
        <row r="206">
          <cell r="A206" t="str">
            <v>11003_1</v>
          </cell>
        </row>
        <row r="207">
          <cell r="A207" t="str">
            <v>11003_2</v>
          </cell>
        </row>
        <row r="208">
          <cell r="A208" t="str">
            <v>11003_3</v>
          </cell>
        </row>
        <row r="209">
          <cell r="A209" t="str">
            <v>11003_4</v>
          </cell>
        </row>
        <row r="210">
          <cell r="A210" t="str">
            <v>11003_10</v>
          </cell>
        </row>
        <row r="211">
          <cell r="A211" t="str">
            <v>11004_1</v>
          </cell>
        </row>
        <row r="212">
          <cell r="A212" t="str">
            <v>11004_2</v>
          </cell>
        </row>
        <row r="213">
          <cell r="A213" t="str">
            <v>11004_3</v>
          </cell>
        </row>
        <row r="214">
          <cell r="A214" t="str">
            <v>11004_4</v>
          </cell>
        </row>
        <row r="215">
          <cell r="A215" t="str">
            <v>11004_10</v>
          </cell>
        </row>
        <row r="216">
          <cell r="A216" t="str">
            <v>11005_1</v>
          </cell>
        </row>
        <row r="217">
          <cell r="A217" t="str">
            <v>11005_2</v>
          </cell>
        </row>
        <row r="218">
          <cell r="A218" t="str">
            <v>11005_3</v>
          </cell>
        </row>
        <row r="219">
          <cell r="A219" t="str">
            <v>11005_4</v>
          </cell>
        </row>
        <row r="220">
          <cell r="A220" t="str">
            <v>11006_1</v>
          </cell>
        </row>
        <row r="221">
          <cell r="A221" t="str">
            <v>11006_2</v>
          </cell>
        </row>
        <row r="222">
          <cell r="A222" t="str">
            <v>11006_3</v>
          </cell>
        </row>
        <row r="223">
          <cell r="A223" t="str">
            <v>11006_4</v>
          </cell>
        </row>
        <row r="224">
          <cell r="A224" t="str">
            <v>11007_1</v>
          </cell>
        </row>
        <row r="225">
          <cell r="A225" t="str">
            <v>11007_2</v>
          </cell>
        </row>
        <row r="226">
          <cell r="A226" t="str">
            <v>11007_3</v>
          </cell>
        </row>
        <row r="227">
          <cell r="A227" t="str">
            <v>11007_4</v>
          </cell>
        </row>
        <row r="228">
          <cell r="A228" t="str">
            <v>11007_5</v>
          </cell>
        </row>
        <row r="229">
          <cell r="A229" t="str">
            <v>11008_1</v>
          </cell>
        </row>
        <row r="230">
          <cell r="A230" t="str">
            <v>11008_2</v>
          </cell>
        </row>
        <row r="231">
          <cell r="A231" t="str">
            <v>11008_3</v>
          </cell>
        </row>
        <row r="232">
          <cell r="A232" t="str">
            <v>11008_4</v>
          </cell>
        </row>
        <row r="233">
          <cell r="A233" t="str">
            <v>11008_5</v>
          </cell>
        </row>
        <row r="234">
          <cell r="A234" t="str">
            <v>11016_1</v>
          </cell>
        </row>
        <row r="235">
          <cell r="A235" t="str">
            <v>11017_1</v>
          </cell>
        </row>
        <row r="236">
          <cell r="A236" t="str">
            <v>11018_1</v>
          </cell>
        </row>
        <row r="237">
          <cell r="A237" t="str">
            <v>11101_1</v>
          </cell>
        </row>
        <row r="238">
          <cell r="A238" t="str">
            <v>11101_2</v>
          </cell>
        </row>
        <row r="239">
          <cell r="A239" t="str">
            <v>11101_3</v>
          </cell>
        </row>
        <row r="240">
          <cell r="A240" t="str">
            <v>11101_4</v>
          </cell>
        </row>
        <row r="241">
          <cell r="A241" t="str">
            <v>11101_10</v>
          </cell>
        </row>
        <row r="242">
          <cell r="A242" t="str">
            <v>11102_1</v>
          </cell>
        </row>
        <row r="243">
          <cell r="A243" t="str">
            <v>11102_2</v>
          </cell>
        </row>
        <row r="244">
          <cell r="A244" t="str">
            <v>11102_3</v>
          </cell>
        </row>
        <row r="245">
          <cell r="A245" t="str">
            <v>11102_4</v>
          </cell>
        </row>
        <row r="246">
          <cell r="A246" t="str">
            <v>11102_10</v>
          </cell>
        </row>
        <row r="247">
          <cell r="A247" t="str">
            <v>11103_1</v>
          </cell>
        </row>
        <row r="248">
          <cell r="A248" t="str">
            <v>11103_2</v>
          </cell>
        </row>
        <row r="249">
          <cell r="A249" t="str">
            <v>11103_3</v>
          </cell>
        </row>
        <row r="250">
          <cell r="A250" t="str">
            <v>11103_4</v>
          </cell>
        </row>
        <row r="251">
          <cell r="A251" t="str">
            <v>11103_10</v>
          </cell>
        </row>
        <row r="252">
          <cell r="A252" t="str">
            <v>11104_1</v>
          </cell>
        </row>
        <row r="253">
          <cell r="A253" t="str">
            <v>11104_2</v>
          </cell>
        </row>
        <row r="254">
          <cell r="A254" t="str">
            <v>11104_3</v>
          </cell>
        </row>
        <row r="255">
          <cell r="A255" t="str">
            <v>11104_4</v>
          </cell>
        </row>
        <row r="256">
          <cell r="A256" t="str">
            <v>11104_10</v>
          </cell>
        </row>
        <row r="257">
          <cell r="A257" t="str">
            <v>11105_1</v>
          </cell>
        </row>
        <row r="258">
          <cell r="A258" t="str">
            <v>11105_2</v>
          </cell>
        </row>
        <row r="259">
          <cell r="A259" t="str">
            <v>11105_3</v>
          </cell>
        </row>
        <row r="260">
          <cell r="A260" t="str">
            <v>11105_4</v>
          </cell>
        </row>
        <row r="261">
          <cell r="A261" t="str">
            <v>11106_1</v>
          </cell>
        </row>
        <row r="262">
          <cell r="A262" t="str">
            <v>11106_2</v>
          </cell>
        </row>
        <row r="263">
          <cell r="A263" t="str">
            <v>11106_3</v>
          </cell>
        </row>
        <row r="264">
          <cell r="A264" t="str">
            <v>11206_1</v>
          </cell>
        </row>
        <row r="265">
          <cell r="A265" t="str">
            <v>11206_2</v>
          </cell>
        </row>
        <row r="266">
          <cell r="A266" t="str">
            <v>11206_3</v>
          </cell>
        </row>
        <row r="267">
          <cell r="A267" t="str">
            <v>11207_1</v>
          </cell>
        </row>
        <row r="268">
          <cell r="A268" t="str">
            <v>11207_2</v>
          </cell>
        </row>
        <row r="269">
          <cell r="A269" t="str">
            <v>11208_1</v>
          </cell>
        </row>
        <row r="270">
          <cell r="A270" t="str">
            <v>11208_2</v>
          </cell>
        </row>
        <row r="271">
          <cell r="A271" t="str">
            <v>11209_1</v>
          </cell>
        </row>
        <row r="272">
          <cell r="A272" t="str">
            <v>11209_2</v>
          </cell>
        </row>
        <row r="273">
          <cell r="A273" t="str">
            <v>11212_1</v>
          </cell>
        </row>
        <row r="274">
          <cell r="A274" t="str">
            <v>11213_1</v>
          </cell>
        </row>
        <row r="275">
          <cell r="A275" t="str">
            <v>11214_1</v>
          </cell>
        </row>
        <row r="276">
          <cell r="A276" t="str">
            <v>11214_2</v>
          </cell>
        </row>
        <row r="277">
          <cell r="A277" t="str">
            <v>11214_3</v>
          </cell>
        </row>
        <row r="278">
          <cell r="A278" t="str">
            <v>11215_1</v>
          </cell>
        </row>
        <row r="279">
          <cell r="A279" t="str">
            <v>11216_1</v>
          </cell>
        </row>
        <row r="280">
          <cell r="A280" t="str">
            <v>11217_1</v>
          </cell>
        </row>
        <row r="281">
          <cell r="A281" t="str">
            <v>11218_1</v>
          </cell>
        </row>
        <row r="282">
          <cell r="A282" t="str">
            <v>11219_1</v>
          </cell>
        </row>
        <row r="283">
          <cell r="A283" t="str">
            <v>11220_1</v>
          </cell>
        </row>
        <row r="284">
          <cell r="A284" t="str">
            <v>11221_1</v>
          </cell>
        </row>
        <row r="285">
          <cell r="A285" t="str">
            <v>11224_1</v>
          </cell>
        </row>
        <row r="286">
          <cell r="A286" t="str">
            <v>11225_1</v>
          </cell>
        </row>
        <row r="287">
          <cell r="A287" t="str">
            <v>11226_1</v>
          </cell>
        </row>
        <row r="288">
          <cell r="A288" t="str">
            <v>11226_2</v>
          </cell>
        </row>
        <row r="289">
          <cell r="A289" t="str">
            <v>11226_3</v>
          </cell>
        </row>
        <row r="290">
          <cell r="A290" t="str">
            <v>11226_4</v>
          </cell>
        </row>
        <row r="291">
          <cell r="A291" t="str">
            <v>11226_5</v>
          </cell>
        </row>
        <row r="292">
          <cell r="A292" t="str">
            <v>11226_6</v>
          </cell>
        </row>
        <row r="293">
          <cell r="A293" t="str">
            <v>11226_7</v>
          </cell>
        </row>
        <row r="294">
          <cell r="A294" t="str">
            <v>11226_8</v>
          </cell>
        </row>
        <row r="295">
          <cell r="A295" t="str">
            <v>11227_1</v>
          </cell>
        </row>
        <row r="296">
          <cell r="A296" t="str">
            <v>11227_2</v>
          </cell>
        </row>
        <row r="297">
          <cell r="A297" t="str">
            <v>11228_1</v>
          </cell>
        </row>
        <row r="298">
          <cell r="A298" t="str">
            <v>11229_1</v>
          </cell>
        </row>
        <row r="299">
          <cell r="A299" t="str">
            <v>11230_1</v>
          </cell>
        </row>
        <row r="300">
          <cell r="A300" t="str">
            <v>11230_2</v>
          </cell>
        </row>
        <row r="301">
          <cell r="A301" t="str">
            <v>11231_1</v>
          </cell>
        </row>
        <row r="302">
          <cell r="A302" t="str">
            <v>12001_1</v>
          </cell>
        </row>
        <row r="303">
          <cell r="A303" t="str">
            <v>12001_2</v>
          </cell>
        </row>
        <row r="304">
          <cell r="A304" t="str">
            <v>12001_3</v>
          </cell>
        </row>
        <row r="305">
          <cell r="A305" t="str">
            <v>12002_1</v>
          </cell>
        </row>
        <row r="306">
          <cell r="A306" t="str">
            <v>12002_2</v>
          </cell>
        </row>
        <row r="307">
          <cell r="A307" t="str">
            <v>12003_1</v>
          </cell>
        </row>
        <row r="308">
          <cell r="A308" t="str">
            <v>12003_2</v>
          </cell>
        </row>
        <row r="309">
          <cell r="A309" t="str">
            <v>12003_3</v>
          </cell>
        </row>
        <row r="310">
          <cell r="A310" t="str">
            <v>12003_4</v>
          </cell>
        </row>
        <row r="311">
          <cell r="A311" t="str">
            <v>12004_1</v>
          </cell>
        </row>
        <row r="312">
          <cell r="A312" t="str">
            <v>13001_1</v>
          </cell>
        </row>
        <row r="313">
          <cell r="A313" t="str">
            <v>13001_2</v>
          </cell>
        </row>
        <row r="314">
          <cell r="A314" t="str">
            <v>13001_3</v>
          </cell>
        </row>
        <row r="315">
          <cell r="A315" t="str">
            <v>13001_4</v>
          </cell>
        </row>
        <row r="316">
          <cell r="A316" t="str">
            <v>13001_5</v>
          </cell>
        </row>
        <row r="317">
          <cell r="A317" t="str">
            <v>13001_6</v>
          </cell>
        </row>
        <row r="318">
          <cell r="A318" t="str">
            <v>13001_7</v>
          </cell>
        </row>
        <row r="319">
          <cell r="A319" t="str">
            <v>13001_8</v>
          </cell>
        </row>
        <row r="320">
          <cell r="A320" t="str">
            <v>13001_9</v>
          </cell>
        </row>
        <row r="321">
          <cell r="A321" t="str">
            <v>13001_10</v>
          </cell>
        </row>
        <row r="322">
          <cell r="A322" t="str">
            <v>13001_11</v>
          </cell>
        </row>
        <row r="323">
          <cell r="A323" t="str">
            <v>13001_12</v>
          </cell>
        </row>
        <row r="324">
          <cell r="A324" t="str">
            <v>13001_13</v>
          </cell>
        </row>
        <row r="325">
          <cell r="A325" t="str">
            <v>13001_14</v>
          </cell>
        </row>
        <row r="326">
          <cell r="A326" t="str">
            <v>13001_15</v>
          </cell>
        </row>
        <row r="327">
          <cell r="A327" t="str">
            <v>13001_16</v>
          </cell>
        </row>
        <row r="328">
          <cell r="A328" t="str">
            <v>13001_17</v>
          </cell>
        </row>
        <row r="329">
          <cell r="A329" t="str">
            <v>13001_18</v>
          </cell>
        </row>
        <row r="330">
          <cell r="A330" t="str">
            <v>13001_19</v>
          </cell>
        </row>
        <row r="331">
          <cell r="A331" t="str">
            <v>13001_20</v>
          </cell>
        </row>
        <row r="332">
          <cell r="A332" t="str">
            <v>13001_21</v>
          </cell>
        </row>
        <row r="333">
          <cell r="A333" t="str">
            <v>13001_22</v>
          </cell>
        </row>
        <row r="334">
          <cell r="A334" t="str">
            <v>13001_23</v>
          </cell>
        </row>
        <row r="335">
          <cell r="A335" t="str">
            <v>13001_24</v>
          </cell>
        </row>
        <row r="336">
          <cell r="A336" t="str">
            <v>13001_25</v>
          </cell>
        </row>
        <row r="337">
          <cell r="A337" t="str">
            <v>13101_1</v>
          </cell>
        </row>
        <row r="338">
          <cell r="A338" t="str">
            <v>13101_2</v>
          </cell>
        </row>
        <row r="339">
          <cell r="A339" t="str">
            <v>13101_3</v>
          </cell>
        </row>
        <row r="340">
          <cell r="A340" t="str">
            <v>13101_4</v>
          </cell>
        </row>
        <row r="341">
          <cell r="A341" t="str">
            <v>13101_5</v>
          </cell>
        </row>
        <row r="342">
          <cell r="A342" t="str">
            <v>13101_6</v>
          </cell>
        </row>
        <row r="343">
          <cell r="A343" t="str">
            <v>13101_7</v>
          </cell>
        </row>
        <row r="344">
          <cell r="A344" t="str">
            <v>13101_8</v>
          </cell>
        </row>
        <row r="345">
          <cell r="A345" t="str">
            <v>13101_9</v>
          </cell>
        </row>
        <row r="346">
          <cell r="A346" t="str">
            <v>13101_10</v>
          </cell>
        </row>
        <row r="347">
          <cell r="A347" t="str">
            <v>13101_11</v>
          </cell>
        </row>
        <row r="348">
          <cell r="A348" t="str">
            <v>13101_12</v>
          </cell>
        </row>
        <row r="349">
          <cell r="A349" t="str">
            <v>13101_13</v>
          </cell>
        </row>
        <row r="350">
          <cell r="A350" t="str">
            <v>13101_14</v>
          </cell>
        </row>
        <row r="351">
          <cell r="A351" t="str">
            <v>13101_15</v>
          </cell>
        </row>
        <row r="352">
          <cell r="A352" t="str">
            <v>13101_16</v>
          </cell>
        </row>
        <row r="353">
          <cell r="A353" t="str">
            <v>13101_17</v>
          </cell>
        </row>
        <row r="354">
          <cell r="A354" t="str">
            <v>13101_18</v>
          </cell>
        </row>
        <row r="355">
          <cell r="A355" t="str">
            <v>13101_19</v>
          </cell>
        </row>
        <row r="356">
          <cell r="A356" t="str">
            <v>13101_20</v>
          </cell>
        </row>
        <row r="357">
          <cell r="A357" t="str">
            <v>13101_21</v>
          </cell>
        </row>
        <row r="358">
          <cell r="A358" t="str">
            <v>13101_22</v>
          </cell>
        </row>
        <row r="359">
          <cell r="A359" t="str">
            <v>13101_23</v>
          </cell>
        </row>
        <row r="360">
          <cell r="A360" t="str">
            <v>13101_24</v>
          </cell>
        </row>
        <row r="361">
          <cell r="A361" t="str">
            <v>13101_25</v>
          </cell>
        </row>
        <row r="362">
          <cell r="A362" t="str">
            <v>13300_1</v>
          </cell>
        </row>
        <row r="363">
          <cell r="A363" t="str">
            <v>13300_2</v>
          </cell>
        </row>
        <row r="364">
          <cell r="A364" t="str">
            <v>13300_3</v>
          </cell>
        </row>
        <row r="365">
          <cell r="A365" t="str">
            <v>13300_4</v>
          </cell>
        </row>
        <row r="366">
          <cell r="A366" t="str">
            <v>13300_5</v>
          </cell>
        </row>
        <row r="367">
          <cell r="A367" t="str">
            <v>13300_6</v>
          </cell>
        </row>
        <row r="368">
          <cell r="A368" t="str">
            <v>13300_7</v>
          </cell>
        </row>
        <row r="369">
          <cell r="A369" t="str">
            <v>13300_8</v>
          </cell>
        </row>
        <row r="370">
          <cell r="A370" t="str">
            <v>13300_9</v>
          </cell>
        </row>
        <row r="371">
          <cell r="A371" t="str">
            <v>13300_10</v>
          </cell>
        </row>
        <row r="372">
          <cell r="A372" t="str">
            <v>13300_11</v>
          </cell>
        </row>
        <row r="373">
          <cell r="A373" t="str">
            <v>13300_12</v>
          </cell>
        </row>
        <row r="374">
          <cell r="A374" t="str">
            <v>13300_13</v>
          </cell>
        </row>
        <row r="375">
          <cell r="A375" t="str">
            <v>13300_14</v>
          </cell>
        </row>
        <row r="376">
          <cell r="A376" t="str">
            <v>13300_15</v>
          </cell>
        </row>
        <row r="377">
          <cell r="A377" t="str">
            <v>13301_1</v>
          </cell>
        </row>
        <row r="378">
          <cell r="A378" t="str">
            <v>13301_2</v>
          </cell>
        </row>
        <row r="379">
          <cell r="A379" t="str">
            <v>13301_3</v>
          </cell>
        </row>
        <row r="380">
          <cell r="A380" t="str">
            <v>13301_4</v>
          </cell>
        </row>
        <row r="381">
          <cell r="A381" t="str">
            <v>13301_5</v>
          </cell>
        </row>
        <row r="382">
          <cell r="A382" t="str">
            <v>13301_6</v>
          </cell>
        </row>
        <row r="383">
          <cell r="A383" t="str">
            <v>13301_7</v>
          </cell>
        </row>
        <row r="384">
          <cell r="A384" t="str">
            <v>13301_8</v>
          </cell>
        </row>
        <row r="385">
          <cell r="A385" t="str">
            <v>13301_9</v>
          </cell>
        </row>
        <row r="386">
          <cell r="A386" t="str">
            <v>13301_10</v>
          </cell>
        </row>
        <row r="387">
          <cell r="A387" t="str">
            <v>13301_11</v>
          </cell>
        </row>
        <row r="388">
          <cell r="A388" t="str">
            <v>13301_12</v>
          </cell>
        </row>
        <row r="389">
          <cell r="A389" t="str">
            <v>13301_13</v>
          </cell>
        </row>
        <row r="390">
          <cell r="A390" t="str">
            <v>13301_14</v>
          </cell>
        </row>
        <row r="391">
          <cell r="A391" t="str">
            <v>13301_15</v>
          </cell>
        </row>
        <row r="392">
          <cell r="A392" t="str">
            <v>13302_1</v>
          </cell>
        </row>
        <row r="393">
          <cell r="A393" t="str">
            <v>13302_2</v>
          </cell>
        </row>
        <row r="394">
          <cell r="A394" t="str">
            <v>13302_3</v>
          </cell>
        </row>
        <row r="395">
          <cell r="A395" t="str">
            <v>13302_4</v>
          </cell>
        </row>
        <row r="396">
          <cell r="A396" t="str">
            <v>13302_5</v>
          </cell>
        </row>
        <row r="397">
          <cell r="A397" t="str">
            <v>13302_6</v>
          </cell>
        </row>
        <row r="398">
          <cell r="A398" t="str">
            <v>13302_7</v>
          </cell>
        </row>
        <row r="399">
          <cell r="A399" t="str">
            <v>13302_8</v>
          </cell>
        </row>
        <row r="400">
          <cell r="A400" t="str">
            <v>13302_9</v>
          </cell>
        </row>
        <row r="401">
          <cell r="A401" t="str">
            <v>13302_10</v>
          </cell>
        </row>
        <row r="402">
          <cell r="A402" t="str">
            <v>13302_11</v>
          </cell>
        </row>
        <row r="403">
          <cell r="A403" t="str">
            <v>13302_12</v>
          </cell>
        </row>
        <row r="404">
          <cell r="A404" t="str">
            <v>13302_13</v>
          </cell>
        </row>
        <row r="405">
          <cell r="A405" t="str">
            <v>13302_14</v>
          </cell>
        </row>
        <row r="406">
          <cell r="A406" t="str">
            <v>13302_15</v>
          </cell>
        </row>
        <row r="407">
          <cell r="A407" t="str">
            <v>13400_1</v>
          </cell>
        </row>
        <row r="408">
          <cell r="A408" t="str">
            <v>13400_2</v>
          </cell>
        </row>
        <row r="409">
          <cell r="A409" t="str">
            <v>13400_3</v>
          </cell>
        </row>
        <row r="410">
          <cell r="A410" t="str">
            <v>13400_4</v>
          </cell>
        </row>
        <row r="411">
          <cell r="A411" t="str">
            <v>13400_5</v>
          </cell>
        </row>
        <row r="412">
          <cell r="A412" t="str">
            <v>13400_6</v>
          </cell>
        </row>
        <row r="413">
          <cell r="A413" t="str">
            <v>13400_7</v>
          </cell>
        </row>
        <row r="414">
          <cell r="A414" t="str">
            <v>13400_8</v>
          </cell>
        </row>
        <row r="415">
          <cell r="A415" t="str">
            <v>13400_9</v>
          </cell>
        </row>
        <row r="416">
          <cell r="A416" t="str">
            <v>13400_10</v>
          </cell>
        </row>
        <row r="417">
          <cell r="A417" t="str">
            <v>13400_11</v>
          </cell>
        </row>
        <row r="418">
          <cell r="A418" t="str">
            <v>13400_12</v>
          </cell>
        </row>
        <row r="419">
          <cell r="A419" t="str">
            <v>13400_13</v>
          </cell>
        </row>
        <row r="420">
          <cell r="A420" t="str">
            <v>13400_14</v>
          </cell>
        </row>
        <row r="421">
          <cell r="A421" t="str">
            <v>13400_15</v>
          </cell>
        </row>
        <row r="422">
          <cell r="A422" t="str">
            <v>14001_1</v>
          </cell>
        </row>
        <row r="423">
          <cell r="A423" t="str">
            <v>14001_2</v>
          </cell>
        </row>
        <row r="424">
          <cell r="A424" t="str">
            <v>14001_3</v>
          </cell>
        </row>
        <row r="425">
          <cell r="A425" t="str">
            <v>14001_4</v>
          </cell>
        </row>
        <row r="426">
          <cell r="A426" t="str">
            <v>14001_5</v>
          </cell>
        </row>
        <row r="427">
          <cell r="A427" t="str">
            <v>14001_6</v>
          </cell>
        </row>
        <row r="428">
          <cell r="A428" t="str">
            <v>14001_7</v>
          </cell>
        </row>
        <row r="429">
          <cell r="A429" t="str">
            <v>14001_8</v>
          </cell>
        </row>
        <row r="430">
          <cell r="A430" t="str">
            <v>14002_1</v>
          </cell>
        </row>
        <row r="431">
          <cell r="A431" t="str">
            <v>14002_2</v>
          </cell>
        </row>
        <row r="432">
          <cell r="A432" t="str">
            <v>14003_1</v>
          </cell>
        </row>
        <row r="433">
          <cell r="A433" t="str">
            <v>14003_2</v>
          </cell>
        </row>
        <row r="434">
          <cell r="A434" t="str">
            <v>14003_3</v>
          </cell>
        </row>
        <row r="435">
          <cell r="A435" t="str">
            <v>14003_4</v>
          </cell>
        </row>
        <row r="436">
          <cell r="A436" t="str">
            <v>14004_1</v>
          </cell>
        </row>
        <row r="437">
          <cell r="A437" t="str">
            <v>14004_2</v>
          </cell>
        </row>
        <row r="438">
          <cell r="A438" t="str">
            <v>14004_3</v>
          </cell>
        </row>
        <row r="439">
          <cell r="A439" t="str">
            <v>14004_4</v>
          </cell>
        </row>
        <row r="440">
          <cell r="A440" t="str">
            <v>14005_1</v>
          </cell>
        </row>
        <row r="441">
          <cell r="A441" t="str">
            <v>14006_1</v>
          </cell>
        </row>
        <row r="442">
          <cell r="A442" t="str">
            <v>15027_1</v>
          </cell>
        </row>
        <row r="443">
          <cell r="A443" t="str">
            <v>15027_2</v>
          </cell>
        </row>
        <row r="444">
          <cell r="A444" t="str">
            <v>15027_3</v>
          </cell>
        </row>
        <row r="445">
          <cell r="A445" t="str">
            <v>15027_4</v>
          </cell>
        </row>
        <row r="446">
          <cell r="A446" t="str">
            <v>15028_1</v>
          </cell>
        </row>
        <row r="447">
          <cell r="A447" t="str">
            <v>15028_2</v>
          </cell>
        </row>
        <row r="448">
          <cell r="A448" t="str">
            <v>15028_3</v>
          </cell>
        </row>
        <row r="449">
          <cell r="A449" t="str">
            <v>15028_4</v>
          </cell>
        </row>
        <row r="450">
          <cell r="A450" t="str">
            <v>15029_1</v>
          </cell>
        </row>
        <row r="451">
          <cell r="A451" t="str">
            <v>15029_2</v>
          </cell>
        </row>
        <row r="452">
          <cell r="A452" t="str">
            <v>15029_3</v>
          </cell>
        </row>
        <row r="453">
          <cell r="A453" t="str">
            <v>15029_4</v>
          </cell>
        </row>
        <row r="454">
          <cell r="A454" t="str">
            <v>15030_1</v>
          </cell>
        </row>
        <row r="455">
          <cell r="A455" t="str">
            <v>15030_2</v>
          </cell>
        </row>
        <row r="456">
          <cell r="A456" t="str">
            <v>15030_3</v>
          </cell>
        </row>
        <row r="457">
          <cell r="A457" t="str">
            <v>15030_4</v>
          </cell>
        </row>
        <row r="458">
          <cell r="A458" t="str">
            <v>15031_1</v>
          </cell>
        </row>
        <row r="459">
          <cell r="A459" t="str">
            <v>15031_2</v>
          </cell>
        </row>
        <row r="460">
          <cell r="A460" t="str">
            <v>15031_3</v>
          </cell>
        </row>
        <row r="461">
          <cell r="A461" t="str">
            <v>15031_4</v>
          </cell>
        </row>
        <row r="462">
          <cell r="A462" t="str">
            <v>20001_1</v>
          </cell>
        </row>
        <row r="463">
          <cell r="A463" t="str">
            <v>20001_2</v>
          </cell>
        </row>
        <row r="464">
          <cell r="A464" t="str">
            <v>20001_3</v>
          </cell>
        </row>
        <row r="465">
          <cell r="A465" t="str">
            <v>20002_1</v>
          </cell>
        </row>
        <row r="466">
          <cell r="A466" t="str">
            <v>20002_2</v>
          </cell>
        </row>
        <row r="467">
          <cell r="A467" t="str">
            <v>20002_3</v>
          </cell>
        </row>
        <row r="468">
          <cell r="A468" t="str">
            <v>20003_1</v>
          </cell>
        </row>
        <row r="469">
          <cell r="A469" t="str">
            <v>20003_2</v>
          </cell>
        </row>
        <row r="470">
          <cell r="A470" t="str">
            <v>20003_3</v>
          </cell>
        </row>
        <row r="471">
          <cell r="A471" t="str">
            <v>20004_1</v>
          </cell>
        </row>
        <row r="472">
          <cell r="A472" t="str">
            <v>20004_2</v>
          </cell>
        </row>
        <row r="473">
          <cell r="A473" t="str">
            <v>20004_3</v>
          </cell>
        </row>
        <row r="474">
          <cell r="A474" t="str">
            <v>20005_1</v>
          </cell>
        </row>
        <row r="475">
          <cell r="A475" t="str">
            <v>20005_2</v>
          </cell>
        </row>
        <row r="476">
          <cell r="A476" t="str">
            <v>20005_3</v>
          </cell>
        </row>
        <row r="477">
          <cell r="A477" t="str">
            <v>20006_1</v>
          </cell>
        </row>
        <row r="478">
          <cell r="A478" t="str">
            <v>20006_2</v>
          </cell>
        </row>
        <row r="479">
          <cell r="A479" t="str">
            <v>20006_3</v>
          </cell>
        </row>
        <row r="480">
          <cell r="A480" t="str">
            <v>20007_1</v>
          </cell>
        </row>
        <row r="481">
          <cell r="A481" t="str">
            <v>20007_2</v>
          </cell>
        </row>
        <row r="482">
          <cell r="A482" t="str">
            <v>20007_3</v>
          </cell>
        </row>
        <row r="483">
          <cell r="A483" t="str">
            <v>20008_1</v>
          </cell>
        </row>
        <row r="484">
          <cell r="A484" t="str">
            <v>20008_2</v>
          </cell>
        </row>
        <row r="485">
          <cell r="A485" t="str">
            <v>20008_3</v>
          </cell>
        </row>
        <row r="486">
          <cell r="A486" t="str">
            <v>20009_1</v>
          </cell>
        </row>
        <row r="487">
          <cell r="A487" t="str">
            <v>20009_2</v>
          </cell>
        </row>
        <row r="488">
          <cell r="A488" t="str">
            <v>20009_3</v>
          </cell>
        </row>
        <row r="489">
          <cell r="A489" t="str">
            <v>20010_1</v>
          </cell>
        </row>
        <row r="490">
          <cell r="A490" t="str">
            <v>20010_2</v>
          </cell>
        </row>
        <row r="491">
          <cell r="A491" t="str">
            <v>20010_3</v>
          </cell>
        </row>
        <row r="492">
          <cell r="A492" t="str">
            <v>20011_1</v>
          </cell>
        </row>
        <row r="493">
          <cell r="A493" t="str">
            <v>20011_2</v>
          </cell>
        </row>
        <row r="494">
          <cell r="A494" t="str">
            <v>20011_3</v>
          </cell>
        </row>
        <row r="495">
          <cell r="A495" t="str">
            <v>20012_1</v>
          </cell>
        </row>
        <row r="496">
          <cell r="A496" t="str">
            <v>20012_2</v>
          </cell>
        </row>
        <row r="497">
          <cell r="A497" t="str">
            <v>20012_3</v>
          </cell>
        </row>
        <row r="498">
          <cell r="A498" t="str">
            <v>20013_1</v>
          </cell>
        </row>
        <row r="499">
          <cell r="A499" t="str">
            <v>20013_2</v>
          </cell>
        </row>
        <row r="500">
          <cell r="A500" t="str">
            <v>20013_3</v>
          </cell>
        </row>
        <row r="501">
          <cell r="A501" t="str">
            <v>20014_1</v>
          </cell>
        </row>
        <row r="502">
          <cell r="A502" t="str">
            <v>20014_2</v>
          </cell>
        </row>
        <row r="503">
          <cell r="A503" t="str">
            <v>20014_3</v>
          </cell>
        </row>
        <row r="504">
          <cell r="A504" t="str">
            <v>20015_1</v>
          </cell>
        </row>
        <row r="505">
          <cell r="A505" t="str">
            <v>20015_2</v>
          </cell>
        </row>
        <row r="506">
          <cell r="A506" t="str">
            <v>20015_3</v>
          </cell>
        </row>
        <row r="507">
          <cell r="A507" t="str">
            <v>20016_1</v>
          </cell>
        </row>
        <row r="508">
          <cell r="A508" t="str">
            <v>20016_2</v>
          </cell>
        </row>
        <row r="509">
          <cell r="A509" t="str">
            <v>20016_3</v>
          </cell>
        </row>
        <row r="510">
          <cell r="A510" t="str">
            <v>20017_1</v>
          </cell>
        </row>
        <row r="511">
          <cell r="A511" t="str">
            <v>20017_2</v>
          </cell>
        </row>
        <row r="512">
          <cell r="A512" t="str">
            <v>20017_3</v>
          </cell>
        </row>
        <row r="513">
          <cell r="A513" t="str">
            <v>20018_1</v>
          </cell>
        </row>
        <row r="514">
          <cell r="A514" t="str">
            <v>20018_2</v>
          </cell>
        </row>
        <row r="515">
          <cell r="A515" t="str">
            <v>20018_3</v>
          </cell>
        </row>
        <row r="516">
          <cell r="A516" t="str">
            <v>20019_1</v>
          </cell>
        </row>
        <row r="517">
          <cell r="A517" t="str">
            <v>20019_2</v>
          </cell>
        </row>
        <row r="518">
          <cell r="A518" t="str">
            <v>20019_3</v>
          </cell>
        </row>
        <row r="519">
          <cell r="A519" t="str">
            <v>20020_1</v>
          </cell>
        </row>
        <row r="520">
          <cell r="A520" t="str">
            <v>20020_2</v>
          </cell>
        </row>
        <row r="521">
          <cell r="A521" t="str">
            <v>20020_3</v>
          </cell>
        </row>
        <row r="522">
          <cell r="A522" t="str">
            <v>20021_1</v>
          </cell>
        </row>
        <row r="523">
          <cell r="A523" t="str">
            <v>20021_2</v>
          </cell>
        </row>
        <row r="524">
          <cell r="A524" t="str">
            <v>20021_3</v>
          </cell>
        </row>
        <row r="525">
          <cell r="A525" t="str">
            <v>20022_1</v>
          </cell>
        </row>
        <row r="526">
          <cell r="A526" t="str">
            <v>30001_1</v>
          </cell>
        </row>
        <row r="527">
          <cell r="A527" t="str">
            <v>30001_2</v>
          </cell>
        </row>
        <row r="528">
          <cell r="A528" t="str">
            <v>30001_3</v>
          </cell>
        </row>
        <row r="529">
          <cell r="A529" t="str">
            <v>30002_1</v>
          </cell>
        </row>
        <row r="530">
          <cell r="A530" t="str">
            <v>30002_2</v>
          </cell>
        </row>
        <row r="531">
          <cell r="A531" t="str">
            <v>30002_3</v>
          </cell>
        </row>
        <row r="532">
          <cell r="A532" t="str">
            <v>30003_1</v>
          </cell>
        </row>
        <row r="533">
          <cell r="A533" t="str">
            <v>30003_2</v>
          </cell>
        </row>
        <row r="534">
          <cell r="A534" t="str">
            <v>30003_3</v>
          </cell>
        </row>
        <row r="535">
          <cell r="A535" t="str">
            <v>30004_1</v>
          </cell>
        </row>
        <row r="536">
          <cell r="A536" t="str">
            <v>30004_2</v>
          </cell>
        </row>
        <row r="537">
          <cell r="A537" t="str">
            <v>30004_3</v>
          </cell>
        </row>
        <row r="538">
          <cell r="A538" t="str">
            <v>30005_1</v>
          </cell>
        </row>
        <row r="539">
          <cell r="A539" t="str">
            <v>30005_2</v>
          </cell>
        </row>
        <row r="540">
          <cell r="A540" t="str">
            <v>30005_3</v>
          </cell>
        </row>
        <row r="541">
          <cell r="A541" t="str">
            <v>30006_1</v>
          </cell>
        </row>
        <row r="542">
          <cell r="A542" t="str">
            <v>30006_2</v>
          </cell>
        </row>
        <row r="543">
          <cell r="A543" t="str">
            <v>30006_3</v>
          </cell>
        </row>
        <row r="544">
          <cell r="A544" t="str">
            <v>30007_1</v>
          </cell>
        </row>
        <row r="545">
          <cell r="A545" t="str">
            <v>30007_2</v>
          </cell>
        </row>
        <row r="546">
          <cell r="A546" t="str">
            <v>30007_3</v>
          </cell>
        </row>
        <row r="547">
          <cell r="A547" t="str">
            <v>30008_1</v>
          </cell>
        </row>
        <row r="548">
          <cell r="A548" t="str">
            <v>30008_2</v>
          </cell>
        </row>
        <row r="549">
          <cell r="A549" t="str">
            <v>30008_3</v>
          </cell>
        </row>
        <row r="550">
          <cell r="A550" t="str">
            <v>30009_3</v>
          </cell>
        </row>
        <row r="551">
          <cell r="A551" t="str">
            <v>30009_1</v>
          </cell>
        </row>
        <row r="552">
          <cell r="A552" t="str">
            <v>30009_2</v>
          </cell>
        </row>
        <row r="553">
          <cell r="A553" t="str">
            <v>30010_1</v>
          </cell>
        </row>
        <row r="554">
          <cell r="A554" t="str">
            <v>30010_2</v>
          </cell>
        </row>
        <row r="555">
          <cell r="A555" t="str">
            <v>30010_3</v>
          </cell>
        </row>
        <row r="556">
          <cell r="A556" t="str">
            <v>30011_1</v>
          </cell>
        </row>
        <row r="557">
          <cell r="A557" t="str">
            <v>30011_2</v>
          </cell>
        </row>
        <row r="558">
          <cell r="A558" t="str">
            <v>30011_3</v>
          </cell>
        </row>
        <row r="559">
          <cell r="A559" t="str">
            <v>30012_1</v>
          </cell>
        </row>
        <row r="560">
          <cell r="A560" t="str">
            <v>30012_2</v>
          </cell>
        </row>
        <row r="561">
          <cell r="A561" t="str">
            <v>30012_3</v>
          </cell>
        </row>
        <row r="562">
          <cell r="A562" t="str">
            <v>30013_1</v>
          </cell>
        </row>
        <row r="563">
          <cell r="A563" t="str">
            <v>30013_2</v>
          </cell>
        </row>
        <row r="564">
          <cell r="A564" t="str">
            <v>30014_1</v>
          </cell>
        </row>
        <row r="565">
          <cell r="A565" t="str">
            <v>30014_2</v>
          </cell>
        </row>
        <row r="566">
          <cell r="A566" t="str">
            <v>30015_1</v>
          </cell>
        </row>
        <row r="567">
          <cell r="A567" t="str">
            <v>30015_2</v>
          </cell>
        </row>
        <row r="568">
          <cell r="A568" t="str">
            <v>30016_1</v>
          </cell>
        </row>
        <row r="569">
          <cell r="A569" t="str">
            <v>30016_2</v>
          </cell>
        </row>
        <row r="570">
          <cell r="A570" t="str">
            <v>30017_1</v>
          </cell>
        </row>
        <row r="571">
          <cell r="A571" t="str">
            <v>30017_2</v>
          </cell>
        </row>
        <row r="572">
          <cell r="A572" t="str">
            <v>30018_1</v>
          </cell>
        </row>
        <row r="573">
          <cell r="A573" t="str">
            <v>30018_2</v>
          </cell>
        </row>
        <row r="574">
          <cell r="A574" t="str">
            <v>30019_1</v>
          </cell>
        </row>
        <row r="575">
          <cell r="A575" t="str">
            <v>30019_2</v>
          </cell>
        </row>
        <row r="576">
          <cell r="A576" t="str">
            <v>30020_1</v>
          </cell>
        </row>
        <row r="577">
          <cell r="A577" t="str">
            <v>30020_2</v>
          </cell>
        </row>
        <row r="578">
          <cell r="A578" t="str">
            <v>30021_1</v>
          </cell>
        </row>
        <row r="579">
          <cell r="A579" t="str">
            <v>30021_2</v>
          </cell>
        </row>
        <row r="580">
          <cell r="A580" t="str">
            <v>30021_3</v>
          </cell>
        </row>
        <row r="581">
          <cell r="A581" t="str">
            <v>30022_1</v>
          </cell>
        </row>
        <row r="582">
          <cell r="A582" t="str">
            <v>30022_2</v>
          </cell>
        </row>
        <row r="583">
          <cell r="A583" t="str">
            <v>30023_1</v>
          </cell>
        </row>
        <row r="584">
          <cell r="A584" t="str">
            <v>30023_2</v>
          </cell>
        </row>
        <row r="585">
          <cell r="A585" t="str">
            <v>30023_3</v>
          </cell>
        </row>
        <row r="586">
          <cell r="A586" t="str">
            <v>30024_1</v>
          </cell>
        </row>
        <row r="587">
          <cell r="A587" t="str">
            <v>30024_2</v>
          </cell>
        </row>
        <row r="588">
          <cell r="A588" t="str">
            <v>30024_3</v>
          </cell>
        </row>
        <row r="589">
          <cell r="A589" t="str">
            <v>30025_1</v>
          </cell>
        </row>
        <row r="590">
          <cell r="A590" t="str">
            <v>30025_2</v>
          </cell>
        </row>
        <row r="591">
          <cell r="A591" t="str">
            <v>30025_3</v>
          </cell>
        </row>
        <row r="592">
          <cell r="A592" t="str">
            <v>30026_1</v>
          </cell>
        </row>
        <row r="593">
          <cell r="A593" t="str">
            <v>30026_2</v>
          </cell>
        </row>
        <row r="594">
          <cell r="A594" t="str">
            <v>30026_3</v>
          </cell>
        </row>
        <row r="595">
          <cell r="A595" t="str">
            <v>30027_1</v>
          </cell>
        </row>
        <row r="596">
          <cell r="A596" t="str">
            <v>30027_2</v>
          </cell>
        </row>
        <row r="597">
          <cell r="A597" t="str">
            <v>30027_3</v>
          </cell>
        </row>
        <row r="598">
          <cell r="A598" t="str">
            <v>30028_1</v>
          </cell>
        </row>
        <row r="599">
          <cell r="A599" t="str">
            <v>30028_2</v>
          </cell>
        </row>
        <row r="600">
          <cell r="A600" t="str">
            <v>30028_3</v>
          </cell>
        </row>
        <row r="601">
          <cell r="A601" t="str">
            <v>30029_1</v>
          </cell>
        </row>
        <row r="602">
          <cell r="A602" t="str">
            <v>30029_2</v>
          </cell>
        </row>
        <row r="603">
          <cell r="A603" t="str">
            <v>30029_3</v>
          </cell>
        </row>
        <row r="604">
          <cell r="A604" t="str">
            <v>30030_1</v>
          </cell>
        </row>
        <row r="605">
          <cell r="A605" t="str">
            <v>30030_2</v>
          </cell>
        </row>
        <row r="606">
          <cell r="A606" t="str">
            <v>30030_3</v>
          </cell>
        </row>
        <row r="607">
          <cell r="A607" t="str">
            <v>30031_1</v>
          </cell>
        </row>
        <row r="608">
          <cell r="A608" t="str">
            <v>30031_2</v>
          </cell>
        </row>
        <row r="609">
          <cell r="A609" t="str">
            <v>30031_3</v>
          </cell>
        </row>
        <row r="610">
          <cell r="A610" t="str">
            <v>30032_1</v>
          </cell>
        </row>
        <row r="611">
          <cell r="A611" t="str">
            <v>30032_2</v>
          </cell>
        </row>
        <row r="612">
          <cell r="A612" t="str">
            <v>30032_3</v>
          </cell>
        </row>
        <row r="613">
          <cell r="A613" t="str">
            <v>30033_1</v>
          </cell>
        </row>
        <row r="614">
          <cell r="A614" t="str">
            <v>30033_2</v>
          </cell>
        </row>
        <row r="615">
          <cell r="A615" t="str">
            <v>30033_3</v>
          </cell>
        </row>
        <row r="616">
          <cell r="A616" t="str">
            <v>30034_1</v>
          </cell>
        </row>
        <row r="617">
          <cell r="A617" t="str">
            <v>30034_2</v>
          </cell>
        </row>
        <row r="618">
          <cell r="A618" t="str">
            <v>30034_3</v>
          </cell>
        </row>
        <row r="619">
          <cell r="A619" t="str">
            <v>30035_1</v>
          </cell>
        </row>
        <row r="620">
          <cell r="A620" t="str">
            <v>30035_2</v>
          </cell>
        </row>
        <row r="621">
          <cell r="A621" t="str">
            <v>30035_3</v>
          </cell>
        </row>
        <row r="622">
          <cell r="A622" t="str">
            <v>30036_1</v>
          </cell>
        </row>
        <row r="623">
          <cell r="A623" t="str">
            <v>30036_2</v>
          </cell>
        </row>
        <row r="624">
          <cell r="A624" t="str">
            <v>30036_3</v>
          </cell>
        </row>
        <row r="625">
          <cell r="A625" t="str">
            <v>30037_1</v>
          </cell>
        </row>
        <row r="626">
          <cell r="A626" t="str">
            <v>30037_2</v>
          </cell>
        </row>
        <row r="627">
          <cell r="A627" t="str">
            <v>30037_3</v>
          </cell>
        </row>
        <row r="628">
          <cell r="A628" t="str">
            <v>30038_1</v>
          </cell>
        </row>
        <row r="629">
          <cell r="A629" t="str">
            <v>30038_2</v>
          </cell>
        </row>
        <row r="630">
          <cell r="A630" t="str">
            <v>30038_3</v>
          </cell>
        </row>
        <row r="631">
          <cell r="A631" t="str">
            <v>30039_1</v>
          </cell>
        </row>
        <row r="632">
          <cell r="A632" t="str">
            <v>30039_2</v>
          </cell>
        </row>
        <row r="633">
          <cell r="A633" t="str">
            <v>30039_3</v>
          </cell>
        </row>
        <row r="634">
          <cell r="A634" t="str">
            <v>30040_1</v>
          </cell>
        </row>
        <row r="635">
          <cell r="A635" t="str">
            <v>30040_2</v>
          </cell>
        </row>
        <row r="636">
          <cell r="A636" t="str">
            <v>30040_3</v>
          </cell>
        </row>
        <row r="637">
          <cell r="A637" t="str">
            <v>30041_1</v>
          </cell>
        </row>
        <row r="638">
          <cell r="A638" t="str">
            <v>30041_2</v>
          </cell>
        </row>
        <row r="639">
          <cell r="A639" t="str">
            <v>30041_3</v>
          </cell>
        </row>
        <row r="640">
          <cell r="A640" t="str">
            <v>30042_1</v>
          </cell>
        </row>
        <row r="641">
          <cell r="A641" t="str">
            <v>30042_2</v>
          </cell>
        </row>
        <row r="642">
          <cell r="A642" t="str">
            <v>30042_3</v>
          </cell>
        </row>
        <row r="643">
          <cell r="A643" t="str">
            <v>30043_1</v>
          </cell>
        </row>
        <row r="644">
          <cell r="A644" t="str">
            <v>30043_2</v>
          </cell>
        </row>
        <row r="645">
          <cell r="A645" t="str">
            <v>30043_3</v>
          </cell>
        </row>
        <row r="646">
          <cell r="A646" t="str">
            <v>30044_1</v>
          </cell>
        </row>
        <row r="647">
          <cell r="A647" t="str">
            <v>30044_2</v>
          </cell>
        </row>
        <row r="648">
          <cell r="A648" t="str">
            <v>30044_3</v>
          </cell>
        </row>
        <row r="649">
          <cell r="A649" t="str">
            <v>30045_1</v>
          </cell>
        </row>
        <row r="650">
          <cell r="A650" t="str">
            <v>30045_2</v>
          </cell>
        </row>
        <row r="651">
          <cell r="A651" t="str">
            <v>30045_3</v>
          </cell>
        </row>
        <row r="652">
          <cell r="A652" t="str">
            <v>30046_1</v>
          </cell>
        </row>
        <row r="653">
          <cell r="A653" t="str">
            <v>30046_2</v>
          </cell>
        </row>
        <row r="654">
          <cell r="A654" t="str">
            <v>30046_3</v>
          </cell>
        </row>
        <row r="655">
          <cell r="A655" t="str">
            <v>30047_1</v>
          </cell>
        </row>
        <row r="656">
          <cell r="A656" t="str">
            <v>30047_2</v>
          </cell>
        </row>
        <row r="657">
          <cell r="A657" t="str">
            <v>30047_3</v>
          </cell>
        </row>
        <row r="658">
          <cell r="A658" t="str">
            <v>30048_1</v>
          </cell>
        </row>
        <row r="659">
          <cell r="A659" t="str">
            <v>30048_2</v>
          </cell>
        </row>
        <row r="660">
          <cell r="A660" t="str">
            <v>30048_3</v>
          </cell>
        </row>
        <row r="661">
          <cell r="A661" t="str">
            <v>30049_1</v>
          </cell>
        </row>
        <row r="662">
          <cell r="A662" t="str">
            <v>30049_2</v>
          </cell>
        </row>
        <row r="663">
          <cell r="A663" t="str">
            <v>30049_3</v>
          </cell>
        </row>
        <row r="664">
          <cell r="A664" t="str">
            <v>39001_1</v>
          </cell>
        </row>
        <row r="665">
          <cell r="A665" t="str">
            <v>39001_2</v>
          </cell>
        </row>
        <row r="666">
          <cell r="A666" t="str">
            <v>39001_3</v>
          </cell>
        </row>
        <row r="667">
          <cell r="A667" t="str">
            <v>39001_4</v>
          </cell>
        </row>
        <row r="668">
          <cell r="A668" t="str">
            <v>39001_5</v>
          </cell>
        </row>
        <row r="669">
          <cell r="A669" t="str">
            <v>39002_1</v>
          </cell>
        </row>
        <row r="670">
          <cell r="A670" t="str">
            <v>39002_2</v>
          </cell>
        </row>
        <row r="671">
          <cell r="A671" t="str">
            <v>39002_3</v>
          </cell>
        </row>
        <row r="672">
          <cell r="A672" t="str">
            <v>39002_4</v>
          </cell>
        </row>
        <row r="673">
          <cell r="A673" t="str">
            <v>39003_1</v>
          </cell>
        </row>
        <row r="674">
          <cell r="A674" t="str">
            <v>39003_2</v>
          </cell>
        </row>
        <row r="675">
          <cell r="A675" t="str">
            <v>39003_3</v>
          </cell>
        </row>
        <row r="676">
          <cell r="A676" t="str">
            <v>39003_4</v>
          </cell>
        </row>
        <row r="677">
          <cell r="A677" t="str">
            <v>39004_1</v>
          </cell>
        </row>
        <row r="678">
          <cell r="A678" t="str">
            <v>39004_2</v>
          </cell>
        </row>
        <row r="679">
          <cell r="A679" t="str">
            <v>39004_3</v>
          </cell>
        </row>
        <row r="680">
          <cell r="A680" t="str">
            <v>39004_4</v>
          </cell>
        </row>
        <row r="681">
          <cell r="A681" t="str">
            <v>39005_1</v>
          </cell>
        </row>
        <row r="682">
          <cell r="A682" t="str">
            <v>39005_2</v>
          </cell>
        </row>
        <row r="683">
          <cell r="A683" t="str">
            <v>39005_3</v>
          </cell>
        </row>
        <row r="684">
          <cell r="A684" t="str">
            <v>39005_4</v>
          </cell>
        </row>
        <row r="685">
          <cell r="A685" t="str">
            <v>39005_5</v>
          </cell>
        </row>
        <row r="686">
          <cell r="A686" t="str">
            <v>39006_1</v>
          </cell>
        </row>
        <row r="687">
          <cell r="A687" t="str">
            <v>39006_2</v>
          </cell>
        </row>
        <row r="688">
          <cell r="A688" t="str">
            <v>39006_3</v>
          </cell>
        </row>
        <row r="689">
          <cell r="A689" t="str">
            <v>39006_4</v>
          </cell>
        </row>
        <row r="690">
          <cell r="A690" t="str">
            <v>39007_1</v>
          </cell>
        </row>
        <row r="691">
          <cell r="A691" t="str">
            <v>39007_2</v>
          </cell>
        </row>
        <row r="692">
          <cell r="A692" t="str">
            <v>39007_3</v>
          </cell>
        </row>
        <row r="693">
          <cell r="A693" t="str">
            <v>39007_4</v>
          </cell>
        </row>
        <row r="694">
          <cell r="A694" t="str">
            <v>39008_1</v>
          </cell>
        </row>
        <row r="695">
          <cell r="A695" t="str">
            <v>39008_2</v>
          </cell>
        </row>
        <row r="696">
          <cell r="A696" t="str">
            <v>39008_3</v>
          </cell>
        </row>
        <row r="697">
          <cell r="A697" t="str">
            <v>39008_4</v>
          </cell>
        </row>
        <row r="698">
          <cell r="A698" t="str">
            <v>39008_5</v>
          </cell>
        </row>
        <row r="699">
          <cell r="A699" t="str">
            <v>39009_1</v>
          </cell>
        </row>
        <row r="700">
          <cell r="A700" t="str">
            <v>39009_2</v>
          </cell>
        </row>
        <row r="701">
          <cell r="A701" t="str">
            <v>39009_3</v>
          </cell>
        </row>
        <row r="702">
          <cell r="A702" t="str">
            <v>39009_4</v>
          </cell>
        </row>
        <row r="703">
          <cell r="A703" t="str">
            <v>39009_5</v>
          </cell>
        </row>
        <row r="704">
          <cell r="A704" t="str">
            <v>39010_1</v>
          </cell>
        </row>
        <row r="705">
          <cell r="A705" t="str">
            <v>39010_2</v>
          </cell>
        </row>
        <row r="706">
          <cell r="A706" t="str">
            <v>39010_3</v>
          </cell>
        </row>
        <row r="707">
          <cell r="A707" t="str">
            <v>39010_4</v>
          </cell>
        </row>
        <row r="708">
          <cell r="A708" t="str">
            <v>39011_1</v>
          </cell>
        </row>
        <row r="709">
          <cell r="A709" t="str">
            <v>39011_2</v>
          </cell>
        </row>
        <row r="710">
          <cell r="A710" t="str">
            <v>39011_3</v>
          </cell>
        </row>
        <row r="711">
          <cell r="A711" t="str">
            <v>39011_4</v>
          </cell>
        </row>
        <row r="712">
          <cell r="A712" t="str">
            <v>39012_1</v>
          </cell>
        </row>
        <row r="713">
          <cell r="A713" t="str">
            <v>39012_2</v>
          </cell>
        </row>
        <row r="714">
          <cell r="A714" t="str">
            <v>39012_3</v>
          </cell>
        </row>
        <row r="715">
          <cell r="A715" t="str">
            <v>39012_4</v>
          </cell>
        </row>
        <row r="716">
          <cell r="A716" t="str">
            <v>39012_5</v>
          </cell>
        </row>
        <row r="717">
          <cell r="A717" t="str">
            <v>40001_1</v>
          </cell>
        </row>
        <row r="718">
          <cell r="A718" t="str">
            <v>40002_1</v>
          </cell>
        </row>
        <row r="719">
          <cell r="A719" t="str">
            <v>40002_2</v>
          </cell>
        </row>
        <row r="720">
          <cell r="A720" t="str">
            <v>40002_3</v>
          </cell>
        </row>
        <row r="721">
          <cell r="A721" t="str">
            <v>40003_1</v>
          </cell>
        </row>
        <row r="722">
          <cell r="A722" t="str">
            <v>40004_1</v>
          </cell>
        </row>
        <row r="723">
          <cell r="A723" t="str">
            <v>40005_1</v>
          </cell>
        </row>
        <row r="724">
          <cell r="A724" t="str">
            <v>40006_1</v>
          </cell>
        </row>
        <row r="725">
          <cell r="A725" t="str">
            <v>40007_1</v>
          </cell>
        </row>
        <row r="726">
          <cell r="A726" t="str">
            <v>40008_1</v>
          </cell>
        </row>
        <row r="727">
          <cell r="A727" t="str">
            <v>40009_1</v>
          </cell>
        </row>
        <row r="728">
          <cell r="A728" t="str">
            <v>40010_1</v>
          </cell>
        </row>
        <row r="729">
          <cell r="A729" t="str">
            <v>40011_1</v>
          </cell>
        </row>
        <row r="730">
          <cell r="A730" t="str">
            <v>40012_1</v>
          </cell>
        </row>
        <row r="731">
          <cell r="A731" t="str">
            <v>40013_1</v>
          </cell>
        </row>
        <row r="732">
          <cell r="A732" t="str">
            <v>40014_1</v>
          </cell>
        </row>
        <row r="733">
          <cell r="A733" t="str">
            <v>40015_1</v>
          </cell>
        </row>
        <row r="734">
          <cell r="A734" t="str">
            <v>40016_1</v>
          </cell>
        </row>
        <row r="735">
          <cell r="A735" t="str">
            <v>40016_2</v>
          </cell>
        </row>
        <row r="736">
          <cell r="A736" t="str">
            <v>40017_1</v>
          </cell>
        </row>
        <row r="737">
          <cell r="A737" t="str">
            <v>40017_2</v>
          </cell>
        </row>
        <row r="738">
          <cell r="A738" t="str">
            <v>40017_3</v>
          </cell>
        </row>
        <row r="739">
          <cell r="A739" t="str">
            <v>40018_1</v>
          </cell>
        </row>
        <row r="740">
          <cell r="A740" t="str">
            <v>40018_2</v>
          </cell>
        </row>
        <row r="741">
          <cell r="A741" t="str">
            <v>40018_3</v>
          </cell>
        </row>
        <row r="742">
          <cell r="A742" t="str">
            <v>40019_1</v>
          </cell>
        </row>
        <row r="743">
          <cell r="A743" t="str">
            <v>40019_2</v>
          </cell>
        </row>
        <row r="744">
          <cell r="A744" t="str">
            <v>40019_3</v>
          </cell>
        </row>
        <row r="745">
          <cell r="A745" t="str">
            <v>40021_1</v>
          </cell>
        </row>
        <row r="746">
          <cell r="A746" t="str">
            <v>40021_2</v>
          </cell>
        </row>
        <row r="747">
          <cell r="A747" t="str">
            <v>40022_1</v>
          </cell>
        </row>
        <row r="748">
          <cell r="A748" t="str">
            <v>40022_2</v>
          </cell>
        </row>
        <row r="749">
          <cell r="A749" t="str">
            <v>40023_1</v>
          </cell>
        </row>
        <row r="750">
          <cell r="A750" t="str">
            <v>40023_2</v>
          </cell>
        </row>
        <row r="751">
          <cell r="A751" t="str">
            <v>40024_1</v>
          </cell>
        </row>
        <row r="752">
          <cell r="A752" t="str">
            <v>40024_2</v>
          </cell>
        </row>
        <row r="753">
          <cell r="A753" t="str">
            <v>40025_1</v>
          </cell>
        </row>
        <row r="754">
          <cell r="A754" t="str">
            <v>40025_2</v>
          </cell>
        </row>
        <row r="755">
          <cell r="A755" t="str">
            <v>40026_1</v>
          </cell>
        </row>
        <row r="756">
          <cell r="A756" t="str">
            <v>40026_2</v>
          </cell>
        </row>
        <row r="757">
          <cell r="A757" t="str">
            <v>40027_1</v>
          </cell>
        </row>
        <row r="758">
          <cell r="A758" t="str">
            <v>40027_2</v>
          </cell>
        </row>
        <row r="759">
          <cell r="A759" t="str">
            <v>40028_1</v>
          </cell>
        </row>
        <row r="760">
          <cell r="A760" t="str">
            <v>40028_2</v>
          </cell>
        </row>
        <row r="761">
          <cell r="A761" t="str">
            <v>40029_1</v>
          </cell>
        </row>
        <row r="762">
          <cell r="A762" t="str">
            <v>40029_2</v>
          </cell>
        </row>
        <row r="763">
          <cell r="A763" t="str">
            <v>40030_1</v>
          </cell>
        </row>
        <row r="764">
          <cell r="A764" t="str">
            <v>40030_2</v>
          </cell>
        </row>
        <row r="765">
          <cell r="A765" t="str">
            <v>40031_1</v>
          </cell>
        </row>
        <row r="766">
          <cell r="A766" t="str">
            <v>40031_2</v>
          </cell>
        </row>
        <row r="767">
          <cell r="A767" t="str">
            <v>40032_1</v>
          </cell>
        </row>
        <row r="768">
          <cell r="A768" t="str">
            <v>40032_2</v>
          </cell>
        </row>
        <row r="769">
          <cell r="A769" t="str">
            <v>40033_1</v>
          </cell>
        </row>
        <row r="770">
          <cell r="A770" t="str">
            <v>40033_2</v>
          </cell>
        </row>
        <row r="771">
          <cell r="A771" t="str">
            <v>40034_1</v>
          </cell>
        </row>
        <row r="772">
          <cell r="A772" t="str">
            <v>40034_2</v>
          </cell>
        </row>
        <row r="773">
          <cell r="A773" t="str">
            <v>40035_1</v>
          </cell>
        </row>
        <row r="774">
          <cell r="A774" t="str">
            <v>40035_2</v>
          </cell>
        </row>
        <row r="775">
          <cell r="A775" t="str">
            <v>40036_1</v>
          </cell>
        </row>
        <row r="776">
          <cell r="A776" t="str">
            <v>40036_2</v>
          </cell>
        </row>
        <row r="777">
          <cell r="A777" t="str">
            <v>40037_1</v>
          </cell>
        </row>
        <row r="778">
          <cell r="A778" t="str">
            <v>40037_2</v>
          </cell>
        </row>
        <row r="779">
          <cell r="A779" t="str">
            <v>40038_1</v>
          </cell>
        </row>
        <row r="780">
          <cell r="A780" t="str">
            <v>40038_2</v>
          </cell>
        </row>
        <row r="781">
          <cell r="A781" t="str">
            <v>40039_1</v>
          </cell>
        </row>
        <row r="782">
          <cell r="A782" t="str">
            <v>40039_2</v>
          </cell>
        </row>
        <row r="783">
          <cell r="A783" t="str">
            <v>40040_1</v>
          </cell>
        </row>
        <row r="784">
          <cell r="A784" t="str">
            <v>40040_2</v>
          </cell>
        </row>
        <row r="785">
          <cell r="A785" t="str">
            <v>40041_1</v>
          </cell>
        </row>
        <row r="786">
          <cell r="A786" t="str">
            <v>40041_2</v>
          </cell>
        </row>
        <row r="787">
          <cell r="A787" t="str">
            <v>40042_1</v>
          </cell>
        </row>
        <row r="788">
          <cell r="A788" t="str">
            <v>40042_2</v>
          </cell>
        </row>
        <row r="789">
          <cell r="A789" t="str">
            <v>40043_1</v>
          </cell>
        </row>
        <row r="790">
          <cell r="A790" t="str">
            <v>40043_2</v>
          </cell>
        </row>
        <row r="791">
          <cell r="A791" t="str">
            <v>40044_1</v>
          </cell>
        </row>
        <row r="792">
          <cell r="A792" t="str">
            <v>40044_2</v>
          </cell>
        </row>
        <row r="793">
          <cell r="A793" t="str">
            <v>41001_1</v>
          </cell>
        </row>
        <row r="794">
          <cell r="A794" t="str">
            <v>41001_2</v>
          </cell>
        </row>
        <row r="795">
          <cell r="A795" t="str">
            <v>41001_3</v>
          </cell>
        </row>
        <row r="796">
          <cell r="A796" t="str">
            <v>41002_1</v>
          </cell>
        </row>
        <row r="797">
          <cell r="A797" t="str">
            <v>41002_2</v>
          </cell>
        </row>
        <row r="798">
          <cell r="A798" t="str">
            <v>41002_3</v>
          </cell>
        </row>
        <row r="799">
          <cell r="A799" t="str">
            <v>41003_1</v>
          </cell>
        </row>
        <row r="800">
          <cell r="A800" t="str">
            <v>41003_2</v>
          </cell>
        </row>
        <row r="801">
          <cell r="A801" t="str">
            <v>41003_3</v>
          </cell>
        </row>
        <row r="802">
          <cell r="A802" t="str">
            <v>41004_1</v>
          </cell>
        </row>
        <row r="803">
          <cell r="A803" t="str">
            <v>41004_2</v>
          </cell>
        </row>
        <row r="804">
          <cell r="A804" t="str">
            <v>41004_3</v>
          </cell>
        </row>
        <row r="805">
          <cell r="A805" t="str">
            <v>41005_1</v>
          </cell>
        </row>
        <row r="806">
          <cell r="A806" t="str">
            <v>41005_2</v>
          </cell>
        </row>
        <row r="807">
          <cell r="A807" t="str">
            <v>41005_3</v>
          </cell>
        </row>
        <row r="808">
          <cell r="A808" t="str">
            <v>41006_1</v>
          </cell>
        </row>
        <row r="809">
          <cell r="A809" t="str">
            <v>41006_2</v>
          </cell>
        </row>
        <row r="810">
          <cell r="A810" t="str">
            <v>41006_3</v>
          </cell>
        </row>
        <row r="811">
          <cell r="A811" t="str">
            <v>41007_1</v>
          </cell>
        </row>
        <row r="812">
          <cell r="A812" t="str">
            <v>41007_2</v>
          </cell>
        </row>
        <row r="813">
          <cell r="A813" t="str">
            <v>41007_3</v>
          </cell>
        </row>
        <row r="814">
          <cell r="A814" t="str">
            <v>41008_1</v>
          </cell>
        </row>
        <row r="815">
          <cell r="A815" t="str">
            <v>41008_2</v>
          </cell>
        </row>
        <row r="816">
          <cell r="A816" t="str">
            <v>41008_3</v>
          </cell>
        </row>
        <row r="817">
          <cell r="A817" t="str">
            <v>41009_1</v>
          </cell>
        </row>
        <row r="818">
          <cell r="A818" t="str">
            <v>41009_2</v>
          </cell>
        </row>
        <row r="819">
          <cell r="A819" t="str">
            <v>41009_3</v>
          </cell>
        </row>
        <row r="820">
          <cell r="A820" t="str">
            <v>41010_1</v>
          </cell>
        </row>
        <row r="821">
          <cell r="A821" t="str">
            <v>41010_2</v>
          </cell>
        </row>
        <row r="822">
          <cell r="A822" t="str">
            <v>41010_3</v>
          </cell>
        </row>
        <row r="823">
          <cell r="A823" t="str">
            <v>41011_1</v>
          </cell>
        </row>
        <row r="824">
          <cell r="A824" t="str">
            <v>41011_2</v>
          </cell>
        </row>
        <row r="825">
          <cell r="A825" t="str">
            <v>41012_1</v>
          </cell>
        </row>
        <row r="826">
          <cell r="A826" t="str">
            <v>41012_2</v>
          </cell>
        </row>
        <row r="827">
          <cell r="A827" t="str">
            <v>41013_1</v>
          </cell>
        </row>
        <row r="828">
          <cell r="A828" t="str">
            <v>41013_2</v>
          </cell>
        </row>
        <row r="829">
          <cell r="A829" t="str">
            <v>41014_1</v>
          </cell>
        </row>
        <row r="830">
          <cell r="A830" t="str">
            <v>41014_2</v>
          </cell>
        </row>
        <row r="831">
          <cell r="A831" t="str">
            <v>41015_1</v>
          </cell>
        </row>
        <row r="832">
          <cell r="A832" t="str">
            <v>41015_2</v>
          </cell>
        </row>
        <row r="833">
          <cell r="A833" t="str">
            <v>47001_1</v>
          </cell>
        </row>
        <row r="834">
          <cell r="A834" t="str">
            <v>47001_2</v>
          </cell>
        </row>
        <row r="835">
          <cell r="A835" t="str">
            <v>47002_1</v>
          </cell>
        </row>
        <row r="836">
          <cell r="A836" t="str">
            <v>47002_2</v>
          </cell>
        </row>
        <row r="837">
          <cell r="A837" t="str">
            <v>47003_1</v>
          </cell>
        </row>
        <row r="838">
          <cell r="A838" t="str">
            <v>47003_2</v>
          </cell>
        </row>
        <row r="839">
          <cell r="A839" t="str">
            <v>47003_3</v>
          </cell>
        </row>
        <row r="840">
          <cell r="A840" t="str">
            <v>47003_4</v>
          </cell>
        </row>
        <row r="841">
          <cell r="A841" t="str">
            <v>47004_1</v>
          </cell>
        </row>
        <row r="842">
          <cell r="A842" t="str">
            <v>47004_2</v>
          </cell>
        </row>
        <row r="843">
          <cell r="A843" t="str">
            <v>47004_3</v>
          </cell>
        </row>
        <row r="844">
          <cell r="A844" t="str">
            <v>47004_4</v>
          </cell>
        </row>
        <row r="845">
          <cell r="A845" t="str">
            <v>47005_1</v>
          </cell>
        </row>
        <row r="846">
          <cell r="A846" t="str">
            <v>47006_1</v>
          </cell>
        </row>
        <row r="847">
          <cell r="A847" t="str">
            <v>47006_2</v>
          </cell>
        </row>
        <row r="848">
          <cell r="A848" t="str">
            <v>47007_1</v>
          </cell>
        </row>
        <row r="849">
          <cell r="A849" t="str">
            <v>47007_2</v>
          </cell>
        </row>
        <row r="850">
          <cell r="A850" t="str">
            <v>47008_1</v>
          </cell>
        </row>
        <row r="851">
          <cell r="A851" t="str">
            <v>47008_2</v>
          </cell>
        </row>
        <row r="852">
          <cell r="A852" t="str">
            <v>47009_1</v>
          </cell>
        </row>
        <row r="853">
          <cell r="A853" t="str">
            <v>47009_2</v>
          </cell>
        </row>
        <row r="854">
          <cell r="A854" t="str">
            <v>47010_1</v>
          </cell>
        </row>
        <row r="855">
          <cell r="A855" t="str">
            <v>47010_2</v>
          </cell>
        </row>
        <row r="856">
          <cell r="A856" t="str">
            <v>47011_1</v>
          </cell>
        </row>
        <row r="857">
          <cell r="A857" t="str">
            <v>47012_1</v>
          </cell>
        </row>
        <row r="858">
          <cell r="A858" t="str">
            <v>47012_2</v>
          </cell>
        </row>
        <row r="859">
          <cell r="A859" t="str">
            <v>48001_1</v>
          </cell>
        </row>
        <row r="860">
          <cell r="A860" t="str">
            <v>48002_1</v>
          </cell>
        </row>
        <row r="861">
          <cell r="A861" t="str">
            <v>48002_2</v>
          </cell>
        </row>
        <row r="862">
          <cell r="A862" t="str">
            <v>48002_3</v>
          </cell>
        </row>
        <row r="863">
          <cell r="A863" t="str">
            <v>48003_1</v>
          </cell>
        </row>
        <row r="864">
          <cell r="A864" t="str">
            <v>48003_2</v>
          </cell>
        </row>
        <row r="865">
          <cell r="A865" t="str">
            <v>48004_1</v>
          </cell>
        </row>
        <row r="866">
          <cell r="A866" t="str">
            <v>48004_2</v>
          </cell>
        </row>
        <row r="867">
          <cell r="A867" t="str">
            <v>48005_1</v>
          </cell>
        </row>
        <row r="868">
          <cell r="A868" t="str">
            <v>48005_2</v>
          </cell>
        </row>
        <row r="869">
          <cell r="A869" t="str">
            <v>48006_1</v>
          </cell>
        </row>
        <row r="870">
          <cell r="A870" t="str">
            <v>48006_2</v>
          </cell>
        </row>
        <row r="871">
          <cell r="A871" t="str">
            <v>48007_1</v>
          </cell>
        </row>
        <row r="872">
          <cell r="A872" t="str">
            <v>48007_2</v>
          </cell>
        </row>
        <row r="873">
          <cell r="A873" t="str">
            <v>48008_1</v>
          </cell>
        </row>
        <row r="874">
          <cell r="A874" t="str">
            <v>48008_2</v>
          </cell>
        </row>
        <row r="875">
          <cell r="A875" t="str">
            <v>48009_1</v>
          </cell>
        </row>
        <row r="876">
          <cell r="A876" t="str">
            <v>48009_2</v>
          </cell>
        </row>
        <row r="877">
          <cell r="A877" t="str">
            <v>48010_1</v>
          </cell>
        </row>
        <row r="878">
          <cell r="A878" t="str">
            <v>48011_1</v>
          </cell>
        </row>
        <row r="879">
          <cell r="A879" t="str">
            <v>48011_2</v>
          </cell>
        </row>
        <row r="880">
          <cell r="A880" t="str">
            <v>48012_1</v>
          </cell>
        </row>
        <row r="881">
          <cell r="A881" t="str">
            <v>48012_2</v>
          </cell>
        </row>
        <row r="882">
          <cell r="A882" t="str">
            <v>48501_1</v>
          </cell>
        </row>
        <row r="883">
          <cell r="A883" t="str">
            <v>48501_2</v>
          </cell>
        </row>
        <row r="884">
          <cell r="A884" t="str">
            <v>48502_1</v>
          </cell>
        </row>
        <row r="885">
          <cell r="A885" t="str">
            <v>48502_2</v>
          </cell>
        </row>
        <row r="886">
          <cell r="A886" t="str">
            <v>48701_1</v>
          </cell>
        </row>
        <row r="887">
          <cell r="A887" t="str">
            <v>48701_2</v>
          </cell>
        </row>
        <row r="888">
          <cell r="A888" t="str">
            <v>49001_1</v>
          </cell>
        </row>
        <row r="889">
          <cell r="A889" t="str">
            <v>49002_1</v>
          </cell>
        </row>
        <row r="890">
          <cell r="A890" t="str">
            <v>49002_2</v>
          </cell>
        </row>
        <row r="891">
          <cell r="A891" t="str">
            <v>49003_1</v>
          </cell>
        </row>
        <row r="892">
          <cell r="A892" t="str">
            <v>49003_2</v>
          </cell>
        </row>
        <row r="893">
          <cell r="A893" t="str">
            <v>49004_1</v>
          </cell>
        </row>
        <row r="894">
          <cell r="A894" t="str">
            <v>49004_2</v>
          </cell>
        </row>
        <row r="895">
          <cell r="A895" t="str">
            <v>49004_3</v>
          </cell>
        </row>
        <row r="896">
          <cell r="A896" t="str">
            <v>49005_1</v>
          </cell>
        </row>
        <row r="897">
          <cell r="A897" t="str">
            <v>49006_1</v>
          </cell>
        </row>
        <row r="898">
          <cell r="A898" t="str">
            <v>49006_2</v>
          </cell>
        </row>
        <row r="899">
          <cell r="A899" t="str">
            <v>49007_1</v>
          </cell>
        </row>
        <row r="900">
          <cell r="A900" t="str">
            <v>49007_2</v>
          </cell>
        </row>
        <row r="901">
          <cell r="A901" t="str">
            <v>49007_3</v>
          </cell>
        </row>
        <row r="902">
          <cell r="A902" t="str">
            <v>49008_1</v>
          </cell>
        </row>
        <row r="903">
          <cell r="A903" t="str">
            <v>49009_1</v>
          </cell>
        </row>
        <row r="904">
          <cell r="A904" t="str">
            <v>49010_1</v>
          </cell>
        </row>
        <row r="905">
          <cell r="A905" t="str">
            <v>49011_1</v>
          </cell>
        </row>
        <row r="906">
          <cell r="A906" t="str">
            <v>49012_1</v>
          </cell>
        </row>
        <row r="907">
          <cell r="A907" t="str">
            <v>49013_1</v>
          </cell>
        </row>
        <row r="908">
          <cell r="A908" t="str">
            <v>49014_1</v>
          </cell>
        </row>
        <row r="909">
          <cell r="A909" t="str">
            <v>49014_2</v>
          </cell>
        </row>
        <row r="910">
          <cell r="A910" t="str">
            <v>49015_1</v>
          </cell>
        </row>
        <row r="911">
          <cell r="A911" t="str">
            <v>49015_2</v>
          </cell>
        </row>
        <row r="912">
          <cell r="A912" t="str">
            <v>49015_3</v>
          </cell>
        </row>
        <row r="913">
          <cell r="A913" t="str">
            <v>50001_1</v>
          </cell>
        </row>
        <row r="914">
          <cell r="A914" t="str">
            <v>50002_1</v>
          </cell>
        </row>
        <row r="915">
          <cell r="A915" t="str">
            <v>50003_1</v>
          </cell>
        </row>
        <row r="916">
          <cell r="A916" t="str">
            <v>50004_1</v>
          </cell>
        </row>
        <row r="917">
          <cell r="A917" t="str">
            <v>50005_1</v>
          </cell>
        </row>
        <row r="918">
          <cell r="A918" t="str">
            <v>50006_1</v>
          </cell>
        </row>
        <row r="919">
          <cell r="A919" t="str">
            <v>50007_1</v>
          </cell>
        </row>
        <row r="920">
          <cell r="A920" t="str">
            <v>50008_1</v>
          </cell>
        </row>
        <row r="921">
          <cell r="A921" t="str">
            <v>50009_1</v>
          </cell>
        </row>
        <row r="922">
          <cell r="A922" t="str">
            <v>50010_1</v>
          </cell>
        </row>
        <row r="923">
          <cell r="A923" t="str">
            <v>50011_1</v>
          </cell>
        </row>
        <row r="924">
          <cell r="A924" t="str">
            <v>50012_1</v>
          </cell>
        </row>
        <row r="925">
          <cell r="A925" t="str">
            <v>50013_1</v>
          </cell>
        </row>
        <row r="926">
          <cell r="A926" t="str">
            <v>50014_1</v>
          </cell>
        </row>
        <row r="927">
          <cell r="A927" t="str">
            <v>50015_1</v>
          </cell>
        </row>
        <row r="928">
          <cell r="A928" t="str">
            <v>51001_1</v>
          </cell>
        </row>
        <row r="929">
          <cell r="A929" t="str">
            <v>51002_1</v>
          </cell>
        </row>
        <row r="930">
          <cell r="A930" t="str">
            <v>58001_1</v>
          </cell>
        </row>
        <row r="931">
          <cell r="A931" t="str">
            <v>59001_1</v>
          </cell>
        </row>
        <row r="932">
          <cell r="A932" t="str">
            <v>59002_1</v>
          </cell>
        </row>
        <row r="933">
          <cell r="A933" t="str">
            <v>60001_1</v>
          </cell>
        </row>
        <row r="934">
          <cell r="A934" t="str">
            <v>60002_1</v>
          </cell>
        </row>
        <row r="935">
          <cell r="A935" t="str">
            <v>60002_2</v>
          </cell>
        </row>
        <row r="936">
          <cell r="A936" t="str">
            <v>60003_1</v>
          </cell>
        </row>
        <row r="937">
          <cell r="A937" t="str">
            <v>60003_2</v>
          </cell>
        </row>
        <row r="938">
          <cell r="A938" t="str">
            <v>60003_3</v>
          </cell>
        </row>
        <row r="939">
          <cell r="A939" t="str">
            <v>60004_1</v>
          </cell>
        </row>
        <row r="940">
          <cell r="A940" t="str">
            <v>60005_1</v>
          </cell>
        </row>
        <row r="941">
          <cell r="A941" t="str">
            <v>60006_1</v>
          </cell>
        </row>
        <row r="942">
          <cell r="A942" t="str">
            <v>60006_2</v>
          </cell>
        </row>
        <row r="943">
          <cell r="A943" t="str">
            <v>60006_3</v>
          </cell>
        </row>
        <row r="944">
          <cell r="A944" t="str">
            <v>60007_1</v>
          </cell>
        </row>
        <row r="945">
          <cell r="A945" t="str">
            <v>60007_2</v>
          </cell>
        </row>
        <row r="946">
          <cell r="A946" t="str">
            <v>60007_3</v>
          </cell>
        </row>
        <row r="947">
          <cell r="A947" t="str">
            <v>60010_1</v>
          </cell>
        </row>
        <row r="948">
          <cell r="A948" t="str">
            <v>60011_1</v>
          </cell>
        </row>
        <row r="949">
          <cell r="A949" t="str">
            <v>60011_2</v>
          </cell>
        </row>
        <row r="950">
          <cell r="A950" t="str">
            <v>60012_1</v>
          </cell>
        </row>
        <row r="951">
          <cell r="A951" t="str">
            <v>60013_1</v>
          </cell>
        </row>
        <row r="952">
          <cell r="A952" t="str">
            <v>60013_2</v>
          </cell>
        </row>
        <row r="953">
          <cell r="A953" t="str">
            <v>60013_3</v>
          </cell>
        </row>
        <row r="954">
          <cell r="A954" t="str">
            <v>60014_1</v>
          </cell>
        </row>
        <row r="955">
          <cell r="A955" t="str">
            <v>60015_1</v>
          </cell>
        </row>
        <row r="956">
          <cell r="A956" t="str">
            <v>60016_1</v>
          </cell>
        </row>
        <row r="957">
          <cell r="A957" t="str">
            <v>60017_1</v>
          </cell>
        </row>
        <row r="958">
          <cell r="A958" t="str">
            <v>60018_1</v>
          </cell>
        </row>
        <row r="959">
          <cell r="A959" t="str">
            <v>60019_1</v>
          </cell>
        </row>
        <row r="960">
          <cell r="A960" t="str">
            <v>60020_1</v>
          </cell>
        </row>
        <row r="961">
          <cell r="A961" t="str">
            <v>60021_3</v>
          </cell>
        </row>
        <row r="962">
          <cell r="A962" t="str">
            <v>60022_3</v>
          </cell>
        </row>
        <row r="963">
          <cell r="A963" t="str">
            <v>60023_3</v>
          </cell>
        </row>
        <row r="964">
          <cell r="A964" t="str">
            <v>60024_3</v>
          </cell>
        </row>
        <row r="965">
          <cell r="A965" t="str">
            <v>60025_1</v>
          </cell>
        </row>
        <row r="966">
          <cell r="A966" t="str">
            <v>60026_1</v>
          </cell>
        </row>
        <row r="967">
          <cell r="A967" t="str">
            <v>61011_1</v>
          </cell>
        </row>
        <row r="968">
          <cell r="A968" t="str">
            <v>60027_1</v>
          </cell>
        </row>
        <row r="969">
          <cell r="A969" t="str">
            <v>60028_1</v>
          </cell>
        </row>
        <row r="970">
          <cell r="A970" t="str">
            <v>65525_1</v>
          </cell>
        </row>
        <row r="971">
          <cell r="A971" t="str">
            <v>65526_1</v>
          </cell>
        </row>
        <row r="972">
          <cell r="A972" t="str">
            <v>65526_2</v>
          </cell>
        </row>
        <row r="973">
          <cell r="A973" t="str">
            <v>65527_1</v>
          </cell>
        </row>
        <row r="974">
          <cell r="A974" t="str">
            <v>65528_1</v>
          </cell>
        </row>
        <row r="975">
          <cell r="A975" t="str">
            <v>65529_1</v>
          </cell>
        </row>
        <row r="976">
          <cell r="A976" t="str">
            <v>65530_1</v>
          </cell>
        </row>
        <row r="977">
          <cell r="A977" t="str">
            <v>65531_1</v>
          </cell>
        </row>
        <row r="978">
          <cell r="A978" t="str">
            <v>65531_2</v>
          </cell>
        </row>
        <row r="979">
          <cell r="A979" t="str">
            <v>65532_1</v>
          </cell>
        </row>
        <row r="980">
          <cell r="A980" t="str">
            <v>65532_2</v>
          </cell>
        </row>
        <row r="981">
          <cell r="A981" t="str">
            <v>65533_1</v>
          </cell>
        </row>
        <row r="982">
          <cell r="A982" t="str">
            <v>65533_2</v>
          </cell>
        </row>
        <row r="983">
          <cell r="A983" t="str">
            <v>65534_1</v>
          </cell>
        </row>
        <row r="984">
          <cell r="A984" t="str">
            <v>65534_2</v>
          </cell>
        </row>
        <row r="985">
          <cell r="A985" t="str">
            <v>65535_1</v>
          </cell>
        </row>
        <row r="986">
          <cell r="A986" t="str">
            <v>65535_2</v>
          </cell>
        </row>
        <row r="987">
          <cell r="A987" t="str">
            <v>65535_3</v>
          </cell>
        </row>
        <row r="988">
          <cell r="A988" t="str">
            <v>65535_4</v>
          </cell>
        </row>
        <row r="989">
          <cell r="A989" t="str">
            <v>65535_5</v>
          </cell>
        </row>
        <row r="990">
          <cell r="A990" t="str">
            <v>65535_6</v>
          </cell>
        </row>
        <row r="991">
          <cell r="A991" t="str">
            <v>65535_7</v>
          </cell>
        </row>
        <row r="992">
          <cell r="A992" t="str">
            <v>65535_8</v>
          </cell>
        </row>
        <row r="993">
          <cell r="A993" t="str">
            <v>65535_9</v>
          </cell>
        </row>
        <row r="994">
          <cell r="A994" t="str">
            <v>65535_10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enemies"/>
      <sheetName val="enemy_base_stats"/>
      <sheetName val="サイズ別係数"/>
      <sheetName val="ラベル別係数"/>
      <sheetName val="ターン数別攻撃係数"/>
      <sheetName val="特殊モンスターレベル"/>
    </sheetNames>
    <sheetDataSet>
      <sheetData sheetId="0"/>
      <sheetData sheetId="1">
        <row r="1">
          <cell r="A1" t="str">
            <v>character_id</v>
          </cell>
          <cell r="B1" t="str">
            <v>name</v>
          </cell>
          <cell r="C1" t="str">
            <v>rare</v>
          </cell>
          <cell r="D1" t="str">
            <v>color</v>
          </cell>
          <cell r="E1" t="str">
            <v>HP係数</v>
          </cell>
          <cell r="F1" t="str">
            <v>攻撃係数</v>
          </cell>
          <cell r="G1" t="str">
            <v>防御系数</v>
          </cell>
          <cell r="H1" t="str">
            <v>character_type_id</v>
          </cell>
          <cell r="I1" t="str">
            <v>name</v>
          </cell>
          <cell r="J1" t="str">
            <v>HP係数</v>
          </cell>
          <cell r="K1" t="str">
            <v>攻撃係数</v>
          </cell>
          <cell r="L1" t="str">
            <v>防御係数</v>
          </cell>
          <cell r="M1" t="str">
            <v>character_main_tribe_id</v>
          </cell>
          <cell r="N1" t="str">
            <v>name</v>
          </cell>
          <cell r="O1" t="str">
            <v>HP係数</v>
          </cell>
          <cell r="P1" t="str">
            <v>攻撃係数</v>
          </cell>
          <cell r="Q1" t="str">
            <v>防御係数</v>
          </cell>
          <cell r="R1" t="str">
            <v>ラベル</v>
          </cell>
          <cell r="S1" t="str">
            <v>HP係数</v>
          </cell>
          <cell r="T1" t="str">
            <v>攻撃係数</v>
          </cell>
          <cell r="U1" t="str">
            <v>防御係数</v>
          </cell>
          <cell r="V1" t="str">
            <v>speed</v>
          </cell>
          <cell r="W1" t="str">
            <v>攻撃系数</v>
          </cell>
          <cell r="X1" t="str">
            <v>size</v>
          </cell>
          <cell r="Y1" t="str">
            <v>HP係数</v>
          </cell>
          <cell r="Z1" t="str">
            <v>攻撃係数</v>
          </cell>
          <cell r="AA1" t="str">
            <v>防御係数</v>
          </cell>
          <cell r="AB1" t="str">
            <v>skill_set_id</v>
          </cell>
          <cell r="AC1" t="str">
            <v>comment</v>
          </cell>
          <cell r="AD1" t="str">
            <v>HP係数</v>
          </cell>
          <cell r="AE1" t="str">
            <v>攻撃係数</v>
          </cell>
          <cell r="AF1" t="str">
            <v>防御係数</v>
          </cell>
          <cell r="AG1" t="str">
            <v>min_hp</v>
          </cell>
          <cell r="AH1" t="str">
            <v>min_attack</v>
          </cell>
          <cell r="AI1" t="str">
            <v>min_defense</v>
          </cell>
          <cell r="AJ1" t="str">
            <v>max_hp</v>
          </cell>
          <cell r="AK1" t="str">
            <v>max_attack</v>
          </cell>
          <cell r="AL1" t="str">
            <v>max_defense</v>
          </cell>
          <cell r="AM1" t="str">
            <v>base_reward_bits</v>
          </cell>
          <cell r="AN1" t="str">
            <v>base_reward_exp</v>
          </cell>
          <cell r="AO1" t="str">
            <v>skip</v>
          </cell>
          <cell r="AP1" t="str">
            <v>level_test</v>
          </cell>
          <cell r="AQ1" t="str">
            <v>enemy_id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1297</v>
          </cell>
        </row>
        <row r="1297">
          <cell r="A1297">
            <v>1298</v>
          </cell>
        </row>
        <row r="1298">
          <cell r="A1298">
            <v>1299</v>
          </cell>
        </row>
        <row r="1299">
          <cell r="A1299">
            <v>1300</v>
          </cell>
        </row>
        <row r="1300">
          <cell r="A1300">
            <v>1301</v>
          </cell>
        </row>
        <row r="1301">
          <cell r="A1301">
            <v>1302</v>
          </cell>
        </row>
        <row r="1302">
          <cell r="A1302">
            <v>1303</v>
          </cell>
        </row>
        <row r="1303">
          <cell r="A1303">
            <v>1304</v>
          </cell>
        </row>
        <row r="1304">
          <cell r="A1304">
            <v>1305</v>
          </cell>
        </row>
        <row r="1305">
          <cell r="A1305">
            <v>1306</v>
          </cell>
        </row>
        <row r="1306">
          <cell r="A1306">
            <v>1307</v>
          </cell>
        </row>
        <row r="1307">
          <cell r="A1307">
            <v>1324</v>
          </cell>
        </row>
        <row r="1308">
          <cell r="A1308">
            <v>1325</v>
          </cell>
        </row>
        <row r="1309">
          <cell r="A1309">
            <v>1326</v>
          </cell>
        </row>
        <row r="1310">
          <cell r="A1310">
            <v>1327</v>
          </cell>
        </row>
        <row r="1311">
          <cell r="A1311">
            <v>1328</v>
          </cell>
        </row>
        <row r="1312">
          <cell r="A1312">
            <v>1329</v>
          </cell>
        </row>
        <row r="1313">
          <cell r="A1313">
            <v>1330</v>
          </cell>
        </row>
        <row r="1314">
          <cell r="A1314">
            <v>1331</v>
          </cell>
        </row>
        <row r="1315">
          <cell r="A1315">
            <v>1332</v>
          </cell>
        </row>
        <row r="1316">
          <cell r="A1316">
            <v>1333</v>
          </cell>
        </row>
        <row r="1317">
          <cell r="A1317">
            <v>1334</v>
          </cell>
        </row>
        <row r="1318">
          <cell r="A1318">
            <v>1335</v>
          </cell>
        </row>
        <row r="1319">
          <cell r="A1319">
            <v>1336</v>
          </cell>
        </row>
        <row r="1320">
          <cell r="A1320">
            <v>1337</v>
          </cell>
        </row>
        <row r="1321">
          <cell r="A1321">
            <v>1338</v>
          </cell>
        </row>
        <row r="1322">
          <cell r="A1322">
            <v>1339</v>
          </cell>
        </row>
        <row r="1323">
          <cell r="A1323">
            <v>1351</v>
          </cell>
        </row>
        <row r="1324">
          <cell r="A1324">
            <v>1352</v>
          </cell>
        </row>
        <row r="1325">
          <cell r="A1325">
            <v>1353</v>
          </cell>
        </row>
        <row r="1326">
          <cell r="A1326">
            <v>1354</v>
          </cell>
        </row>
        <row r="1327">
          <cell r="A1327">
            <v>1355</v>
          </cell>
        </row>
        <row r="1328">
          <cell r="A1328">
            <v>1356</v>
          </cell>
        </row>
        <row r="1329">
          <cell r="A1329">
            <v>1357</v>
          </cell>
        </row>
        <row r="1330">
          <cell r="A1330">
            <v>1358</v>
          </cell>
        </row>
        <row r="1331">
          <cell r="A1331">
            <v>1359</v>
          </cell>
        </row>
        <row r="1332">
          <cell r="A1332">
            <v>1360</v>
          </cell>
        </row>
        <row r="1333">
          <cell r="A1333">
            <v>1362</v>
          </cell>
        </row>
        <row r="1334">
          <cell r="A1334">
            <v>1363</v>
          </cell>
        </row>
        <row r="1335">
          <cell r="A1335">
            <v>1364</v>
          </cell>
        </row>
        <row r="1336">
          <cell r="A1336">
            <v>1375</v>
          </cell>
        </row>
        <row r="1337">
          <cell r="A1337">
            <v>1376</v>
          </cell>
        </row>
        <row r="1338">
          <cell r="A1338">
            <v>1379</v>
          </cell>
        </row>
        <row r="1339">
          <cell r="A1339">
            <v>1380</v>
          </cell>
        </row>
        <row r="1340">
          <cell r="A1340">
            <v>1407</v>
          </cell>
        </row>
        <row r="1341">
          <cell r="A1341">
            <v>1408</v>
          </cell>
        </row>
        <row r="1342">
          <cell r="A1342">
            <v>1409</v>
          </cell>
        </row>
        <row r="1343">
          <cell r="A1343">
            <v>1410</v>
          </cell>
        </row>
        <row r="1344">
          <cell r="A1344">
            <v>1431</v>
          </cell>
        </row>
        <row r="1345">
          <cell r="A1345">
            <v>1432</v>
          </cell>
        </row>
        <row r="1346">
          <cell r="A1346">
            <v>1466</v>
          </cell>
        </row>
        <row r="1347">
          <cell r="A1347">
            <v>1467</v>
          </cell>
        </row>
        <row r="1348">
          <cell r="A1348">
            <v>1468</v>
          </cell>
        </row>
        <row r="1349">
          <cell r="A1349">
            <v>1469</v>
          </cell>
        </row>
        <row r="1350">
          <cell r="A1350">
            <v>1470</v>
          </cell>
        </row>
        <row r="1351">
          <cell r="A1351">
            <v>1471</v>
          </cell>
        </row>
        <row r="1352">
          <cell r="A1352">
            <v>1495</v>
          </cell>
        </row>
        <row r="1353">
          <cell r="A1353">
            <v>1496</v>
          </cell>
        </row>
        <row r="1354">
          <cell r="A1354">
            <v>1497</v>
          </cell>
        </row>
        <row r="1355">
          <cell r="A1355">
            <v>1498</v>
          </cell>
        </row>
        <row r="1356">
          <cell r="A1356">
            <v>1499</v>
          </cell>
        </row>
        <row r="1357">
          <cell r="A1357">
            <v>1500</v>
          </cell>
        </row>
        <row r="1358">
          <cell r="A1358">
            <v>1501</v>
          </cell>
        </row>
        <row r="1359">
          <cell r="A1359">
            <v>1502</v>
          </cell>
        </row>
        <row r="1360">
          <cell r="A1360">
            <v>1503</v>
          </cell>
        </row>
        <row r="1361">
          <cell r="A1361">
            <v>1504</v>
          </cell>
        </row>
        <row r="1362">
          <cell r="A1362">
            <v>1505</v>
          </cell>
        </row>
        <row r="1363">
          <cell r="A1363">
            <v>1506</v>
          </cell>
        </row>
        <row r="1364">
          <cell r="A1364">
            <v>1507</v>
          </cell>
        </row>
        <row r="1365">
          <cell r="A1365">
            <v>1508</v>
          </cell>
        </row>
        <row r="1366">
          <cell r="A1366">
            <v>1509</v>
          </cell>
        </row>
        <row r="1367">
          <cell r="A1367">
            <v>1510</v>
          </cell>
        </row>
        <row r="1368">
          <cell r="A1368">
            <v>1511</v>
          </cell>
        </row>
        <row r="1369">
          <cell r="A1369">
            <v>1512</v>
          </cell>
        </row>
        <row r="1370">
          <cell r="A1370">
            <v>1523</v>
          </cell>
        </row>
        <row r="1371">
          <cell r="A1371">
            <v>1524</v>
          </cell>
        </row>
        <row r="1372">
          <cell r="A1372">
            <v>1525</v>
          </cell>
        </row>
        <row r="1373">
          <cell r="A1373">
            <v>1526</v>
          </cell>
        </row>
        <row r="1374">
          <cell r="A1374">
            <v>5001</v>
          </cell>
        </row>
        <row r="1375">
          <cell r="A1375">
            <v>5002</v>
          </cell>
        </row>
        <row r="1376">
          <cell r="A1376">
            <v>5003</v>
          </cell>
        </row>
        <row r="1377">
          <cell r="A1377">
            <v>5004</v>
          </cell>
        </row>
        <row r="1378">
          <cell r="A1378">
            <v>5005</v>
          </cell>
        </row>
        <row r="1379">
          <cell r="A1379">
            <v>5006</v>
          </cell>
        </row>
        <row r="1380">
          <cell r="A1380">
            <v>5007</v>
          </cell>
        </row>
        <row r="1381">
          <cell r="A1381">
            <v>5008</v>
          </cell>
        </row>
        <row r="1382">
          <cell r="A1382">
            <v>6001</v>
          </cell>
        </row>
        <row r="1383">
          <cell r="A1383">
            <v>6002</v>
          </cell>
        </row>
        <row r="1384">
          <cell r="A1384">
            <v>6003</v>
          </cell>
        </row>
        <row r="1385">
          <cell r="A1385">
            <v>6004</v>
          </cell>
        </row>
        <row r="1386">
          <cell r="A1386">
            <v>6005</v>
          </cell>
        </row>
        <row r="1387">
          <cell r="A1387">
            <v>6006</v>
          </cell>
        </row>
        <row r="1388">
          <cell r="A1388">
            <v>6007</v>
          </cell>
        </row>
        <row r="1389">
          <cell r="A1389">
            <v>6008</v>
          </cell>
        </row>
        <row r="1390">
          <cell r="A1390">
            <v>6009</v>
          </cell>
        </row>
        <row r="1391">
          <cell r="A1391">
            <v>6010</v>
          </cell>
        </row>
        <row r="1392">
          <cell r="A1392">
            <v>6011</v>
          </cell>
        </row>
        <row r="1393">
          <cell r="A1393">
            <v>6012</v>
          </cell>
        </row>
        <row r="1394">
          <cell r="A1394">
            <v>6013</v>
          </cell>
        </row>
        <row r="1395">
          <cell r="A1395">
            <v>6014</v>
          </cell>
        </row>
        <row r="1396">
          <cell r="A1396">
            <v>6015</v>
          </cell>
        </row>
        <row r="1397">
          <cell r="A1397">
            <v>6016</v>
          </cell>
        </row>
        <row r="1398">
          <cell r="A1398">
            <v>6017</v>
          </cell>
        </row>
        <row r="1399">
          <cell r="A1399">
            <v>6018</v>
          </cell>
        </row>
        <row r="1400">
          <cell r="A1400">
            <v>6019</v>
          </cell>
        </row>
        <row r="1401">
          <cell r="A1401">
            <v>6020</v>
          </cell>
        </row>
        <row r="1402">
          <cell r="A1402">
            <v>8001</v>
          </cell>
        </row>
        <row r="1403">
          <cell r="A1403">
            <v>8002</v>
          </cell>
        </row>
        <row r="1404">
          <cell r="A1404">
            <v>8003</v>
          </cell>
        </row>
        <row r="1405">
          <cell r="A1405">
            <v>8004</v>
          </cell>
        </row>
        <row r="1406">
          <cell r="A1406">
            <v>8005</v>
          </cell>
        </row>
        <row r="1407">
          <cell r="A1407">
            <v>8006</v>
          </cell>
        </row>
        <row r="1408">
          <cell r="A1408">
            <v>8007</v>
          </cell>
        </row>
        <row r="1409">
          <cell r="A1409">
            <v>8008</v>
          </cell>
        </row>
        <row r="1410">
          <cell r="A1410">
            <v>8009</v>
          </cell>
        </row>
        <row r="1411">
          <cell r="A1411">
            <v>8010</v>
          </cell>
        </row>
        <row r="1412">
          <cell r="A1412">
            <v>8011</v>
          </cell>
        </row>
        <row r="1413">
          <cell r="A1413">
            <v>8012</v>
          </cell>
        </row>
        <row r="1414">
          <cell r="A1414">
            <v>8013</v>
          </cell>
        </row>
        <row r="1415">
          <cell r="A1415">
            <v>8014</v>
          </cell>
        </row>
        <row r="1416">
          <cell r="A1416">
            <v>8015</v>
          </cell>
        </row>
        <row r="1417">
          <cell r="A1417">
            <v>8016</v>
          </cell>
        </row>
        <row r="1418">
          <cell r="A1418">
            <v>8017</v>
          </cell>
        </row>
        <row r="1419">
          <cell r="A1419">
            <v>8018</v>
          </cell>
        </row>
        <row r="1420">
          <cell r="A1420">
            <v>8019</v>
          </cell>
        </row>
        <row r="1421">
          <cell r="A1421">
            <v>8020</v>
          </cell>
        </row>
        <row r="1422">
          <cell r="A1422">
            <v>8021</v>
          </cell>
        </row>
        <row r="1423">
          <cell r="A1423">
            <v>8022</v>
          </cell>
        </row>
        <row r="1424">
          <cell r="A1424">
            <v>8023</v>
          </cell>
        </row>
        <row r="1425">
          <cell r="A1425">
            <v>8024</v>
          </cell>
        </row>
        <row r="1426">
          <cell r="A1426">
            <v>8025</v>
          </cell>
        </row>
        <row r="1427">
          <cell r="A1427">
            <v>8026</v>
          </cell>
        </row>
        <row r="1428">
          <cell r="A1428">
            <v>8027</v>
          </cell>
        </row>
        <row r="1429">
          <cell r="A1429">
            <v>8028</v>
          </cell>
        </row>
        <row r="1430">
          <cell r="A1430">
            <v>8029</v>
          </cell>
        </row>
        <row r="1431">
          <cell r="A1431">
            <v>8030</v>
          </cell>
        </row>
        <row r="1432">
          <cell r="A1432">
            <v>8031</v>
          </cell>
        </row>
        <row r="1433">
          <cell r="A1433">
            <v>8032</v>
          </cell>
        </row>
        <row r="1434">
          <cell r="A1434">
            <v>8033</v>
          </cell>
        </row>
        <row r="1435">
          <cell r="A1435">
            <v>8034</v>
          </cell>
        </row>
        <row r="1436">
          <cell r="A1436">
            <v>8035</v>
          </cell>
        </row>
        <row r="1437">
          <cell r="A1437">
            <v>8036</v>
          </cell>
        </row>
        <row r="1438">
          <cell r="A1438">
            <v>8037</v>
          </cell>
        </row>
        <row r="1439">
          <cell r="A1439">
            <v>8038</v>
          </cell>
        </row>
        <row r="1440">
          <cell r="A1440">
            <v>8039</v>
          </cell>
        </row>
        <row r="1441">
          <cell r="A1441">
            <v>8040</v>
          </cell>
        </row>
        <row r="1442">
          <cell r="A1442">
            <v>8041</v>
          </cell>
        </row>
        <row r="1443">
          <cell r="A1443">
            <v>8042</v>
          </cell>
        </row>
        <row r="1444">
          <cell r="A1444">
            <v>8043</v>
          </cell>
        </row>
        <row r="1445">
          <cell r="A1445">
            <v>8044</v>
          </cell>
        </row>
        <row r="1446">
          <cell r="A1446">
            <v>8045</v>
          </cell>
        </row>
        <row r="1447">
          <cell r="A1447">
            <v>8046</v>
          </cell>
        </row>
        <row r="1448">
          <cell r="A1448">
            <v>8047</v>
          </cell>
        </row>
        <row r="1449">
          <cell r="A1449">
            <v>8048</v>
          </cell>
        </row>
        <row r="1450">
          <cell r="A1450">
            <v>8049</v>
          </cell>
        </row>
        <row r="1451">
          <cell r="A1451">
            <v>8050</v>
          </cell>
        </row>
        <row r="1452">
          <cell r="A1452">
            <v>8051</v>
          </cell>
        </row>
        <row r="1453">
          <cell r="A1453">
            <v>8052</v>
          </cell>
        </row>
        <row r="1454">
          <cell r="A1454">
            <v>8053</v>
          </cell>
        </row>
        <row r="1455">
          <cell r="A1455">
            <v>8054</v>
          </cell>
        </row>
        <row r="1456">
          <cell r="A1456">
            <v>8055</v>
          </cell>
        </row>
        <row r="1457">
          <cell r="A1457">
            <v>8056</v>
          </cell>
        </row>
        <row r="1458">
          <cell r="A1458">
            <v>8057</v>
          </cell>
        </row>
        <row r="1459">
          <cell r="A1459">
            <v>8058</v>
          </cell>
        </row>
        <row r="1460">
          <cell r="A1460">
            <v>8059</v>
          </cell>
        </row>
        <row r="1461">
          <cell r="A1461">
            <v>8060</v>
          </cell>
        </row>
        <row r="1462">
          <cell r="A1462">
            <v>8061</v>
          </cell>
        </row>
        <row r="1463">
          <cell r="A1463">
            <v>8062</v>
          </cell>
        </row>
        <row r="1464">
          <cell r="A1464">
            <v>8063</v>
          </cell>
        </row>
        <row r="1465">
          <cell r="A1465">
            <v>8064</v>
          </cell>
        </row>
        <row r="1466">
          <cell r="A1466">
            <v>8065</v>
          </cell>
        </row>
        <row r="1467">
          <cell r="A1467">
            <v>8066</v>
          </cell>
        </row>
        <row r="1468">
          <cell r="A1468">
            <v>8067</v>
          </cell>
        </row>
        <row r="1469">
          <cell r="A1469">
            <v>8068</v>
          </cell>
        </row>
        <row r="1470">
          <cell r="A1470">
            <v>8069</v>
          </cell>
        </row>
        <row r="1471">
          <cell r="A1471">
            <v>8070</v>
          </cell>
        </row>
        <row r="1472">
          <cell r="A1472">
            <v>8071</v>
          </cell>
        </row>
        <row r="1473">
          <cell r="A1473">
            <v>8072</v>
          </cell>
        </row>
        <row r="1474">
          <cell r="A1474">
            <v>8073</v>
          </cell>
        </row>
        <row r="1475">
          <cell r="A1475">
            <v>8074</v>
          </cell>
        </row>
        <row r="1476">
          <cell r="A1476">
            <v>8077</v>
          </cell>
        </row>
        <row r="1477">
          <cell r="A1477">
            <v>8078</v>
          </cell>
        </row>
        <row r="1478">
          <cell r="A1478">
            <v>8079</v>
          </cell>
        </row>
        <row r="1479">
          <cell r="A1479">
            <v>8080</v>
          </cell>
        </row>
        <row r="1480">
          <cell r="A1480">
            <v>8081</v>
          </cell>
        </row>
        <row r="1481">
          <cell r="A1481">
            <v>8082</v>
          </cell>
        </row>
        <row r="1482">
          <cell r="A1482">
            <v>8083</v>
          </cell>
        </row>
        <row r="1483">
          <cell r="A1483">
            <v>8084</v>
          </cell>
        </row>
        <row r="1484">
          <cell r="A1484">
            <v>8087</v>
          </cell>
        </row>
        <row r="1485">
          <cell r="A1485">
            <v>8088</v>
          </cell>
        </row>
        <row r="1486">
          <cell r="A1486">
            <v>8089</v>
          </cell>
        </row>
        <row r="1487">
          <cell r="A1487">
            <v>8090</v>
          </cell>
        </row>
        <row r="1488">
          <cell r="A1488">
            <v>8095</v>
          </cell>
        </row>
        <row r="1489">
          <cell r="A1489">
            <v>8096</v>
          </cell>
        </row>
        <row r="1490">
          <cell r="A1490">
            <v>8097</v>
          </cell>
        </row>
        <row r="1491">
          <cell r="A1491">
            <v>8098</v>
          </cell>
        </row>
        <row r="1492">
          <cell r="A1492">
            <v>8099</v>
          </cell>
        </row>
        <row r="1493">
          <cell r="A1493">
            <v>8100</v>
          </cell>
        </row>
        <row r="1494">
          <cell r="A1494">
            <v>8101</v>
          </cell>
        </row>
        <row r="1495">
          <cell r="A1495">
            <v>8102</v>
          </cell>
        </row>
        <row r="1496">
          <cell r="A1496">
            <v>9001</v>
          </cell>
        </row>
        <row r="1497">
          <cell r="A1497">
            <v>9002</v>
          </cell>
        </row>
        <row r="1498">
          <cell r="A1498">
            <v>9003</v>
          </cell>
        </row>
        <row r="1499">
          <cell r="A1499">
            <v>9004</v>
          </cell>
        </row>
        <row r="1500">
          <cell r="A1500">
            <v>9005</v>
          </cell>
        </row>
        <row r="1501">
          <cell r="A1501">
            <v>9006</v>
          </cell>
        </row>
        <row r="1502">
          <cell r="A1502">
            <v>9007</v>
          </cell>
        </row>
        <row r="1503">
          <cell r="A1503">
            <v>9008</v>
          </cell>
        </row>
        <row r="1504">
          <cell r="A1504">
            <v>10101</v>
          </cell>
        </row>
        <row r="1505">
          <cell r="A1505">
            <v>10102</v>
          </cell>
        </row>
        <row r="1506">
          <cell r="A1506">
            <v>10103</v>
          </cell>
        </row>
      </sheetData>
      <sheetData sheetId="2">
        <row r="1">
          <cell r="A1" t="str">
            <v>level</v>
          </cell>
          <cell r="B1" t="str">
            <v>base_hp</v>
          </cell>
          <cell r="C1" t="str">
            <v>標準HP</v>
          </cell>
          <cell r="D1" t="str">
            <v>base_attack</v>
          </cell>
          <cell r="E1" t="str">
            <v>標準攻撃力</v>
          </cell>
          <cell r="F1" t="str">
            <v>base_defense</v>
          </cell>
        </row>
        <row r="2">
          <cell r="A2">
            <v>1</v>
          </cell>
          <cell r="B2">
            <v>1000</v>
          </cell>
          <cell r="C2">
            <v>500</v>
          </cell>
          <cell r="D2">
            <v>1000</v>
          </cell>
          <cell r="E2">
            <v>300</v>
          </cell>
          <cell r="F2">
            <v>1</v>
          </cell>
        </row>
        <row r="3">
          <cell r="A3">
            <v>2</v>
          </cell>
          <cell r="B3">
            <v>1400</v>
          </cell>
          <cell r="C3">
            <v>700</v>
          </cell>
          <cell r="D3">
            <v>1200</v>
          </cell>
          <cell r="E3">
            <v>360</v>
          </cell>
          <cell r="F3">
            <v>31</v>
          </cell>
        </row>
        <row r="4">
          <cell r="A4">
            <v>3</v>
          </cell>
          <cell r="B4">
            <v>1800</v>
          </cell>
          <cell r="C4">
            <v>900</v>
          </cell>
          <cell r="D4">
            <v>1400</v>
          </cell>
          <cell r="E4">
            <v>420</v>
          </cell>
          <cell r="F4">
            <v>61</v>
          </cell>
        </row>
        <row r="5">
          <cell r="A5">
            <v>4</v>
          </cell>
          <cell r="B5">
            <v>2200</v>
          </cell>
          <cell r="C5">
            <v>1100</v>
          </cell>
          <cell r="D5">
            <v>1600</v>
          </cell>
          <cell r="E5">
            <v>480</v>
          </cell>
          <cell r="F5">
            <v>91</v>
          </cell>
        </row>
        <row r="6">
          <cell r="A6">
            <v>5</v>
          </cell>
          <cell r="B6">
            <v>2600</v>
          </cell>
          <cell r="C6">
            <v>1300</v>
          </cell>
          <cell r="D6">
            <v>1800</v>
          </cell>
          <cell r="E6">
            <v>540</v>
          </cell>
          <cell r="F6">
            <v>121</v>
          </cell>
        </row>
        <row r="7">
          <cell r="A7">
            <v>6</v>
          </cell>
          <cell r="B7">
            <v>3000</v>
          </cell>
          <cell r="C7">
            <v>1500</v>
          </cell>
          <cell r="D7">
            <v>2000</v>
          </cell>
          <cell r="E7">
            <v>600</v>
          </cell>
          <cell r="F7">
            <v>151</v>
          </cell>
        </row>
        <row r="8">
          <cell r="A8">
            <v>7</v>
          </cell>
          <cell r="B8">
            <v>3400</v>
          </cell>
          <cell r="C8">
            <v>1700</v>
          </cell>
          <cell r="D8">
            <v>2200</v>
          </cell>
          <cell r="E8">
            <v>660</v>
          </cell>
          <cell r="F8">
            <v>181</v>
          </cell>
        </row>
        <row r="9">
          <cell r="A9">
            <v>8</v>
          </cell>
          <cell r="B9">
            <v>3800</v>
          </cell>
          <cell r="C9">
            <v>1900</v>
          </cell>
          <cell r="D9">
            <v>2400</v>
          </cell>
          <cell r="E9">
            <v>720</v>
          </cell>
          <cell r="F9">
            <v>211</v>
          </cell>
        </row>
        <row r="10">
          <cell r="A10">
            <v>9</v>
          </cell>
          <cell r="B10">
            <v>4200</v>
          </cell>
          <cell r="C10">
            <v>2100</v>
          </cell>
          <cell r="D10">
            <v>2600</v>
          </cell>
          <cell r="E10">
            <v>780</v>
          </cell>
          <cell r="F10">
            <v>241</v>
          </cell>
        </row>
        <row r="11">
          <cell r="A11">
            <v>10</v>
          </cell>
          <cell r="B11">
            <v>4600</v>
          </cell>
          <cell r="C11">
            <v>2300</v>
          </cell>
          <cell r="D11">
            <v>2800</v>
          </cell>
          <cell r="E11">
            <v>840</v>
          </cell>
          <cell r="F11">
            <v>271</v>
          </cell>
        </row>
        <row r="12">
          <cell r="A12">
            <v>11</v>
          </cell>
          <cell r="B12">
            <v>5000</v>
          </cell>
          <cell r="C12">
            <v>2500</v>
          </cell>
          <cell r="D12">
            <v>3000</v>
          </cell>
          <cell r="E12">
            <v>900</v>
          </cell>
          <cell r="F12">
            <v>301</v>
          </cell>
        </row>
        <row r="13">
          <cell r="A13">
            <v>12</v>
          </cell>
          <cell r="B13">
            <v>5400</v>
          </cell>
          <cell r="C13">
            <v>2700</v>
          </cell>
          <cell r="D13">
            <v>3200</v>
          </cell>
          <cell r="E13">
            <v>960</v>
          </cell>
          <cell r="F13">
            <v>331</v>
          </cell>
        </row>
        <row r="14">
          <cell r="A14">
            <v>13</v>
          </cell>
          <cell r="B14">
            <v>5800</v>
          </cell>
          <cell r="C14">
            <v>2900</v>
          </cell>
          <cell r="D14">
            <v>3400</v>
          </cell>
          <cell r="E14">
            <v>1020</v>
          </cell>
          <cell r="F14">
            <v>361</v>
          </cell>
        </row>
        <row r="15">
          <cell r="A15">
            <v>14</v>
          </cell>
          <cell r="B15">
            <v>6200</v>
          </cell>
          <cell r="C15">
            <v>3100</v>
          </cell>
          <cell r="D15">
            <v>3600</v>
          </cell>
          <cell r="E15">
            <v>1080</v>
          </cell>
          <cell r="F15">
            <v>391</v>
          </cell>
        </row>
        <row r="16">
          <cell r="A16">
            <v>15</v>
          </cell>
          <cell r="B16">
            <v>6600</v>
          </cell>
          <cell r="C16">
            <v>3300</v>
          </cell>
          <cell r="D16">
            <v>3800</v>
          </cell>
          <cell r="E16">
            <v>1140</v>
          </cell>
          <cell r="F16">
            <v>421</v>
          </cell>
        </row>
        <row r="17">
          <cell r="A17">
            <v>16</v>
          </cell>
          <cell r="B17">
            <v>7000</v>
          </cell>
          <cell r="C17">
            <v>3500</v>
          </cell>
          <cell r="D17">
            <v>4000</v>
          </cell>
          <cell r="E17">
            <v>1200</v>
          </cell>
          <cell r="F17">
            <v>451</v>
          </cell>
        </row>
        <row r="18">
          <cell r="A18">
            <v>17</v>
          </cell>
          <cell r="B18">
            <v>7400</v>
          </cell>
          <cell r="C18">
            <v>3700</v>
          </cell>
          <cell r="D18">
            <v>4200</v>
          </cell>
          <cell r="E18">
            <v>1260</v>
          </cell>
          <cell r="F18">
            <v>481</v>
          </cell>
        </row>
        <row r="19">
          <cell r="A19">
            <v>18</v>
          </cell>
          <cell r="B19">
            <v>7800</v>
          </cell>
          <cell r="C19">
            <v>3900</v>
          </cell>
          <cell r="D19">
            <v>4400</v>
          </cell>
          <cell r="E19">
            <v>1320</v>
          </cell>
          <cell r="F19">
            <v>511</v>
          </cell>
        </row>
        <row r="20">
          <cell r="A20">
            <v>19</v>
          </cell>
          <cell r="B20">
            <v>8200</v>
          </cell>
          <cell r="C20">
            <v>4100</v>
          </cell>
          <cell r="D20">
            <v>4600</v>
          </cell>
          <cell r="E20">
            <v>1380</v>
          </cell>
          <cell r="F20">
            <v>541</v>
          </cell>
        </row>
        <row r="21">
          <cell r="A21">
            <v>20</v>
          </cell>
          <cell r="B21">
            <v>8600</v>
          </cell>
          <cell r="C21">
            <v>4300</v>
          </cell>
          <cell r="D21">
            <v>4800</v>
          </cell>
          <cell r="E21">
            <v>1440</v>
          </cell>
          <cell r="F21">
            <v>571</v>
          </cell>
        </row>
        <row r="22">
          <cell r="A22">
            <v>21</v>
          </cell>
          <cell r="B22">
            <v>9000</v>
          </cell>
          <cell r="C22">
            <v>4500</v>
          </cell>
          <cell r="D22">
            <v>5000</v>
          </cell>
          <cell r="E22">
            <v>1500</v>
          </cell>
          <cell r="F22">
            <v>601</v>
          </cell>
        </row>
        <row r="23">
          <cell r="A23">
            <v>22</v>
          </cell>
          <cell r="B23">
            <v>9400</v>
          </cell>
          <cell r="C23">
            <v>4700</v>
          </cell>
          <cell r="D23">
            <v>5200</v>
          </cell>
          <cell r="E23">
            <v>1560</v>
          </cell>
          <cell r="F23">
            <v>631</v>
          </cell>
        </row>
        <row r="24">
          <cell r="A24">
            <v>23</v>
          </cell>
          <cell r="B24">
            <v>9800</v>
          </cell>
          <cell r="C24">
            <v>4900</v>
          </cell>
          <cell r="D24">
            <v>5400</v>
          </cell>
          <cell r="E24">
            <v>1620</v>
          </cell>
          <cell r="F24">
            <v>661</v>
          </cell>
        </row>
        <row r="25">
          <cell r="A25">
            <v>24</v>
          </cell>
          <cell r="B25">
            <v>10200</v>
          </cell>
          <cell r="C25">
            <v>5100</v>
          </cell>
          <cell r="D25">
            <v>5600</v>
          </cell>
          <cell r="E25">
            <v>1680</v>
          </cell>
          <cell r="F25">
            <v>691</v>
          </cell>
        </row>
        <row r="26">
          <cell r="A26">
            <v>25</v>
          </cell>
          <cell r="B26">
            <v>10600</v>
          </cell>
          <cell r="C26">
            <v>5300</v>
          </cell>
          <cell r="D26">
            <v>5800</v>
          </cell>
          <cell r="E26">
            <v>1740</v>
          </cell>
          <cell r="F26">
            <v>721</v>
          </cell>
        </row>
        <row r="27">
          <cell r="A27">
            <v>26</v>
          </cell>
          <cell r="B27">
            <v>11000</v>
          </cell>
          <cell r="C27">
            <v>5500</v>
          </cell>
          <cell r="D27">
            <v>6000</v>
          </cell>
          <cell r="E27">
            <v>1800</v>
          </cell>
          <cell r="F27">
            <v>751</v>
          </cell>
        </row>
        <row r="28">
          <cell r="A28">
            <v>27</v>
          </cell>
          <cell r="B28">
            <v>11400</v>
          </cell>
          <cell r="C28">
            <v>5700</v>
          </cell>
          <cell r="D28">
            <v>6200</v>
          </cell>
          <cell r="E28">
            <v>1860</v>
          </cell>
          <cell r="F28">
            <v>781</v>
          </cell>
        </row>
        <row r="29">
          <cell r="A29">
            <v>28</v>
          </cell>
          <cell r="B29">
            <v>11800</v>
          </cell>
          <cell r="C29">
            <v>5900</v>
          </cell>
          <cell r="D29">
            <v>6400</v>
          </cell>
          <cell r="E29">
            <v>1920</v>
          </cell>
          <cell r="F29">
            <v>811</v>
          </cell>
        </row>
        <row r="30">
          <cell r="A30">
            <v>29</v>
          </cell>
          <cell r="B30">
            <v>12200</v>
          </cell>
          <cell r="C30">
            <v>6100</v>
          </cell>
          <cell r="D30">
            <v>6600</v>
          </cell>
          <cell r="E30">
            <v>1980</v>
          </cell>
          <cell r="F30">
            <v>841</v>
          </cell>
        </row>
        <row r="31">
          <cell r="A31">
            <v>30</v>
          </cell>
          <cell r="B31">
            <v>12600</v>
          </cell>
          <cell r="C31">
            <v>6300</v>
          </cell>
          <cell r="D31">
            <v>6800</v>
          </cell>
          <cell r="E31">
            <v>2040</v>
          </cell>
          <cell r="F31">
            <v>871</v>
          </cell>
        </row>
        <row r="32">
          <cell r="A32">
            <v>31</v>
          </cell>
          <cell r="B32">
            <v>13000</v>
          </cell>
          <cell r="C32">
            <v>6500</v>
          </cell>
          <cell r="D32">
            <v>7000</v>
          </cell>
          <cell r="E32">
            <v>2100</v>
          </cell>
          <cell r="F32">
            <v>901</v>
          </cell>
        </row>
        <row r="33">
          <cell r="A33">
            <v>32</v>
          </cell>
          <cell r="B33">
            <v>13400</v>
          </cell>
          <cell r="C33">
            <v>6700</v>
          </cell>
          <cell r="D33">
            <v>7200</v>
          </cell>
          <cell r="E33">
            <v>2160</v>
          </cell>
          <cell r="F33">
            <v>931</v>
          </cell>
        </row>
        <row r="34">
          <cell r="A34">
            <v>33</v>
          </cell>
          <cell r="B34">
            <v>13800</v>
          </cell>
          <cell r="C34">
            <v>6900</v>
          </cell>
          <cell r="D34">
            <v>7400</v>
          </cell>
          <cell r="E34">
            <v>2220</v>
          </cell>
          <cell r="F34">
            <v>961</v>
          </cell>
        </row>
        <row r="35">
          <cell r="A35">
            <v>34</v>
          </cell>
          <cell r="B35">
            <v>14200</v>
          </cell>
          <cell r="C35">
            <v>7100</v>
          </cell>
          <cell r="D35">
            <v>7600</v>
          </cell>
          <cell r="E35">
            <v>2280</v>
          </cell>
          <cell r="F35">
            <v>991</v>
          </cell>
        </row>
        <row r="36">
          <cell r="A36">
            <v>35</v>
          </cell>
          <cell r="B36">
            <v>14600</v>
          </cell>
          <cell r="C36">
            <v>7300</v>
          </cell>
          <cell r="D36">
            <v>7800</v>
          </cell>
          <cell r="E36">
            <v>2340</v>
          </cell>
          <cell r="F36">
            <v>1021</v>
          </cell>
        </row>
        <row r="37">
          <cell r="A37">
            <v>36</v>
          </cell>
          <cell r="B37">
            <v>15000</v>
          </cell>
          <cell r="C37">
            <v>7500</v>
          </cell>
          <cell r="D37">
            <v>8000</v>
          </cell>
          <cell r="E37">
            <v>2400</v>
          </cell>
          <cell r="F37">
            <v>1051</v>
          </cell>
        </row>
        <row r="38">
          <cell r="A38">
            <v>37</v>
          </cell>
          <cell r="B38">
            <v>15400</v>
          </cell>
          <cell r="C38">
            <v>7700</v>
          </cell>
          <cell r="D38">
            <v>8200</v>
          </cell>
          <cell r="E38">
            <v>2460</v>
          </cell>
          <cell r="F38">
            <v>1081</v>
          </cell>
        </row>
        <row r="39">
          <cell r="A39">
            <v>38</v>
          </cell>
          <cell r="B39">
            <v>15800</v>
          </cell>
          <cell r="C39">
            <v>7900</v>
          </cell>
          <cell r="D39">
            <v>8400</v>
          </cell>
          <cell r="E39">
            <v>2520</v>
          </cell>
          <cell r="F39">
            <v>1111</v>
          </cell>
        </row>
        <row r="40">
          <cell r="A40">
            <v>39</v>
          </cell>
          <cell r="B40">
            <v>16200</v>
          </cell>
          <cell r="C40">
            <v>8100</v>
          </cell>
          <cell r="D40">
            <v>8600</v>
          </cell>
          <cell r="E40">
            <v>2580</v>
          </cell>
          <cell r="F40">
            <v>1141</v>
          </cell>
        </row>
        <row r="41">
          <cell r="A41">
            <v>40</v>
          </cell>
          <cell r="B41">
            <v>16600</v>
          </cell>
          <cell r="C41">
            <v>8300</v>
          </cell>
          <cell r="D41">
            <v>8800</v>
          </cell>
          <cell r="E41">
            <v>2640</v>
          </cell>
          <cell r="F41">
            <v>1171</v>
          </cell>
        </row>
        <row r="42">
          <cell r="A42">
            <v>41</v>
          </cell>
          <cell r="B42">
            <v>17000</v>
          </cell>
          <cell r="C42">
            <v>8500</v>
          </cell>
          <cell r="D42">
            <v>9000</v>
          </cell>
          <cell r="E42">
            <v>2700</v>
          </cell>
          <cell r="F42">
            <v>1201</v>
          </cell>
        </row>
        <row r="43">
          <cell r="A43">
            <v>42</v>
          </cell>
          <cell r="B43">
            <v>17400</v>
          </cell>
          <cell r="C43">
            <v>8700</v>
          </cell>
          <cell r="D43">
            <v>9200</v>
          </cell>
          <cell r="E43">
            <v>2760</v>
          </cell>
          <cell r="F43">
            <v>1231</v>
          </cell>
        </row>
        <row r="44">
          <cell r="A44">
            <v>43</v>
          </cell>
          <cell r="B44">
            <v>17800</v>
          </cell>
          <cell r="C44">
            <v>8900</v>
          </cell>
          <cell r="D44">
            <v>9400</v>
          </cell>
          <cell r="E44">
            <v>2820</v>
          </cell>
          <cell r="F44">
            <v>1261</v>
          </cell>
        </row>
        <row r="45">
          <cell r="A45">
            <v>44</v>
          </cell>
          <cell r="B45">
            <v>18200</v>
          </cell>
          <cell r="C45">
            <v>9100</v>
          </cell>
          <cell r="D45">
            <v>9600</v>
          </cell>
          <cell r="E45">
            <v>2880</v>
          </cell>
          <cell r="F45">
            <v>1291</v>
          </cell>
        </row>
        <row r="46">
          <cell r="A46">
            <v>45</v>
          </cell>
          <cell r="B46">
            <v>18600</v>
          </cell>
          <cell r="C46">
            <v>9300</v>
          </cell>
          <cell r="D46">
            <v>9800</v>
          </cell>
          <cell r="E46">
            <v>2940</v>
          </cell>
          <cell r="F46">
            <v>1321</v>
          </cell>
        </row>
        <row r="47">
          <cell r="A47">
            <v>46</v>
          </cell>
          <cell r="B47">
            <v>19000</v>
          </cell>
          <cell r="C47">
            <v>9500</v>
          </cell>
          <cell r="D47">
            <v>10000</v>
          </cell>
          <cell r="E47">
            <v>3000</v>
          </cell>
          <cell r="F47">
            <v>1351</v>
          </cell>
        </row>
        <row r="48">
          <cell r="A48">
            <v>47</v>
          </cell>
          <cell r="B48">
            <v>19400</v>
          </cell>
          <cell r="C48">
            <v>9700</v>
          </cell>
          <cell r="D48">
            <v>10200</v>
          </cell>
          <cell r="E48">
            <v>3060</v>
          </cell>
          <cell r="F48">
            <v>1381</v>
          </cell>
        </row>
        <row r="49">
          <cell r="A49">
            <v>48</v>
          </cell>
          <cell r="B49">
            <v>19800</v>
          </cell>
          <cell r="C49">
            <v>9900</v>
          </cell>
          <cell r="D49">
            <v>10400</v>
          </cell>
          <cell r="E49">
            <v>3120</v>
          </cell>
          <cell r="F49">
            <v>1411</v>
          </cell>
        </row>
        <row r="50">
          <cell r="A50">
            <v>49</v>
          </cell>
          <cell r="B50">
            <v>20200</v>
          </cell>
          <cell r="C50">
            <v>10100</v>
          </cell>
          <cell r="D50">
            <v>10600</v>
          </cell>
          <cell r="E50">
            <v>3180</v>
          </cell>
          <cell r="F50">
            <v>1441</v>
          </cell>
        </row>
        <row r="51">
          <cell r="A51">
            <v>50</v>
          </cell>
          <cell r="B51">
            <v>20600</v>
          </cell>
          <cell r="C51">
            <v>10300</v>
          </cell>
          <cell r="D51">
            <v>10800</v>
          </cell>
          <cell r="E51">
            <v>3240</v>
          </cell>
          <cell r="F51">
            <v>1471</v>
          </cell>
        </row>
        <row r="52">
          <cell r="A52">
            <v>51</v>
          </cell>
          <cell r="B52">
            <v>21000</v>
          </cell>
          <cell r="C52">
            <v>10500</v>
          </cell>
          <cell r="D52">
            <v>11000</v>
          </cell>
          <cell r="E52">
            <v>3300</v>
          </cell>
          <cell r="F52">
            <v>1501</v>
          </cell>
        </row>
        <row r="53">
          <cell r="A53">
            <v>52</v>
          </cell>
          <cell r="B53">
            <v>21400</v>
          </cell>
          <cell r="C53">
            <v>10700</v>
          </cell>
          <cell r="D53">
            <v>11200</v>
          </cell>
          <cell r="E53">
            <v>3360</v>
          </cell>
          <cell r="F53">
            <v>1531</v>
          </cell>
        </row>
        <row r="54">
          <cell r="A54">
            <v>53</v>
          </cell>
          <cell r="B54">
            <v>21800</v>
          </cell>
          <cell r="C54">
            <v>10900</v>
          </cell>
          <cell r="D54">
            <v>11400</v>
          </cell>
          <cell r="E54">
            <v>3420</v>
          </cell>
          <cell r="F54">
            <v>1561</v>
          </cell>
        </row>
        <row r="55">
          <cell r="A55">
            <v>54</v>
          </cell>
          <cell r="B55">
            <v>22200</v>
          </cell>
          <cell r="C55">
            <v>11100</v>
          </cell>
          <cell r="D55">
            <v>11600</v>
          </cell>
          <cell r="E55">
            <v>3480</v>
          </cell>
          <cell r="F55">
            <v>1591</v>
          </cell>
        </row>
        <row r="56">
          <cell r="A56">
            <v>55</v>
          </cell>
          <cell r="B56">
            <v>22600</v>
          </cell>
          <cell r="C56">
            <v>11300</v>
          </cell>
          <cell r="D56">
            <v>11800</v>
          </cell>
          <cell r="E56">
            <v>3540</v>
          </cell>
          <cell r="F56">
            <v>1621</v>
          </cell>
        </row>
        <row r="57">
          <cell r="A57">
            <v>56</v>
          </cell>
          <cell r="B57">
            <v>23000</v>
          </cell>
          <cell r="C57">
            <v>11500</v>
          </cell>
          <cell r="D57">
            <v>12000</v>
          </cell>
          <cell r="E57">
            <v>3600</v>
          </cell>
          <cell r="F57">
            <v>1651</v>
          </cell>
        </row>
        <row r="58">
          <cell r="A58">
            <v>57</v>
          </cell>
          <cell r="B58">
            <v>23400</v>
          </cell>
          <cell r="C58">
            <v>11700</v>
          </cell>
          <cell r="D58">
            <v>12200</v>
          </cell>
          <cell r="E58">
            <v>3660</v>
          </cell>
          <cell r="F58">
            <v>1681</v>
          </cell>
        </row>
        <row r="59">
          <cell r="A59">
            <v>58</v>
          </cell>
          <cell r="B59">
            <v>23800</v>
          </cell>
          <cell r="C59">
            <v>11900</v>
          </cell>
          <cell r="D59">
            <v>12400</v>
          </cell>
          <cell r="E59">
            <v>3720</v>
          </cell>
          <cell r="F59">
            <v>1711</v>
          </cell>
        </row>
        <row r="60">
          <cell r="A60">
            <v>59</v>
          </cell>
          <cell r="B60">
            <v>24200</v>
          </cell>
          <cell r="C60">
            <v>12100</v>
          </cell>
          <cell r="D60">
            <v>12600</v>
          </cell>
          <cell r="E60">
            <v>3780</v>
          </cell>
          <cell r="F60">
            <v>1741</v>
          </cell>
        </row>
        <row r="61">
          <cell r="A61">
            <v>60</v>
          </cell>
          <cell r="B61">
            <v>24600</v>
          </cell>
          <cell r="C61">
            <v>12300</v>
          </cell>
          <cell r="D61">
            <v>12800</v>
          </cell>
          <cell r="E61">
            <v>3840</v>
          </cell>
          <cell r="F61">
            <v>1771</v>
          </cell>
        </row>
        <row r="62">
          <cell r="A62">
            <v>61</v>
          </cell>
          <cell r="B62">
            <v>25000</v>
          </cell>
          <cell r="C62">
            <v>12500</v>
          </cell>
          <cell r="D62">
            <v>13000</v>
          </cell>
          <cell r="E62">
            <v>3900</v>
          </cell>
          <cell r="F62">
            <v>1801</v>
          </cell>
        </row>
        <row r="63">
          <cell r="A63">
            <v>62</v>
          </cell>
          <cell r="B63">
            <v>25400</v>
          </cell>
          <cell r="C63">
            <v>12700</v>
          </cell>
          <cell r="D63">
            <v>13200</v>
          </cell>
          <cell r="E63">
            <v>3960</v>
          </cell>
          <cell r="F63">
            <v>1831</v>
          </cell>
        </row>
        <row r="64">
          <cell r="A64">
            <v>63</v>
          </cell>
          <cell r="B64">
            <v>25800</v>
          </cell>
          <cell r="C64">
            <v>12900</v>
          </cell>
          <cell r="D64">
            <v>13400</v>
          </cell>
          <cell r="E64">
            <v>4020</v>
          </cell>
          <cell r="F64">
            <v>1861</v>
          </cell>
        </row>
        <row r="65">
          <cell r="A65">
            <v>64</v>
          </cell>
          <cell r="B65">
            <v>26200</v>
          </cell>
          <cell r="C65">
            <v>13100</v>
          </cell>
          <cell r="D65">
            <v>13600</v>
          </cell>
          <cell r="E65">
            <v>4080</v>
          </cell>
          <cell r="F65">
            <v>1891</v>
          </cell>
        </row>
        <row r="66">
          <cell r="A66">
            <v>65</v>
          </cell>
          <cell r="B66">
            <v>26600</v>
          </cell>
          <cell r="C66">
            <v>13300</v>
          </cell>
          <cell r="D66">
            <v>13800</v>
          </cell>
          <cell r="E66">
            <v>4140</v>
          </cell>
          <cell r="F66">
            <v>1921</v>
          </cell>
        </row>
        <row r="67">
          <cell r="A67">
            <v>66</v>
          </cell>
          <cell r="B67">
            <v>27000</v>
          </cell>
          <cell r="C67">
            <v>13500</v>
          </cell>
          <cell r="D67">
            <v>14000</v>
          </cell>
          <cell r="E67">
            <v>4200</v>
          </cell>
          <cell r="F67">
            <v>1951</v>
          </cell>
        </row>
        <row r="68">
          <cell r="A68">
            <v>67</v>
          </cell>
          <cell r="B68">
            <v>27400</v>
          </cell>
          <cell r="C68">
            <v>13700</v>
          </cell>
          <cell r="D68">
            <v>14200</v>
          </cell>
          <cell r="E68">
            <v>4260</v>
          </cell>
          <cell r="F68">
            <v>1981</v>
          </cell>
        </row>
        <row r="69">
          <cell r="A69">
            <v>68</v>
          </cell>
          <cell r="B69">
            <v>27800</v>
          </cell>
          <cell r="C69">
            <v>13900</v>
          </cell>
          <cell r="D69">
            <v>14400</v>
          </cell>
          <cell r="E69">
            <v>4320</v>
          </cell>
          <cell r="F69">
            <v>2011</v>
          </cell>
        </row>
        <row r="70">
          <cell r="A70">
            <v>69</v>
          </cell>
          <cell r="B70">
            <v>28200</v>
          </cell>
          <cell r="C70">
            <v>14100</v>
          </cell>
          <cell r="D70">
            <v>14600</v>
          </cell>
          <cell r="E70">
            <v>4380</v>
          </cell>
          <cell r="F70">
            <v>2041</v>
          </cell>
        </row>
        <row r="71">
          <cell r="A71">
            <v>70</v>
          </cell>
          <cell r="B71">
            <v>28600</v>
          </cell>
          <cell r="C71">
            <v>14300</v>
          </cell>
          <cell r="D71">
            <v>14800</v>
          </cell>
          <cell r="E71">
            <v>4440</v>
          </cell>
          <cell r="F71">
            <v>2071</v>
          </cell>
        </row>
        <row r="72">
          <cell r="A72">
            <v>71</v>
          </cell>
          <cell r="B72">
            <v>29000</v>
          </cell>
          <cell r="C72">
            <v>14500</v>
          </cell>
          <cell r="D72">
            <v>15000</v>
          </cell>
          <cell r="E72">
            <v>4500</v>
          </cell>
          <cell r="F72">
            <v>2101</v>
          </cell>
        </row>
        <row r="73">
          <cell r="A73">
            <v>72</v>
          </cell>
          <cell r="B73">
            <v>29400</v>
          </cell>
          <cell r="C73">
            <v>14700</v>
          </cell>
          <cell r="D73">
            <v>15200</v>
          </cell>
          <cell r="E73">
            <v>4560</v>
          </cell>
          <cell r="F73">
            <v>2131</v>
          </cell>
        </row>
        <row r="74">
          <cell r="A74">
            <v>73</v>
          </cell>
          <cell r="B74">
            <v>29800</v>
          </cell>
          <cell r="C74">
            <v>14900</v>
          </cell>
          <cell r="D74">
            <v>15400</v>
          </cell>
          <cell r="E74">
            <v>4620</v>
          </cell>
          <cell r="F74">
            <v>2161</v>
          </cell>
        </row>
        <row r="75">
          <cell r="A75">
            <v>74</v>
          </cell>
          <cell r="B75">
            <v>30200</v>
          </cell>
          <cell r="C75">
            <v>15100</v>
          </cell>
          <cell r="D75">
            <v>15600</v>
          </cell>
          <cell r="E75">
            <v>4680</v>
          </cell>
          <cell r="F75">
            <v>2191</v>
          </cell>
        </row>
        <row r="76">
          <cell r="A76">
            <v>75</v>
          </cell>
          <cell r="B76">
            <v>30600</v>
          </cell>
          <cell r="C76">
            <v>15300</v>
          </cell>
          <cell r="D76">
            <v>15800</v>
          </cell>
          <cell r="E76">
            <v>4740</v>
          </cell>
          <cell r="F76">
            <v>2221</v>
          </cell>
        </row>
        <row r="77">
          <cell r="A77">
            <v>76</v>
          </cell>
          <cell r="B77">
            <v>31000</v>
          </cell>
          <cell r="C77">
            <v>15500</v>
          </cell>
          <cell r="D77">
            <v>16000</v>
          </cell>
          <cell r="E77">
            <v>4800</v>
          </cell>
          <cell r="F77">
            <v>2251</v>
          </cell>
        </row>
        <row r="78">
          <cell r="A78">
            <v>77</v>
          </cell>
          <cell r="B78">
            <v>31400</v>
          </cell>
          <cell r="C78">
            <v>15700</v>
          </cell>
          <cell r="D78">
            <v>16200</v>
          </cell>
          <cell r="E78">
            <v>4860</v>
          </cell>
          <cell r="F78">
            <v>2281</v>
          </cell>
        </row>
        <row r="79">
          <cell r="A79">
            <v>78</v>
          </cell>
          <cell r="B79">
            <v>31800</v>
          </cell>
          <cell r="C79">
            <v>15900</v>
          </cell>
          <cell r="D79">
            <v>16400</v>
          </cell>
          <cell r="E79">
            <v>4920</v>
          </cell>
          <cell r="F79">
            <v>2311</v>
          </cell>
        </row>
        <row r="80">
          <cell r="A80">
            <v>79</v>
          </cell>
          <cell r="B80">
            <v>32200</v>
          </cell>
          <cell r="C80">
            <v>16100</v>
          </cell>
          <cell r="D80">
            <v>16600</v>
          </cell>
          <cell r="E80">
            <v>4980</v>
          </cell>
          <cell r="F80">
            <v>2341</v>
          </cell>
        </row>
        <row r="81">
          <cell r="A81">
            <v>80</v>
          </cell>
          <cell r="B81">
            <v>32600</v>
          </cell>
          <cell r="C81">
            <v>16300</v>
          </cell>
          <cell r="D81">
            <v>16800</v>
          </cell>
          <cell r="E81">
            <v>5040</v>
          </cell>
          <cell r="F81">
            <v>2371</v>
          </cell>
        </row>
        <row r="82">
          <cell r="A82">
            <v>81</v>
          </cell>
          <cell r="B82">
            <v>33000</v>
          </cell>
          <cell r="C82">
            <v>16500</v>
          </cell>
          <cell r="D82">
            <v>17000</v>
          </cell>
          <cell r="E82">
            <v>5100</v>
          </cell>
          <cell r="F82">
            <v>2401</v>
          </cell>
        </row>
        <row r="83">
          <cell r="A83">
            <v>82</v>
          </cell>
          <cell r="B83">
            <v>33400</v>
          </cell>
          <cell r="C83">
            <v>16700</v>
          </cell>
          <cell r="D83">
            <v>17200</v>
          </cell>
          <cell r="E83">
            <v>5160</v>
          </cell>
          <cell r="F83">
            <v>2431</v>
          </cell>
        </row>
        <row r="84">
          <cell r="A84">
            <v>83</v>
          </cell>
          <cell r="B84">
            <v>33800</v>
          </cell>
          <cell r="C84">
            <v>16900</v>
          </cell>
          <cell r="D84">
            <v>17400</v>
          </cell>
          <cell r="E84">
            <v>5220</v>
          </cell>
          <cell r="F84">
            <v>2461</v>
          </cell>
        </row>
        <row r="85">
          <cell r="A85">
            <v>84</v>
          </cell>
          <cell r="B85">
            <v>34200</v>
          </cell>
          <cell r="C85">
            <v>17100</v>
          </cell>
          <cell r="D85">
            <v>17600</v>
          </cell>
          <cell r="E85">
            <v>5280</v>
          </cell>
          <cell r="F85">
            <v>2491</v>
          </cell>
        </row>
        <row r="86">
          <cell r="A86">
            <v>85</v>
          </cell>
          <cell r="B86">
            <v>34600</v>
          </cell>
          <cell r="C86">
            <v>17300</v>
          </cell>
          <cell r="D86">
            <v>17800</v>
          </cell>
          <cell r="E86">
            <v>5340</v>
          </cell>
          <cell r="F86">
            <v>2521</v>
          </cell>
        </row>
        <row r="87">
          <cell r="A87">
            <v>86</v>
          </cell>
          <cell r="B87">
            <v>35000</v>
          </cell>
          <cell r="C87">
            <v>17500</v>
          </cell>
          <cell r="D87">
            <v>18000</v>
          </cell>
          <cell r="E87">
            <v>5400</v>
          </cell>
          <cell r="F87">
            <v>2551</v>
          </cell>
        </row>
        <row r="88">
          <cell r="A88">
            <v>87</v>
          </cell>
          <cell r="B88">
            <v>35400</v>
          </cell>
          <cell r="C88">
            <v>17700</v>
          </cell>
          <cell r="D88">
            <v>18200</v>
          </cell>
          <cell r="E88">
            <v>5460</v>
          </cell>
          <cell r="F88">
            <v>2581</v>
          </cell>
        </row>
        <row r="89">
          <cell r="A89">
            <v>88</v>
          </cell>
          <cell r="B89">
            <v>35800</v>
          </cell>
          <cell r="C89">
            <v>17900</v>
          </cell>
          <cell r="D89">
            <v>18400</v>
          </cell>
          <cell r="E89">
            <v>5520</v>
          </cell>
          <cell r="F89">
            <v>2611</v>
          </cell>
        </row>
        <row r="90">
          <cell r="A90">
            <v>89</v>
          </cell>
          <cell r="B90">
            <v>36200</v>
          </cell>
          <cell r="C90">
            <v>18100</v>
          </cell>
          <cell r="D90">
            <v>18600</v>
          </cell>
          <cell r="E90">
            <v>5580</v>
          </cell>
          <cell r="F90">
            <v>2641</v>
          </cell>
        </row>
        <row r="91">
          <cell r="A91">
            <v>90</v>
          </cell>
          <cell r="B91">
            <v>36600</v>
          </cell>
          <cell r="C91">
            <v>18300</v>
          </cell>
          <cell r="D91">
            <v>18800</v>
          </cell>
          <cell r="E91">
            <v>5640</v>
          </cell>
          <cell r="F91">
            <v>2671</v>
          </cell>
        </row>
        <row r="92">
          <cell r="A92">
            <v>91</v>
          </cell>
          <cell r="B92">
            <v>37000</v>
          </cell>
          <cell r="C92">
            <v>18500</v>
          </cell>
          <cell r="D92">
            <v>19000</v>
          </cell>
          <cell r="E92">
            <v>5700</v>
          </cell>
          <cell r="F92">
            <v>2701</v>
          </cell>
        </row>
        <row r="93">
          <cell r="A93">
            <v>92</v>
          </cell>
          <cell r="B93">
            <v>37400</v>
          </cell>
          <cell r="C93">
            <v>18700</v>
          </cell>
          <cell r="D93">
            <v>19200</v>
          </cell>
          <cell r="E93">
            <v>5760</v>
          </cell>
          <cell r="F93">
            <v>2731</v>
          </cell>
        </row>
        <row r="94">
          <cell r="A94">
            <v>93</v>
          </cell>
          <cell r="B94">
            <v>37800</v>
          </cell>
          <cell r="C94">
            <v>18900</v>
          </cell>
          <cell r="D94">
            <v>19400</v>
          </cell>
          <cell r="E94">
            <v>5820</v>
          </cell>
          <cell r="F94">
            <v>2761</v>
          </cell>
        </row>
        <row r="95">
          <cell r="A95">
            <v>94</v>
          </cell>
          <cell r="B95">
            <v>38200</v>
          </cell>
          <cell r="C95">
            <v>19100</v>
          </cell>
          <cell r="D95">
            <v>19600</v>
          </cell>
          <cell r="E95">
            <v>5880</v>
          </cell>
          <cell r="F95">
            <v>2791</v>
          </cell>
        </row>
        <row r="96">
          <cell r="A96">
            <v>95</v>
          </cell>
          <cell r="B96">
            <v>38600</v>
          </cell>
          <cell r="C96">
            <v>19300</v>
          </cell>
          <cell r="D96">
            <v>19800</v>
          </cell>
          <cell r="E96">
            <v>5940</v>
          </cell>
          <cell r="F96">
            <v>2821</v>
          </cell>
        </row>
        <row r="97">
          <cell r="A97">
            <v>96</v>
          </cell>
          <cell r="B97">
            <v>39000</v>
          </cell>
          <cell r="C97">
            <v>19500</v>
          </cell>
          <cell r="D97">
            <v>20000</v>
          </cell>
          <cell r="E97">
            <v>6000</v>
          </cell>
          <cell r="F97">
            <v>2851</v>
          </cell>
        </row>
        <row r="98">
          <cell r="A98">
            <v>97</v>
          </cell>
          <cell r="B98">
            <v>39400</v>
          </cell>
          <cell r="C98">
            <v>19700</v>
          </cell>
          <cell r="D98">
            <v>20200</v>
          </cell>
          <cell r="E98">
            <v>6060</v>
          </cell>
          <cell r="F98">
            <v>2881</v>
          </cell>
        </row>
        <row r="99">
          <cell r="A99">
            <v>98</v>
          </cell>
          <cell r="B99">
            <v>39800</v>
          </cell>
          <cell r="C99">
            <v>19900</v>
          </cell>
          <cell r="D99">
            <v>20400</v>
          </cell>
          <cell r="E99">
            <v>6120</v>
          </cell>
          <cell r="F99">
            <v>2911</v>
          </cell>
        </row>
        <row r="100">
          <cell r="A100">
            <v>99</v>
          </cell>
          <cell r="B100">
            <v>40200</v>
          </cell>
          <cell r="C100">
            <v>20100</v>
          </cell>
          <cell r="D100">
            <v>20600</v>
          </cell>
          <cell r="E100">
            <v>6180</v>
          </cell>
          <cell r="F100">
            <v>2941</v>
          </cell>
        </row>
        <row r="101">
          <cell r="A101">
            <v>100</v>
          </cell>
          <cell r="B101">
            <v>40600</v>
          </cell>
          <cell r="C101">
            <v>20300</v>
          </cell>
          <cell r="D101">
            <v>20800</v>
          </cell>
          <cell r="E101">
            <v>6240</v>
          </cell>
          <cell r="F101">
            <v>2971</v>
          </cell>
        </row>
      </sheetData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</row>
      </sheetData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</row>
        <row r="3">
          <cell r="A3">
            <v>2</v>
          </cell>
        </row>
        <row r="4">
          <cell r="A4">
            <v>3</v>
          </cell>
        </row>
        <row r="5">
          <cell r="A5">
            <v>4</v>
          </cell>
        </row>
        <row r="6">
          <cell r="A6">
            <v>5</v>
          </cell>
        </row>
        <row r="7">
          <cell r="A7">
            <v>6</v>
          </cell>
        </row>
        <row r="8">
          <cell r="A8">
            <v>7</v>
          </cell>
        </row>
        <row r="9">
          <cell r="A9">
            <v>8</v>
          </cell>
        </row>
        <row r="10">
          <cell r="A10">
            <v>9</v>
          </cell>
        </row>
        <row r="11">
          <cell r="A11">
            <v>10</v>
          </cell>
        </row>
        <row r="12">
          <cell r="A12">
            <v>11</v>
          </cell>
        </row>
        <row r="13">
          <cell r="A13">
            <v>12</v>
          </cell>
        </row>
        <row r="14">
          <cell r="A14">
            <v>13</v>
          </cell>
        </row>
        <row r="15">
          <cell r="A15">
            <v>14</v>
          </cell>
        </row>
        <row r="16">
          <cell r="A16">
            <v>15</v>
          </cell>
        </row>
        <row r="17">
          <cell r="A17">
            <v>16</v>
          </cell>
        </row>
        <row r="18">
          <cell r="A18">
            <v>17</v>
          </cell>
        </row>
        <row r="19">
          <cell r="A19">
            <v>18</v>
          </cell>
        </row>
        <row r="20">
          <cell r="A20">
            <v>19</v>
          </cell>
        </row>
        <row r="21">
          <cell r="A21">
            <v>20</v>
          </cell>
        </row>
        <row r="22">
          <cell r="A22">
            <v>21</v>
          </cell>
        </row>
        <row r="23">
          <cell r="A23">
            <v>22</v>
          </cell>
        </row>
        <row r="24">
          <cell r="A24">
            <v>23</v>
          </cell>
        </row>
        <row r="25">
          <cell r="A25">
            <v>24</v>
          </cell>
        </row>
        <row r="26">
          <cell r="A26">
            <v>25</v>
          </cell>
        </row>
        <row r="27">
          <cell r="A27">
            <v>26</v>
          </cell>
        </row>
        <row r="28">
          <cell r="A28">
            <v>27</v>
          </cell>
        </row>
        <row r="29">
          <cell r="A29">
            <v>28</v>
          </cell>
        </row>
        <row r="30">
          <cell r="A30">
            <v>29</v>
          </cell>
        </row>
        <row r="31">
          <cell r="A31">
            <v>30</v>
          </cell>
        </row>
        <row r="32">
          <cell r="A32">
            <v>31</v>
          </cell>
        </row>
        <row r="33">
          <cell r="A33">
            <v>32</v>
          </cell>
        </row>
        <row r="34">
          <cell r="A34">
            <v>33</v>
          </cell>
        </row>
        <row r="35">
          <cell r="A35">
            <v>34</v>
          </cell>
        </row>
        <row r="36">
          <cell r="A36">
            <v>35</v>
          </cell>
        </row>
        <row r="37">
          <cell r="A37">
            <v>36</v>
          </cell>
        </row>
        <row r="38">
          <cell r="A38">
            <v>37</v>
          </cell>
        </row>
        <row r="39">
          <cell r="A39">
            <v>38</v>
          </cell>
        </row>
        <row r="40">
          <cell r="A40">
            <v>39</v>
          </cell>
        </row>
        <row r="41">
          <cell r="A41">
            <v>40</v>
          </cell>
        </row>
        <row r="42">
          <cell r="A42">
            <v>41</v>
          </cell>
        </row>
        <row r="43">
          <cell r="A43">
            <v>42</v>
          </cell>
        </row>
        <row r="44">
          <cell r="A44">
            <v>43</v>
          </cell>
        </row>
        <row r="45">
          <cell r="A45">
            <v>44</v>
          </cell>
        </row>
        <row r="46">
          <cell r="A46">
            <v>45</v>
          </cell>
        </row>
        <row r="47">
          <cell r="A47">
            <v>46</v>
          </cell>
        </row>
        <row r="48">
          <cell r="A48">
            <v>47</v>
          </cell>
        </row>
        <row r="49">
          <cell r="A49">
            <v>48</v>
          </cell>
        </row>
        <row r="50">
          <cell r="A50">
            <v>49</v>
          </cell>
        </row>
        <row r="51">
          <cell r="A51">
            <v>50</v>
          </cell>
        </row>
        <row r="52">
          <cell r="A52">
            <v>51</v>
          </cell>
        </row>
        <row r="53">
          <cell r="A53">
            <v>52</v>
          </cell>
        </row>
        <row r="54">
          <cell r="A54">
            <v>53</v>
          </cell>
        </row>
        <row r="55">
          <cell r="A55">
            <v>54</v>
          </cell>
        </row>
        <row r="56">
          <cell r="A56">
            <v>55</v>
          </cell>
        </row>
        <row r="57">
          <cell r="A57">
            <v>56</v>
          </cell>
        </row>
        <row r="58">
          <cell r="A58">
            <v>57</v>
          </cell>
        </row>
        <row r="59">
          <cell r="A59">
            <v>58</v>
          </cell>
        </row>
        <row r="60">
          <cell r="A60">
            <v>59</v>
          </cell>
        </row>
        <row r="61">
          <cell r="A61">
            <v>60</v>
          </cell>
        </row>
        <row r="62">
          <cell r="A62">
            <v>61</v>
          </cell>
        </row>
        <row r="63">
          <cell r="A63">
            <v>62</v>
          </cell>
        </row>
        <row r="64">
          <cell r="A64">
            <v>63</v>
          </cell>
        </row>
        <row r="65">
          <cell r="A65">
            <v>64</v>
          </cell>
        </row>
        <row r="66">
          <cell r="A66">
            <v>65</v>
          </cell>
        </row>
        <row r="67">
          <cell r="A67">
            <v>66</v>
          </cell>
        </row>
        <row r="68">
          <cell r="A68">
            <v>67</v>
          </cell>
        </row>
        <row r="69">
          <cell r="A69">
            <v>68</v>
          </cell>
        </row>
        <row r="70">
          <cell r="A70">
            <v>69</v>
          </cell>
        </row>
        <row r="71">
          <cell r="A71">
            <v>70</v>
          </cell>
        </row>
        <row r="72">
          <cell r="A72">
            <v>71</v>
          </cell>
        </row>
        <row r="73">
          <cell r="A73">
            <v>72</v>
          </cell>
        </row>
        <row r="74">
          <cell r="A74">
            <v>73</v>
          </cell>
        </row>
        <row r="75">
          <cell r="A75">
            <v>74</v>
          </cell>
        </row>
        <row r="76">
          <cell r="A76">
            <v>75</v>
          </cell>
        </row>
        <row r="77">
          <cell r="A77">
            <v>76</v>
          </cell>
        </row>
        <row r="78">
          <cell r="A78">
            <v>77</v>
          </cell>
        </row>
        <row r="79">
          <cell r="A79">
            <v>78</v>
          </cell>
        </row>
        <row r="80">
          <cell r="A80">
            <v>79</v>
          </cell>
        </row>
        <row r="81">
          <cell r="A81">
            <v>80</v>
          </cell>
        </row>
        <row r="82">
          <cell r="A82">
            <v>81</v>
          </cell>
        </row>
        <row r="83">
          <cell r="A83">
            <v>82</v>
          </cell>
        </row>
        <row r="84">
          <cell r="A84">
            <v>83</v>
          </cell>
        </row>
        <row r="85">
          <cell r="A85">
            <v>84</v>
          </cell>
        </row>
        <row r="86">
          <cell r="A86">
            <v>85</v>
          </cell>
        </row>
        <row r="87">
          <cell r="A87">
            <v>86</v>
          </cell>
        </row>
        <row r="88">
          <cell r="A88">
            <v>87</v>
          </cell>
        </row>
        <row r="89">
          <cell r="A89">
            <v>88</v>
          </cell>
        </row>
        <row r="90">
          <cell r="A90">
            <v>89</v>
          </cell>
        </row>
        <row r="91">
          <cell r="A91">
            <v>90</v>
          </cell>
        </row>
        <row r="92">
          <cell r="A92">
            <v>91</v>
          </cell>
        </row>
        <row r="93">
          <cell r="A93">
            <v>92</v>
          </cell>
        </row>
        <row r="94">
          <cell r="A94">
            <v>93</v>
          </cell>
        </row>
        <row r="95">
          <cell r="A95">
            <v>94</v>
          </cell>
        </row>
        <row r="96">
          <cell r="A96">
            <v>95</v>
          </cell>
        </row>
        <row r="97">
          <cell r="A97">
            <v>96</v>
          </cell>
        </row>
        <row r="98">
          <cell r="A98">
            <v>97</v>
          </cell>
        </row>
        <row r="99">
          <cell r="A99">
            <v>98</v>
          </cell>
        </row>
        <row r="100">
          <cell r="A100">
            <v>99</v>
          </cell>
        </row>
        <row r="101">
          <cell r="A101">
            <v>100</v>
          </cell>
        </row>
        <row r="102">
          <cell r="A102">
            <v>101</v>
          </cell>
        </row>
        <row r="103">
          <cell r="A103">
            <v>102</v>
          </cell>
        </row>
        <row r="104">
          <cell r="A104">
            <v>103</v>
          </cell>
        </row>
        <row r="105">
          <cell r="A105">
            <v>104</v>
          </cell>
        </row>
        <row r="106">
          <cell r="A106">
            <v>105</v>
          </cell>
        </row>
        <row r="107">
          <cell r="A107">
            <v>106</v>
          </cell>
        </row>
        <row r="108">
          <cell r="A108">
            <v>107</v>
          </cell>
        </row>
        <row r="109">
          <cell r="A109">
            <v>108</v>
          </cell>
        </row>
        <row r="110">
          <cell r="A110">
            <v>109</v>
          </cell>
        </row>
        <row r="111">
          <cell r="A111">
            <v>110</v>
          </cell>
        </row>
        <row r="112">
          <cell r="A112">
            <v>111</v>
          </cell>
        </row>
        <row r="113">
          <cell r="A113">
            <v>112</v>
          </cell>
        </row>
        <row r="114">
          <cell r="A114">
            <v>113</v>
          </cell>
        </row>
        <row r="115">
          <cell r="A115">
            <v>114</v>
          </cell>
        </row>
        <row r="116">
          <cell r="A116">
            <v>115</v>
          </cell>
        </row>
        <row r="117">
          <cell r="A117">
            <v>116</v>
          </cell>
        </row>
        <row r="118">
          <cell r="A118">
            <v>117</v>
          </cell>
        </row>
        <row r="119">
          <cell r="A119">
            <v>118</v>
          </cell>
        </row>
        <row r="120">
          <cell r="A120">
            <v>119</v>
          </cell>
        </row>
        <row r="121">
          <cell r="A121">
            <v>120</v>
          </cell>
        </row>
        <row r="122">
          <cell r="A122">
            <v>121</v>
          </cell>
        </row>
        <row r="123">
          <cell r="A123">
            <v>122</v>
          </cell>
        </row>
        <row r="124">
          <cell r="A124">
            <v>123</v>
          </cell>
        </row>
        <row r="125">
          <cell r="A125">
            <v>124</v>
          </cell>
        </row>
        <row r="126">
          <cell r="A126">
            <v>125</v>
          </cell>
        </row>
        <row r="127">
          <cell r="A127">
            <v>126</v>
          </cell>
        </row>
        <row r="128">
          <cell r="A128">
            <v>127</v>
          </cell>
        </row>
        <row r="129">
          <cell r="A129">
            <v>128</v>
          </cell>
        </row>
        <row r="130">
          <cell r="A130">
            <v>129</v>
          </cell>
        </row>
        <row r="131">
          <cell r="A131">
            <v>130</v>
          </cell>
        </row>
        <row r="132">
          <cell r="A132">
            <v>131</v>
          </cell>
        </row>
        <row r="133">
          <cell r="A133">
            <v>132</v>
          </cell>
        </row>
        <row r="134">
          <cell r="A134">
            <v>133</v>
          </cell>
        </row>
        <row r="135">
          <cell r="A135">
            <v>134</v>
          </cell>
        </row>
        <row r="136">
          <cell r="A136">
            <v>135</v>
          </cell>
        </row>
        <row r="137">
          <cell r="A137">
            <v>136</v>
          </cell>
        </row>
        <row r="138">
          <cell r="A138">
            <v>137</v>
          </cell>
        </row>
        <row r="139">
          <cell r="A139">
            <v>138</v>
          </cell>
        </row>
        <row r="140">
          <cell r="A140">
            <v>139</v>
          </cell>
        </row>
        <row r="141">
          <cell r="A141">
            <v>140</v>
          </cell>
        </row>
        <row r="142">
          <cell r="A142">
            <v>141</v>
          </cell>
        </row>
        <row r="143">
          <cell r="A143">
            <v>142</v>
          </cell>
        </row>
        <row r="144">
          <cell r="A144">
            <v>143</v>
          </cell>
        </row>
        <row r="145">
          <cell r="A145">
            <v>144</v>
          </cell>
        </row>
        <row r="146">
          <cell r="A146">
            <v>145</v>
          </cell>
        </row>
        <row r="147">
          <cell r="A147">
            <v>146</v>
          </cell>
        </row>
        <row r="148">
          <cell r="A148">
            <v>147</v>
          </cell>
        </row>
        <row r="149">
          <cell r="A149">
            <v>148</v>
          </cell>
        </row>
        <row r="150">
          <cell r="A150">
            <v>149</v>
          </cell>
        </row>
        <row r="151">
          <cell r="A151">
            <v>150</v>
          </cell>
        </row>
        <row r="152">
          <cell r="A152">
            <v>151</v>
          </cell>
        </row>
        <row r="153">
          <cell r="A153">
            <v>152</v>
          </cell>
        </row>
        <row r="154">
          <cell r="A154">
            <v>153</v>
          </cell>
        </row>
        <row r="155">
          <cell r="A155">
            <v>154</v>
          </cell>
        </row>
        <row r="156">
          <cell r="A156">
            <v>155</v>
          </cell>
        </row>
        <row r="157">
          <cell r="A157">
            <v>156</v>
          </cell>
        </row>
        <row r="158">
          <cell r="A158">
            <v>157</v>
          </cell>
        </row>
        <row r="159">
          <cell r="A159">
            <v>158</v>
          </cell>
        </row>
        <row r="160">
          <cell r="A160">
            <v>159</v>
          </cell>
        </row>
        <row r="161">
          <cell r="A161">
            <v>160</v>
          </cell>
        </row>
        <row r="162">
          <cell r="A162">
            <v>161</v>
          </cell>
        </row>
        <row r="163">
          <cell r="A163">
            <v>162</v>
          </cell>
        </row>
        <row r="164">
          <cell r="A164">
            <v>163</v>
          </cell>
        </row>
        <row r="165">
          <cell r="A165">
            <v>164</v>
          </cell>
        </row>
        <row r="166">
          <cell r="A166">
            <v>165</v>
          </cell>
        </row>
        <row r="167">
          <cell r="A167">
            <v>166</v>
          </cell>
        </row>
        <row r="168">
          <cell r="A168">
            <v>167</v>
          </cell>
        </row>
        <row r="169">
          <cell r="A169">
            <v>168</v>
          </cell>
        </row>
        <row r="170">
          <cell r="A170">
            <v>169</v>
          </cell>
        </row>
        <row r="171">
          <cell r="A171">
            <v>170</v>
          </cell>
        </row>
        <row r="172">
          <cell r="A172">
            <v>171</v>
          </cell>
        </row>
        <row r="173">
          <cell r="A173">
            <v>172</v>
          </cell>
        </row>
        <row r="174">
          <cell r="A174">
            <v>173</v>
          </cell>
        </row>
        <row r="175">
          <cell r="A175">
            <v>174</v>
          </cell>
        </row>
        <row r="176">
          <cell r="A176">
            <v>175</v>
          </cell>
        </row>
        <row r="177">
          <cell r="A177">
            <v>176</v>
          </cell>
        </row>
        <row r="178">
          <cell r="A178">
            <v>177</v>
          </cell>
        </row>
        <row r="179">
          <cell r="A179">
            <v>178</v>
          </cell>
        </row>
        <row r="180">
          <cell r="A180">
            <v>179</v>
          </cell>
        </row>
        <row r="181">
          <cell r="A181">
            <v>180</v>
          </cell>
        </row>
        <row r="182">
          <cell r="A182">
            <v>181</v>
          </cell>
        </row>
        <row r="183">
          <cell r="A183">
            <v>182</v>
          </cell>
        </row>
        <row r="184">
          <cell r="A184">
            <v>183</v>
          </cell>
        </row>
        <row r="185">
          <cell r="A185">
            <v>184</v>
          </cell>
        </row>
        <row r="186">
          <cell r="A186">
            <v>185</v>
          </cell>
        </row>
        <row r="187">
          <cell r="A187">
            <v>186</v>
          </cell>
        </row>
        <row r="188">
          <cell r="A188">
            <v>187</v>
          </cell>
        </row>
        <row r="189">
          <cell r="A189">
            <v>188</v>
          </cell>
        </row>
        <row r="190">
          <cell r="A190">
            <v>189</v>
          </cell>
        </row>
        <row r="191">
          <cell r="A191">
            <v>190</v>
          </cell>
        </row>
        <row r="192">
          <cell r="A192">
            <v>191</v>
          </cell>
        </row>
        <row r="193">
          <cell r="A193">
            <v>192</v>
          </cell>
        </row>
        <row r="194">
          <cell r="A194">
            <v>193</v>
          </cell>
        </row>
        <row r="195">
          <cell r="A195">
            <v>194</v>
          </cell>
        </row>
        <row r="196">
          <cell r="A196">
            <v>195</v>
          </cell>
        </row>
        <row r="197">
          <cell r="A197">
            <v>196</v>
          </cell>
        </row>
        <row r="198">
          <cell r="A198">
            <v>197</v>
          </cell>
        </row>
        <row r="199">
          <cell r="A199">
            <v>198</v>
          </cell>
        </row>
        <row r="200">
          <cell r="A200">
            <v>199</v>
          </cell>
        </row>
        <row r="201">
          <cell r="A201">
            <v>200</v>
          </cell>
        </row>
        <row r="202">
          <cell r="A202">
            <v>201</v>
          </cell>
        </row>
        <row r="203">
          <cell r="A203">
            <v>202</v>
          </cell>
        </row>
        <row r="204">
          <cell r="A204">
            <v>203</v>
          </cell>
        </row>
        <row r="205">
          <cell r="A205">
            <v>204</v>
          </cell>
        </row>
        <row r="206">
          <cell r="A206">
            <v>205</v>
          </cell>
        </row>
        <row r="207">
          <cell r="A207">
            <v>206</v>
          </cell>
        </row>
        <row r="208">
          <cell r="A208">
            <v>207</v>
          </cell>
        </row>
        <row r="209">
          <cell r="A209">
            <v>208</v>
          </cell>
        </row>
        <row r="210">
          <cell r="A210">
            <v>209</v>
          </cell>
        </row>
        <row r="211">
          <cell r="A211">
            <v>210</v>
          </cell>
        </row>
        <row r="212">
          <cell r="A212">
            <v>211</v>
          </cell>
        </row>
        <row r="213">
          <cell r="A213">
            <v>212</v>
          </cell>
        </row>
        <row r="214">
          <cell r="A214">
            <v>213</v>
          </cell>
        </row>
        <row r="215">
          <cell r="A215">
            <v>214</v>
          </cell>
        </row>
        <row r="216">
          <cell r="A216">
            <v>215</v>
          </cell>
        </row>
        <row r="217">
          <cell r="A217">
            <v>216</v>
          </cell>
        </row>
        <row r="218">
          <cell r="A218">
            <v>217</v>
          </cell>
        </row>
        <row r="219">
          <cell r="A219">
            <v>218</v>
          </cell>
        </row>
        <row r="220">
          <cell r="A220">
            <v>219</v>
          </cell>
        </row>
        <row r="221">
          <cell r="A221">
            <v>220</v>
          </cell>
        </row>
        <row r="222">
          <cell r="A222">
            <v>221</v>
          </cell>
        </row>
        <row r="223">
          <cell r="A223">
            <v>222</v>
          </cell>
        </row>
        <row r="224">
          <cell r="A224">
            <v>223</v>
          </cell>
        </row>
        <row r="225">
          <cell r="A225">
            <v>224</v>
          </cell>
        </row>
        <row r="226">
          <cell r="A226">
            <v>225</v>
          </cell>
        </row>
        <row r="227">
          <cell r="A227">
            <v>226</v>
          </cell>
        </row>
        <row r="228">
          <cell r="A228">
            <v>227</v>
          </cell>
        </row>
        <row r="229">
          <cell r="A229">
            <v>228</v>
          </cell>
        </row>
        <row r="230">
          <cell r="A230">
            <v>229</v>
          </cell>
        </row>
        <row r="231">
          <cell r="A231">
            <v>230</v>
          </cell>
        </row>
        <row r="232">
          <cell r="A232">
            <v>231</v>
          </cell>
        </row>
        <row r="233">
          <cell r="A233">
            <v>232</v>
          </cell>
        </row>
        <row r="234">
          <cell r="A234">
            <v>233</v>
          </cell>
        </row>
        <row r="235">
          <cell r="A235">
            <v>234</v>
          </cell>
        </row>
        <row r="236">
          <cell r="A236">
            <v>235</v>
          </cell>
        </row>
        <row r="237">
          <cell r="A237">
            <v>236</v>
          </cell>
        </row>
        <row r="238">
          <cell r="A238">
            <v>237</v>
          </cell>
        </row>
        <row r="239">
          <cell r="A239">
            <v>238</v>
          </cell>
        </row>
        <row r="240">
          <cell r="A240">
            <v>239</v>
          </cell>
        </row>
        <row r="241">
          <cell r="A241">
            <v>240</v>
          </cell>
        </row>
        <row r="242">
          <cell r="A242">
            <v>241</v>
          </cell>
        </row>
        <row r="243">
          <cell r="A243">
            <v>242</v>
          </cell>
        </row>
        <row r="244">
          <cell r="A244">
            <v>243</v>
          </cell>
        </row>
        <row r="245">
          <cell r="A245">
            <v>244</v>
          </cell>
        </row>
        <row r="246">
          <cell r="A246">
            <v>245</v>
          </cell>
        </row>
        <row r="247">
          <cell r="A247">
            <v>246</v>
          </cell>
        </row>
        <row r="248">
          <cell r="A248">
            <v>247</v>
          </cell>
        </row>
        <row r="249">
          <cell r="A249">
            <v>248</v>
          </cell>
        </row>
        <row r="250">
          <cell r="A250">
            <v>249</v>
          </cell>
        </row>
        <row r="251">
          <cell r="A251">
            <v>250</v>
          </cell>
        </row>
        <row r="252">
          <cell r="A252">
            <v>251</v>
          </cell>
        </row>
        <row r="253">
          <cell r="A253">
            <v>252</v>
          </cell>
        </row>
        <row r="254">
          <cell r="A254">
            <v>253</v>
          </cell>
        </row>
        <row r="255">
          <cell r="A255">
            <v>254</v>
          </cell>
        </row>
        <row r="256">
          <cell r="A256">
            <v>255</v>
          </cell>
        </row>
        <row r="257">
          <cell r="A257">
            <v>256</v>
          </cell>
        </row>
        <row r="258">
          <cell r="A258">
            <v>257</v>
          </cell>
        </row>
        <row r="259">
          <cell r="A259">
            <v>258</v>
          </cell>
        </row>
        <row r="260">
          <cell r="A260">
            <v>259</v>
          </cell>
        </row>
        <row r="261">
          <cell r="A261">
            <v>260</v>
          </cell>
        </row>
        <row r="262">
          <cell r="A262">
            <v>261</v>
          </cell>
        </row>
        <row r="263">
          <cell r="A263">
            <v>262</v>
          </cell>
        </row>
        <row r="264">
          <cell r="A264">
            <v>263</v>
          </cell>
        </row>
        <row r="265">
          <cell r="A265">
            <v>264</v>
          </cell>
        </row>
        <row r="266">
          <cell r="A266">
            <v>265</v>
          </cell>
        </row>
        <row r="267">
          <cell r="A267">
            <v>266</v>
          </cell>
        </row>
        <row r="268">
          <cell r="A268">
            <v>267</v>
          </cell>
        </row>
        <row r="269">
          <cell r="A269">
            <v>268</v>
          </cell>
        </row>
        <row r="270">
          <cell r="A270">
            <v>269</v>
          </cell>
        </row>
        <row r="271">
          <cell r="A271">
            <v>270</v>
          </cell>
        </row>
        <row r="272">
          <cell r="A272">
            <v>271</v>
          </cell>
        </row>
        <row r="273">
          <cell r="A273">
            <v>272</v>
          </cell>
        </row>
        <row r="274">
          <cell r="A274">
            <v>273</v>
          </cell>
        </row>
        <row r="275">
          <cell r="A275">
            <v>274</v>
          </cell>
        </row>
        <row r="276">
          <cell r="A276">
            <v>275</v>
          </cell>
        </row>
        <row r="277">
          <cell r="A277">
            <v>276</v>
          </cell>
        </row>
        <row r="278">
          <cell r="A278">
            <v>277</v>
          </cell>
        </row>
        <row r="279">
          <cell r="A279">
            <v>278</v>
          </cell>
        </row>
        <row r="280">
          <cell r="A280">
            <v>279</v>
          </cell>
        </row>
        <row r="281">
          <cell r="A281">
            <v>280</v>
          </cell>
        </row>
        <row r="282">
          <cell r="A282">
            <v>281</v>
          </cell>
        </row>
        <row r="283">
          <cell r="A283">
            <v>282</v>
          </cell>
        </row>
        <row r="284">
          <cell r="A284">
            <v>283</v>
          </cell>
        </row>
        <row r="285">
          <cell r="A285">
            <v>284</v>
          </cell>
        </row>
        <row r="286">
          <cell r="A286">
            <v>285</v>
          </cell>
        </row>
        <row r="287">
          <cell r="A287">
            <v>286</v>
          </cell>
        </row>
        <row r="288">
          <cell r="A288">
            <v>287</v>
          </cell>
        </row>
        <row r="289">
          <cell r="A289">
            <v>288</v>
          </cell>
        </row>
        <row r="290">
          <cell r="A290">
            <v>289</v>
          </cell>
        </row>
        <row r="291">
          <cell r="A291">
            <v>290</v>
          </cell>
        </row>
        <row r="292">
          <cell r="A292">
            <v>291</v>
          </cell>
        </row>
        <row r="293">
          <cell r="A293">
            <v>292</v>
          </cell>
        </row>
        <row r="294">
          <cell r="A294">
            <v>293</v>
          </cell>
        </row>
        <row r="295">
          <cell r="A295">
            <v>294</v>
          </cell>
        </row>
        <row r="296">
          <cell r="A296">
            <v>295</v>
          </cell>
        </row>
        <row r="297">
          <cell r="A297">
            <v>296</v>
          </cell>
        </row>
        <row r="298">
          <cell r="A298">
            <v>297</v>
          </cell>
        </row>
        <row r="299">
          <cell r="A299">
            <v>298</v>
          </cell>
        </row>
        <row r="300">
          <cell r="A300">
            <v>299</v>
          </cell>
        </row>
        <row r="301">
          <cell r="A301">
            <v>300</v>
          </cell>
        </row>
        <row r="302">
          <cell r="A302">
            <v>301</v>
          </cell>
        </row>
        <row r="303">
          <cell r="A303">
            <v>302</v>
          </cell>
        </row>
        <row r="304">
          <cell r="A304">
            <v>303</v>
          </cell>
        </row>
        <row r="305">
          <cell r="A305">
            <v>304</v>
          </cell>
        </row>
        <row r="306">
          <cell r="A306">
            <v>305</v>
          </cell>
        </row>
        <row r="307">
          <cell r="A307">
            <v>306</v>
          </cell>
        </row>
        <row r="308">
          <cell r="A308">
            <v>307</v>
          </cell>
        </row>
        <row r="309">
          <cell r="A309">
            <v>308</v>
          </cell>
        </row>
        <row r="310">
          <cell r="A310">
            <v>309</v>
          </cell>
        </row>
        <row r="311">
          <cell r="A311">
            <v>310</v>
          </cell>
        </row>
        <row r="312">
          <cell r="A312">
            <v>311</v>
          </cell>
        </row>
        <row r="313">
          <cell r="A313">
            <v>312</v>
          </cell>
        </row>
        <row r="314">
          <cell r="A314">
            <v>313</v>
          </cell>
        </row>
        <row r="315">
          <cell r="A315">
            <v>314</v>
          </cell>
        </row>
        <row r="316">
          <cell r="A316">
            <v>315</v>
          </cell>
        </row>
        <row r="317">
          <cell r="A317">
            <v>316</v>
          </cell>
        </row>
        <row r="318">
          <cell r="A318">
            <v>317</v>
          </cell>
        </row>
        <row r="319">
          <cell r="A319">
            <v>318</v>
          </cell>
        </row>
        <row r="320">
          <cell r="A320">
            <v>319</v>
          </cell>
        </row>
        <row r="321">
          <cell r="A321">
            <v>320</v>
          </cell>
        </row>
        <row r="322">
          <cell r="A322">
            <v>321</v>
          </cell>
        </row>
        <row r="323">
          <cell r="A323">
            <v>322</v>
          </cell>
        </row>
        <row r="324">
          <cell r="A324">
            <v>323</v>
          </cell>
        </row>
        <row r="325">
          <cell r="A325">
            <v>324</v>
          </cell>
        </row>
        <row r="326">
          <cell r="A326">
            <v>325</v>
          </cell>
        </row>
        <row r="327">
          <cell r="A327">
            <v>326</v>
          </cell>
        </row>
        <row r="328">
          <cell r="A328">
            <v>327</v>
          </cell>
        </row>
        <row r="329">
          <cell r="A329">
            <v>328</v>
          </cell>
        </row>
        <row r="330">
          <cell r="A330">
            <v>329</v>
          </cell>
        </row>
        <row r="331">
          <cell r="A331">
            <v>330</v>
          </cell>
        </row>
        <row r="332">
          <cell r="A332">
            <v>331</v>
          </cell>
        </row>
        <row r="333">
          <cell r="A333">
            <v>332</v>
          </cell>
        </row>
        <row r="334">
          <cell r="A334">
            <v>333</v>
          </cell>
        </row>
        <row r="335">
          <cell r="A335">
            <v>334</v>
          </cell>
        </row>
        <row r="336">
          <cell r="A336">
            <v>335</v>
          </cell>
        </row>
        <row r="337">
          <cell r="A337">
            <v>336</v>
          </cell>
        </row>
        <row r="338">
          <cell r="A338">
            <v>337</v>
          </cell>
        </row>
        <row r="339">
          <cell r="A339">
            <v>338</v>
          </cell>
        </row>
        <row r="340">
          <cell r="A340">
            <v>339</v>
          </cell>
        </row>
        <row r="341">
          <cell r="A341">
            <v>340</v>
          </cell>
        </row>
        <row r="342">
          <cell r="A342">
            <v>341</v>
          </cell>
        </row>
        <row r="343">
          <cell r="A343">
            <v>342</v>
          </cell>
        </row>
        <row r="344">
          <cell r="A344">
            <v>343</v>
          </cell>
        </row>
        <row r="345">
          <cell r="A345">
            <v>344</v>
          </cell>
        </row>
        <row r="346">
          <cell r="A346">
            <v>345</v>
          </cell>
        </row>
        <row r="347">
          <cell r="A347">
            <v>346</v>
          </cell>
        </row>
        <row r="348">
          <cell r="A348">
            <v>347</v>
          </cell>
        </row>
        <row r="349">
          <cell r="A349">
            <v>348</v>
          </cell>
        </row>
        <row r="350">
          <cell r="A350">
            <v>349</v>
          </cell>
        </row>
        <row r="351">
          <cell r="A351">
            <v>350</v>
          </cell>
        </row>
        <row r="352">
          <cell r="A352">
            <v>351</v>
          </cell>
        </row>
        <row r="353">
          <cell r="A353">
            <v>352</v>
          </cell>
        </row>
        <row r="354">
          <cell r="A354">
            <v>353</v>
          </cell>
        </row>
        <row r="355">
          <cell r="A355">
            <v>354</v>
          </cell>
        </row>
        <row r="356">
          <cell r="A356">
            <v>355</v>
          </cell>
        </row>
        <row r="357">
          <cell r="A357">
            <v>356</v>
          </cell>
        </row>
        <row r="358">
          <cell r="A358">
            <v>357</v>
          </cell>
        </row>
        <row r="359">
          <cell r="A359">
            <v>358</v>
          </cell>
        </row>
        <row r="360">
          <cell r="A360">
            <v>359</v>
          </cell>
        </row>
        <row r="361">
          <cell r="A361">
            <v>360</v>
          </cell>
        </row>
        <row r="362">
          <cell r="A362">
            <v>361</v>
          </cell>
        </row>
        <row r="363">
          <cell r="A363">
            <v>362</v>
          </cell>
        </row>
        <row r="364">
          <cell r="A364">
            <v>363</v>
          </cell>
        </row>
        <row r="365">
          <cell r="A365">
            <v>364</v>
          </cell>
        </row>
        <row r="366">
          <cell r="A366">
            <v>365</v>
          </cell>
        </row>
        <row r="367">
          <cell r="A367">
            <v>366</v>
          </cell>
        </row>
        <row r="368">
          <cell r="A368">
            <v>367</v>
          </cell>
        </row>
        <row r="369">
          <cell r="A369">
            <v>368</v>
          </cell>
        </row>
        <row r="370">
          <cell r="A370">
            <v>369</v>
          </cell>
        </row>
        <row r="371">
          <cell r="A371">
            <v>370</v>
          </cell>
        </row>
        <row r="372">
          <cell r="A372">
            <v>371</v>
          </cell>
        </row>
        <row r="373">
          <cell r="A373">
            <v>372</v>
          </cell>
        </row>
        <row r="374">
          <cell r="A374">
            <v>373</v>
          </cell>
        </row>
        <row r="375">
          <cell r="A375">
            <v>374</v>
          </cell>
        </row>
        <row r="376">
          <cell r="A376">
            <v>375</v>
          </cell>
        </row>
        <row r="377">
          <cell r="A377">
            <v>376</v>
          </cell>
        </row>
        <row r="378">
          <cell r="A378">
            <v>377</v>
          </cell>
        </row>
        <row r="379">
          <cell r="A379">
            <v>378</v>
          </cell>
        </row>
        <row r="380">
          <cell r="A380">
            <v>379</v>
          </cell>
        </row>
        <row r="381">
          <cell r="A381">
            <v>380</v>
          </cell>
        </row>
        <row r="382">
          <cell r="A382">
            <v>381</v>
          </cell>
        </row>
        <row r="383">
          <cell r="A383">
            <v>382</v>
          </cell>
        </row>
        <row r="384">
          <cell r="A384">
            <v>383</v>
          </cell>
        </row>
        <row r="385">
          <cell r="A385">
            <v>384</v>
          </cell>
        </row>
        <row r="386">
          <cell r="A386">
            <v>385</v>
          </cell>
        </row>
        <row r="387">
          <cell r="A387">
            <v>386</v>
          </cell>
        </row>
        <row r="388">
          <cell r="A388">
            <v>387</v>
          </cell>
        </row>
        <row r="389">
          <cell r="A389">
            <v>388</v>
          </cell>
        </row>
        <row r="390">
          <cell r="A390">
            <v>389</v>
          </cell>
        </row>
        <row r="391">
          <cell r="A391">
            <v>390</v>
          </cell>
        </row>
        <row r="392">
          <cell r="A392">
            <v>391</v>
          </cell>
        </row>
        <row r="393">
          <cell r="A393">
            <v>392</v>
          </cell>
        </row>
        <row r="394">
          <cell r="A394">
            <v>393</v>
          </cell>
        </row>
        <row r="395">
          <cell r="A395">
            <v>394</v>
          </cell>
        </row>
        <row r="396">
          <cell r="A396">
            <v>395</v>
          </cell>
        </row>
        <row r="397">
          <cell r="A397">
            <v>396</v>
          </cell>
        </row>
        <row r="398">
          <cell r="A398">
            <v>397</v>
          </cell>
        </row>
        <row r="399">
          <cell r="A399">
            <v>398</v>
          </cell>
        </row>
        <row r="400">
          <cell r="A400">
            <v>399</v>
          </cell>
        </row>
        <row r="401">
          <cell r="A401">
            <v>400</v>
          </cell>
        </row>
        <row r="402">
          <cell r="A402">
            <v>401</v>
          </cell>
        </row>
        <row r="403">
          <cell r="A403">
            <v>402</v>
          </cell>
        </row>
        <row r="404">
          <cell r="A404">
            <v>403</v>
          </cell>
        </row>
        <row r="405">
          <cell r="A405">
            <v>404</v>
          </cell>
        </row>
        <row r="406">
          <cell r="A406">
            <v>405</v>
          </cell>
        </row>
        <row r="407">
          <cell r="A407">
            <v>406</v>
          </cell>
        </row>
        <row r="408">
          <cell r="A408">
            <v>407</v>
          </cell>
        </row>
        <row r="409">
          <cell r="A409">
            <v>408</v>
          </cell>
        </row>
        <row r="410">
          <cell r="A410">
            <v>409</v>
          </cell>
        </row>
        <row r="411">
          <cell r="A411">
            <v>410</v>
          </cell>
        </row>
        <row r="412">
          <cell r="A412">
            <v>411</v>
          </cell>
        </row>
        <row r="413">
          <cell r="A413">
            <v>412</v>
          </cell>
        </row>
        <row r="414">
          <cell r="A414">
            <v>413</v>
          </cell>
        </row>
        <row r="415">
          <cell r="A415">
            <v>414</v>
          </cell>
        </row>
        <row r="416">
          <cell r="A416">
            <v>415</v>
          </cell>
        </row>
        <row r="417">
          <cell r="A417">
            <v>416</v>
          </cell>
        </row>
        <row r="418">
          <cell r="A418">
            <v>417</v>
          </cell>
        </row>
        <row r="419">
          <cell r="A419">
            <v>418</v>
          </cell>
        </row>
        <row r="420">
          <cell r="A420">
            <v>419</v>
          </cell>
        </row>
        <row r="421">
          <cell r="A421">
            <v>420</v>
          </cell>
        </row>
        <row r="422">
          <cell r="A422">
            <v>421</v>
          </cell>
        </row>
        <row r="423">
          <cell r="A423">
            <v>422</v>
          </cell>
        </row>
        <row r="424">
          <cell r="A424">
            <v>423</v>
          </cell>
        </row>
        <row r="425">
          <cell r="A425">
            <v>424</v>
          </cell>
        </row>
        <row r="426">
          <cell r="A426">
            <v>425</v>
          </cell>
        </row>
        <row r="427">
          <cell r="A427">
            <v>426</v>
          </cell>
        </row>
        <row r="428">
          <cell r="A428">
            <v>427</v>
          </cell>
        </row>
        <row r="429">
          <cell r="A429">
            <v>428</v>
          </cell>
        </row>
        <row r="430">
          <cell r="A430">
            <v>429</v>
          </cell>
        </row>
        <row r="431">
          <cell r="A431">
            <v>430</v>
          </cell>
        </row>
        <row r="432">
          <cell r="A432">
            <v>431</v>
          </cell>
        </row>
        <row r="433">
          <cell r="A433">
            <v>432</v>
          </cell>
        </row>
        <row r="434">
          <cell r="A434">
            <v>433</v>
          </cell>
        </row>
        <row r="435">
          <cell r="A435">
            <v>434</v>
          </cell>
        </row>
        <row r="436">
          <cell r="A436">
            <v>435</v>
          </cell>
        </row>
        <row r="437">
          <cell r="A437">
            <v>436</v>
          </cell>
        </row>
        <row r="438">
          <cell r="A438">
            <v>437</v>
          </cell>
        </row>
        <row r="439">
          <cell r="A439">
            <v>438</v>
          </cell>
        </row>
        <row r="440">
          <cell r="A440">
            <v>439</v>
          </cell>
        </row>
        <row r="441">
          <cell r="A441">
            <v>440</v>
          </cell>
        </row>
        <row r="442">
          <cell r="A442">
            <v>441</v>
          </cell>
        </row>
        <row r="443">
          <cell r="A443">
            <v>442</v>
          </cell>
        </row>
        <row r="444">
          <cell r="A444">
            <v>443</v>
          </cell>
        </row>
        <row r="445">
          <cell r="A445">
            <v>444</v>
          </cell>
        </row>
        <row r="446">
          <cell r="A446">
            <v>445</v>
          </cell>
        </row>
        <row r="447">
          <cell r="A447">
            <v>446</v>
          </cell>
        </row>
        <row r="448">
          <cell r="A448">
            <v>447</v>
          </cell>
        </row>
        <row r="449">
          <cell r="A449">
            <v>448</v>
          </cell>
        </row>
        <row r="450">
          <cell r="A450">
            <v>449</v>
          </cell>
        </row>
        <row r="451">
          <cell r="A451">
            <v>450</v>
          </cell>
        </row>
        <row r="452">
          <cell r="A452">
            <v>451</v>
          </cell>
        </row>
        <row r="453">
          <cell r="A453">
            <v>452</v>
          </cell>
        </row>
        <row r="454">
          <cell r="A454">
            <v>453</v>
          </cell>
        </row>
        <row r="455">
          <cell r="A455">
            <v>454</v>
          </cell>
        </row>
        <row r="456">
          <cell r="A456">
            <v>455</v>
          </cell>
        </row>
        <row r="457">
          <cell r="A457">
            <v>456</v>
          </cell>
        </row>
        <row r="458">
          <cell r="A458">
            <v>457</v>
          </cell>
        </row>
        <row r="459">
          <cell r="A459">
            <v>458</v>
          </cell>
        </row>
        <row r="460">
          <cell r="A460">
            <v>459</v>
          </cell>
        </row>
        <row r="461">
          <cell r="A461">
            <v>460</v>
          </cell>
        </row>
        <row r="462">
          <cell r="A462">
            <v>461</v>
          </cell>
        </row>
        <row r="463">
          <cell r="A463">
            <v>462</v>
          </cell>
        </row>
        <row r="464">
          <cell r="A464">
            <v>463</v>
          </cell>
        </row>
        <row r="465">
          <cell r="A465">
            <v>464</v>
          </cell>
        </row>
        <row r="466">
          <cell r="A466">
            <v>465</v>
          </cell>
        </row>
        <row r="467">
          <cell r="A467">
            <v>466</v>
          </cell>
        </row>
        <row r="468">
          <cell r="A468">
            <v>467</v>
          </cell>
        </row>
        <row r="469">
          <cell r="A469">
            <v>468</v>
          </cell>
        </row>
        <row r="470">
          <cell r="A470">
            <v>469</v>
          </cell>
        </row>
        <row r="471">
          <cell r="A471">
            <v>470</v>
          </cell>
        </row>
        <row r="472">
          <cell r="A472">
            <v>471</v>
          </cell>
        </row>
        <row r="473">
          <cell r="A473">
            <v>472</v>
          </cell>
        </row>
        <row r="474">
          <cell r="A474">
            <v>473</v>
          </cell>
        </row>
        <row r="475">
          <cell r="A475">
            <v>474</v>
          </cell>
        </row>
        <row r="476">
          <cell r="A476">
            <v>475</v>
          </cell>
        </row>
        <row r="477">
          <cell r="A477">
            <v>476</v>
          </cell>
        </row>
        <row r="478">
          <cell r="A478">
            <v>477</v>
          </cell>
        </row>
        <row r="479">
          <cell r="A479">
            <v>478</v>
          </cell>
        </row>
        <row r="480">
          <cell r="A480">
            <v>479</v>
          </cell>
        </row>
        <row r="481">
          <cell r="A481">
            <v>480</v>
          </cell>
        </row>
        <row r="482">
          <cell r="A482">
            <v>481</v>
          </cell>
        </row>
        <row r="483">
          <cell r="A483">
            <v>482</v>
          </cell>
        </row>
        <row r="484">
          <cell r="A484">
            <v>483</v>
          </cell>
        </row>
        <row r="485">
          <cell r="A485">
            <v>484</v>
          </cell>
        </row>
        <row r="486">
          <cell r="A486">
            <v>485</v>
          </cell>
        </row>
        <row r="487">
          <cell r="A487">
            <v>486</v>
          </cell>
        </row>
        <row r="488">
          <cell r="A488">
            <v>487</v>
          </cell>
        </row>
        <row r="489">
          <cell r="A489">
            <v>488</v>
          </cell>
        </row>
        <row r="490">
          <cell r="A490">
            <v>489</v>
          </cell>
        </row>
        <row r="491">
          <cell r="A491">
            <v>490</v>
          </cell>
        </row>
        <row r="492">
          <cell r="A492">
            <v>491</v>
          </cell>
        </row>
        <row r="493">
          <cell r="A493">
            <v>492</v>
          </cell>
        </row>
        <row r="494">
          <cell r="A494">
            <v>493</v>
          </cell>
        </row>
        <row r="495">
          <cell r="A495">
            <v>494</v>
          </cell>
        </row>
        <row r="496">
          <cell r="A496">
            <v>495</v>
          </cell>
        </row>
        <row r="497">
          <cell r="A497">
            <v>496</v>
          </cell>
        </row>
        <row r="498">
          <cell r="A498">
            <v>497</v>
          </cell>
        </row>
        <row r="499">
          <cell r="A499">
            <v>498</v>
          </cell>
        </row>
        <row r="500">
          <cell r="A500">
            <v>499</v>
          </cell>
        </row>
        <row r="501">
          <cell r="A501">
            <v>500</v>
          </cell>
        </row>
        <row r="502">
          <cell r="A502">
            <v>501</v>
          </cell>
        </row>
        <row r="503">
          <cell r="A503">
            <v>502</v>
          </cell>
        </row>
        <row r="504">
          <cell r="A504">
            <v>503</v>
          </cell>
        </row>
        <row r="505">
          <cell r="A505">
            <v>504</v>
          </cell>
        </row>
        <row r="506">
          <cell r="A506">
            <v>505</v>
          </cell>
        </row>
        <row r="507">
          <cell r="A507">
            <v>506</v>
          </cell>
        </row>
        <row r="508">
          <cell r="A508">
            <v>507</v>
          </cell>
        </row>
        <row r="509">
          <cell r="A509">
            <v>508</v>
          </cell>
        </row>
        <row r="510">
          <cell r="A510">
            <v>509</v>
          </cell>
        </row>
        <row r="511">
          <cell r="A511">
            <v>510</v>
          </cell>
        </row>
        <row r="512">
          <cell r="A512">
            <v>511</v>
          </cell>
        </row>
        <row r="513">
          <cell r="A513">
            <v>512</v>
          </cell>
        </row>
        <row r="514">
          <cell r="A514">
            <v>513</v>
          </cell>
        </row>
        <row r="515">
          <cell r="A515">
            <v>514</v>
          </cell>
        </row>
        <row r="516">
          <cell r="A516">
            <v>515</v>
          </cell>
        </row>
        <row r="517">
          <cell r="A517">
            <v>516</v>
          </cell>
        </row>
        <row r="518">
          <cell r="A518">
            <v>517</v>
          </cell>
        </row>
        <row r="519">
          <cell r="A519">
            <v>518</v>
          </cell>
        </row>
        <row r="520">
          <cell r="A520">
            <v>519</v>
          </cell>
        </row>
        <row r="521">
          <cell r="A521">
            <v>520</v>
          </cell>
        </row>
        <row r="522">
          <cell r="A522">
            <v>521</v>
          </cell>
        </row>
        <row r="523">
          <cell r="A523">
            <v>522</v>
          </cell>
        </row>
        <row r="524">
          <cell r="A524">
            <v>523</v>
          </cell>
        </row>
        <row r="525">
          <cell r="A525">
            <v>524</v>
          </cell>
        </row>
        <row r="526">
          <cell r="A526">
            <v>525</v>
          </cell>
        </row>
        <row r="527">
          <cell r="A527">
            <v>526</v>
          </cell>
        </row>
        <row r="528">
          <cell r="A528">
            <v>527</v>
          </cell>
        </row>
        <row r="529">
          <cell r="A529">
            <v>528</v>
          </cell>
        </row>
        <row r="530">
          <cell r="A530">
            <v>529</v>
          </cell>
        </row>
        <row r="531">
          <cell r="A531">
            <v>530</v>
          </cell>
        </row>
        <row r="532">
          <cell r="A532">
            <v>531</v>
          </cell>
        </row>
        <row r="533">
          <cell r="A533">
            <v>532</v>
          </cell>
        </row>
        <row r="534">
          <cell r="A534">
            <v>533</v>
          </cell>
        </row>
        <row r="535">
          <cell r="A535">
            <v>534</v>
          </cell>
        </row>
        <row r="536">
          <cell r="A536">
            <v>535</v>
          </cell>
        </row>
        <row r="537">
          <cell r="A537">
            <v>536</v>
          </cell>
        </row>
        <row r="538">
          <cell r="A538">
            <v>537</v>
          </cell>
        </row>
        <row r="539">
          <cell r="A539">
            <v>538</v>
          </cell>
        </row>
        <row r="540">
          <cell r="A540">
            <v>539</v>
          </cell>
        </row>
        <row r="541">
          <cell r="A541">
            <v>540</v>
          </cell>
        </row>
        <row r="542">
          <cell r="A542">
            <v>541</v>
          </cell>
        </row>
        <row r="543">
          <cell r="A543">
            <v>542</v>
          </cell>
        </row>
        <row r="544">
          <cell r="A544">
            <v>543</v>
          </cell>
        </row>
        <row r="545">
          <cell r="A545">
            <v>544</v>
          </cell>
        </row>
        <row r="546">
          <cell r="A546">
            <v>545</v>
          </cell>
        </row>
        <row r="547">
          <cell r="A547">
            <v>546</v>
          </cell>
        </row>
        <row r="548">
          <cell r="A548">
            <v>547</v>
          </cell>
        </row>
        <row r="549">
          <cell r="A549">
            <v>548</v>
          </cell>
        </row>
        <row r="550">
          <cell r="A550">
            <v>549</v>
          </cell>
        </row>
        <row r="551">
          <cell r="A551">
            <v>550</v>
          </cell>
        </row>
        <row r="552">
          <cell r="A552">
            <v>551</v>
          </cell>
        </row>
        <row r="553">
          <cell r="A553">
            <v>552</v>
          </cell>
        </row>
        <row r="554">
          <cell r="A554">
            <v>553</v>
          </cell>
        </row>
        <row r="555">
          <cell r="A555">
            <v>554</v>
          </cell>
        </row>
        <row r="556">
          <cell r="A556">
            <v>555</v>
          </cell>
        </row>
        <row r="557">
          <cell r="A557">
            <v>556</v>
          </cell>
        </row>
        <row r="558">
          <cell r="A558">
            <v>557</v>
          </cell>
        </row>
        <row r="559">
          <cell r="A559">
            <v>558</v>
          </cell>
        </row>
        <row r="560">
          <cell r="A560">
            <v>559</v>
          </cell>
        </row>
        <row r="561">
          <cell r="A561">
            <v>560</v>
          </cell>
        </row>
        <row r="562">
          <cell r="A562">
            <v>561</v>
          </cell>
        </row>
        <row r="563">
          <cell r="A563">
            <v>562</v>
          </cell>
        </row>
        <row r="564">
          <cell r="A564">
            <v>563</v>
          </cell>
        </row>
        <row r="565">
          <cell r="A565">
            <v>564</v>
          </cell>
        </row>
        <row r="566">
          <cell r="A566">
            <v>565</v>
          </cell>
        </row>
        <row r="567">
          <cell r="A567">
            <v>566</v>
          </cell>
        </row>
        <row r="568">
          <cell r="A568">
            <v>567</v>
          </cell>
        </row>
        <row r="569">
          <cell r="A569">
            <v>568</v>
          </cell>
        </row>
        <row r="570">
          <cell r="A570">
            <v>569</v>
          </cell>
        </row>
        <row r="571">
          <cell r="A571">
            <v>570</v>
          </cell>
        </row>
        <row r="572">
          <cell r="A572">
            <v>571</v>
          </cell>
        </row>
        <row r="573">
          <cell r="A573">
            <v>572</v>
          </cell>
        </row>
        <row r="574">
          <cell r="A574">
            <v>573</v>
          </cell>
        </row>
        <row r="575">
          <cell r="A575">
            <v>574</v>
          </cell>
        </row>
        <row r="576">
          <cell r="A576">
            <v>575</v>
          </cell>
        </row>
        <row r="577">
          <cell r="A577">
            <v>576</v>
          </cell>
        </row>
        <row r="578">
          <cell r="A578">
            <v>577</v>
          </cell>
        </row>
        <row r="579">
          <cell r="A579">
            <v>578</v>
          </cell>
        </row>
        <row r="580">
          <cell r="A580">
            <v>579</v>
          </cell>
        </row>
        <row r="581">
          <cell r="A581">
            <v>580</v>
          </cell>
        </row>
        <row r="582">
          <cell r="A582">
            <v>581</v>
          </cell>
        </row>
        <row r="583">
          <cell r="A583">
            <v>582</v>
          </cell>
        </row>
        <row r="584">
          <cell r="A584">
            <v>583</v>
          </cell>
        </row>
        <row r="585">
          <cell r="A585">
            <v>584</v>
          </cell>
        </row>
        <row r="586">
          <cell r="A586">
            <v>585</v>
          </cell>
        </row>
        <row r="587">
          <cell r="A587">
            <v>586</v>
          </cell>
        </row>
        <row r="588">
          <cell r="A588">
            <v>587</v>
          </cell>
        </row>
        <row r="589">
          <cell r="A589">
            <v>588</v>
          </cell>
        </row>
        <row r="590">
          <cell r="A590">
            <v>589</v>
          </cell>
        </row>
        <row r="591">
          <cell r="A591">
            <v>590</v>
          </cell>
        </row>
        <row r="592">
          <cell r="A592">
            <v>591</v>
          </cell>
        </row>
        <row r="593">
          <cell r="A593">
            <v>592</v>
          </cell>
        </row>
        <row r="594">
          <cell r="A594">
            <v>593</v>
          </cell>
        </row>
        <row r="595">
          <cell r="A595">
            <v>594</v>
          </cell>
        </row>
        <row r="596">
          <cell r="A596">
            <v>595</v>
          </cell>
        </row>
        <row r="597">
          <cell r="A597">
            <v>596</v>
          </cell>
        </row>
        <row r="598">
          <cell r="A598">
            <v>597</v>
          </cell>
        </row>
        <row r="599">
          <cell r="A599">
            <v>598</v>
          </cell>
        </row>
        <row r="600">
          <cell r="A600">
            <v>599</v>
          </cell>
        </row>
        <row r="601">
          <cell r="A601">
            <v>600</v>
          </cell>
        </row>
        <row r="602">
          <cell r="A602">
            <v>601</v>
          </cell>
        </row>
        <row r="603">
          <cell r="A603">
            <v>602</v>
          </cell>
        </row>
        <row r="604">
          <cell r="A604">
            <v>603</v>
          </cell>
        </row>
        <row r="605">
          <cell r="A605">
            <v>604</v>
          </cell>
        </row>
        <row r="606">
          <cell r="A606">
            <v>605</v>
          </cell>
        </row>
        <row r="607">
          <cell r="A607">
            <v>606</v>
          </cell>
        </row>
        <row r="608">
          <cell r="A608">
            <v>607</v>
          </cell>
        </row>
        <row r="609">
          <cell r="A609">
            <v>608</v>
          </cell>
        </row>
        <row r="610">
          <cell r="A610">
            <v>609</v>
          </cell>
        </row>
        <row r="611">
          <cell r="A611">
            <v>610</v>
          </cell>
        </row>
        <row r="612">
          <cell r="A612">
            <v>611</v>
          </cell>
        </row>
        <row r="613">
          <cell r="A613">
            <v>612</v>
          </cell>
        </row>
        <row r="614">
          <cell r="A614">
            <v>613</v>
          </cell>
        </row>
        <row r="615">
          <cell r="A615">
            <v>614</v>
          </cell>
        </row>
        <row r="616">
          <cell r="A616">
            <v>615</v>
          </cell>
        </row>
        <row r="617">
          <cell r="A617">
            <v>616</v>
          </cell>
        </row>
        <row r="618">
          <cell r="A618">
            <v>617</v>
          </cell>
        </row>
        <row r="619">
          <cell r="A619">
            <v>618</v>
          </cell>
        </row>
        <row r="620">
          <cell r="A620">
            <v>619</v>
          </cell>
        </row>
        <row r="621">
          <cell r="A621">
            <v>620</v>
          </cell>
        </row>
        <row r="622">
          <cell r="A622">
            <v>621</v>
          </cell>
        </row>
        <row r="623">
          <cell r="A623">
            <v>622</v>
          </cell>
        </row>
        <row r="624">
          <cell r="A624">
            <v>623</v>
          </cell>
        </row>
        <row r="625">
          <cell r="A625">
            <v>624</v>
          </cell>
        </row>
        <row r="626">
          <cell r="A626">
            <v>625</v>
          </cell>
        </row>
        <row r="627">
          <cell r="A627">
            <v>626</v>
          </cell>
        </row>
        <row r="628">
          <cell r="A628">
            <v>627</v>
          </cell>
        </row>
        <row r="629">
          <cell r="A629">
            <v>628</v>
          </cell>
        </row>
        <row r="630">
          <cell r="A630">
            <v>629</v>
          </cell>
        </row>
        <row r="631">
          <cell r="A631">
            <v>630</v>
          </cell>
        </row>
        <row r="632">
          <cell r="A632">
            <v>631</v>
          </cell>
        </row>
        <row r="633">
          <cell r="A633">
            <v>632</v>
          </cell>
        </row>
        <row r="634">
          <cell r="A634">
            <v>633</v>
          </cell>
        </row>
        <row r="635">
          <cell r="A635">
            <v>634</v>
          </cell>
        </row>
        <row r="636">
          <cell r="A636">
            <v>635</v>
          </cell>
        </row>
        <row r="637">
          <cell r="A637">
            <v>636</v>
          </cell>
        </row>
        <row r="638">
          <cell r="A638">
            <v>637</v>
          </cell>
        </row>
        <row r="639">
          <cell r="A639">
            <v>638</v>
          </cell>
        </row>
        <row r="640">
          <cell r="A640">
            <v>639</v>
          </cell>
        </row>
        <row r="641">
          <cell r="A641">
            <v>640</v>
          </cell>
        </row>
        <row r="642">
          <cell r="A642">
            <v>641</v>
          </cell>
        </row>
        <row r="643">
          <cell r="A643">
            <v>642</v>
          </cell>
        </row>
        <row r="644">
          <cell r="A644">
            <v>643</v>
          </cell>
        </row>
        <row r="645">
          <cell r="A645">
            <v>644</v>
          </cell>
        </row>
        <row r="646">
          <cell r="A646">
            <v>645</v>
          </cell>
        </row>
        <row r="647">
          <cell r="A647">
            <v>646</v>
          </cell>
        </row>
        <row r="648">
          <cell r="A648">
            <v>647</v>
          </cell>
        </row>
        <row r="649">
          <cell r="A649">
            <v>648</v>
          </cell>
        </row>
        <row r="650">
          <cell r="A650">
            <v>649</v>
          </cell>
        </row>
        <row r="651">
          <cell r="A651">
            <v>650</v>
          </cell>
        </row>
        <row r="652">
          <cell r="A652">
            <v>651</v>
          </cell>
        </row>
        <row r="653">
          <cell r="A653">
            <v>652</v>
          </cell>
        </row>
        <row r="654">
          <cell r="A654">
            <v>653</v>
          </cell>
        </row>
        <row r="655">
          <cell r="A655">
            <v>654</v>
          </cell>
        </row>
        <row r="656">
          <cell r="A656">
            <v>655</v>
          </cell>
        </row>
        <row r="657">
          <cell r="A657">
            <v>656</v>
          </cell>
        </row>
        <row r="658">
          <cell r="A658">
            <v>657</v>
          </cell>
        </row>
        <row r="659">
          <cell r="A659">
            <v>658</v>
          </cell>
        </row>
        <row r="660">
          <cell r="A660">
            <v>659</v>
          </cell>
        </row>
        <row r="661">
          <cell r="A661">
            <v>660</v>
          </cell>
        </row>
        <row r="662">
          <cell r="A662">
            <v>661</v>
          </cell>
        </row>
        <row r="663">
          <cell r="A663">
            <v>662</v>
          </cell>
        </row>
        <row r="664">
          <cell r="A664">
            <v>663</v>
          </cell>
        </row>
        <row r="665">
          <cell r="A665">
            <v>664</v>
          </cell>
        </row>
        <row r="666">
          <cell r="A666">
            <v>665</v>
          </cell>
        </row>
        <row r="667">
          <cell r="A667">
            <v>666</v>
          </cell>
        </row>
        <row r="668">
          <cell r="A668">
            <v>667</v>
          </cell>
        </row>
        <row r="669">
          <cell r="A669">
            <v>668</v>
          </cell>
        </row>
        <row r="670">
          <cell r="A670">
            <v>669</v>
          </cell>
        </row>
        <row r="671">
          <cell r="A671">
            <v>670</v>
          </cell>
        </row>
        <row r="672">
          <cell r="A672">
            <v>671</v>
          </cell>
        </row>
        <row r="673">
          <cell r="A673">
            <v>672</v>
          </cell>
        </row>
        <row r="674">
          <cell r="A674">
            <v>673</v>
          </cell>
        </row>
        <row r="675">
          <cell r="A675">
            <v>674</v>
          </cell>
        </row>
        <row r="676">
          <cell r="A676">
            <v>675</v>
          </cell>
        </row>
        <row r="677">
          <cell r="A677">
            <v>676</v>
          </cell>
        </row>
        <row r="678">
          <cell r="A678">
            <v>677</v>
          </cell>
        </row>
        <row r="679">
          <cell r="A679">
            <v>678</v>
          </cell>
        </row>
        <row r="680">
          <cell r="A680">
            <v>679</v>
          </cell>
        </row>
        <row r="681">
          <cell r="A681">
            <v>680</v>
          </cell>
        </row>
        <row r="682">
          <cell r="A682">
            <v>681</v>
          </cell>
        </row>
        <row r="683">
          <cell r="A683">
            <v>682</v>
          </cell>
        </row>
        <row r="684">
          <cell r="A684">
            <v>683</v>
          </cell>
        </row>
        <row r="685">
          <cell r="A685">
            <v>684</v>
          </cell>
        </row>
        <row r="686">
          <cell r="A686">
            <v>685</v>
          </cell>
        </row>
        <row r="687">
          <cell r="A687">
            <v>686</v>
          </cell>
        </row>
        <row r="688">
          <cell r="A688">
            <v>687</v>
          </cell>
        </row>
        <row r="689">
          <cell r="A689">
            <v>688</v>
          </cell>
        </row>
        <row r="690">
          <cell r="A690">
            <v>689</v>
          </cell>
        </row>
        <row r="691">
          <cell r="A691">
            <v>690</v>
          </cell>
        </row>
        <row r="692">
          <cell r="A692">
            <v>691</v>
          </cell>
        </row>
        <row r="693">
          <cell r="A693">
            <v>692</v>
          </cell>
        </row>
        <row r="694">
          <cell r="A694">
            <v>693</v>
          </cell>
        </row>
        <row r="695">
          <cell r="A695">
            <v>694</v>
          </cell>
        </row>
        <row r="696">
          <cell r="A696">
            <v>695</v>
          </cell>
        </row>
        <row r="697">
          <cell r="A697">
            <v>696</v>
          </cell>
        </row>
        <row r="698">
          <cell r="A698">
            <v>697</v>
          </cell>
        </row>
        <row r="699">
          <cell r="A699">
            <v>698</v>
          </cell>
        </row>
        <row r="700">
          <cell r="A700">
            <v>699</v>
          </cell>
        </row>
        <row r="701">
          <cell r="A701">
            <v>700</v>
          </cell>
        </row>
        <row r="702">
          <cell r="A702">
            <v>701</v>
          </cell>
        </row>
        <row r="703">
          <cell r="A703">
            <v>702</v>
          </cell>
        </row>
        <row r="704">
          <cell r="A704">
            <v>703</v>
          </cell>
        </row>
        <row r="705">
          <cell r="A705">
            <v>704</v>
          </cell>
        </row>
        <row r="706">
          <cell r="A706">
            <v>705</v>
          </cell>
        </row>
        <row r="707">
          <cell r="A707">
            <v>706</v>
          </cell>
        </row>
        <row r="708">
          <cell r="A708">
            <v>707</v>
          </cell>
        </row>
        <row r="709">
          <cell r="A709">
            <v>708</v>
          </cell>
        </row>
        <row r="710">
          <cell r="A710">
            <v>709</v>
          </cell>
        </row>
        <row r="711">
          <cell r="A711">
            <v>710</v>
          </cell>
        </row>
        <row r="712">
          <cell r="A712">
            <v>711</v>
          </cell>
        </row>
        <row r="713">
          <cell r="A713">
            <v>712</v>
          </cell>
        </row>
        <row r="714">
          <cell r="A714">
            <v>713</v>
          </cell>
        </row>
        <row r="715">
          <cell r="A715">
            <v>714</v>
          </cell>
        </row>
        <row r="716">
          <cell r="A716">
            <v>715</v>
          </cell>
        </row>
        <row r="717">
          <cell r="A717">
            <v>716</v>
          </cell>
        </row>
        <row r="718">
          <cell r="A718">
            <v>717</v>
          </cell>
        </row>
        <row r="719">
          <cell r="A719">
            <v>718</v>
          </cell>
        </row>
        <row r="720">
          <cell r="A720">
            <v>719</v>
          </cell>
        </row>
        <row r="721">
          <cell r="A721">
            <v>720</v>
          </cell>
        </row>
        <row r="722">
          <cell r="A722">
            <v>721</v>
          </cell>
        </row>
        <row r="723">
          <cell r="A723">
            <v>722</v>
          </cell>
        </row>
        <row r="724">
          <cell r="A724">
            <v>723</v>
          </cell>
        </row>
        <row r="725">
          <cell r="A725">
            <v>724</v>
          </cell>
        </row>
        <row r="726">
          <cell r="A726">
            <v>725</v>
          </cell>
        </row>
        <row r="727">
          <cell r="A727">
            <v>726</v>
          </cell>
        </row>
        <row r="728">
          <cell r="A728">
            <v>727</v>
          </cell>
        </row>
        <row r="729">
          <cell r="A729">
            <v>728</v>
          </cell>
        </row>
        <row r="730">
          <cell r="A730">
            <v>729</v>
          </cell>
        </row>
        <row r="731">
          <cell r="A731">
            <v>730</v>
          </cell>
        </row>
        <row r="732">
          <cell r="A732">
            <v>731</v>
          </cell>
        </row>
        <row r="733">
          <cell r="A733">
            <v>732</v>
          </cell>
        </row>
        <row r="734">
          <cell r="A734">
            <v>733</v>
          </cell>
        </row>
        <row r="735">
          <cell r="A735">
            <v>734</v>
          </cell>
        </row>
        <row r="736">
          <cell r="A736">
            <v>735</v>
          </cell>
        </row>
        <row r="737">
          <cell r="A737">
            <v>736</v>
          </cell>
        </row>
        <row r="738">
          <cell r="A738">
            <v>737</v>
          </cell>
        </row>
        <row r="739">
          <cell r="A739">
            <v>738</v>
          </cell>
        </row>
        <row r="740">
          <cell r="A740">
            <v>739</v>
          </cell>
        </row>
        <row r="741">
          <cell r="A741">
            <v>740</v>
          </cell>
        </row>
        <row r="742">
          <cell r="A742">
            <v>741</v>
          </cell>
        </row>
        <row r="743">
          <cell r="A743">
            <v>742</v>
          </cell>
        </row>
        <row r="744">
          <cell r="A744">
            <v>743</v>
          </cell>
        </row>
        <row r="745">
          <cell r="A745">
            <v>744</v>
          </cell>
        </row>
        <row r="746">
          <cell r="A746">
            <v>745</v>
          </cell>
        </row>
        <row r="747">
          <cell r="A747">
            <v>746</v>
          </cell>
        </row>
        <row r="748">
          <cell r="A748">
            <v>747</v>
          </cell>
        </row>
        <row r="749">
          <cell r="A749">
            <v>748</v>
          </cell>
        </row>
        <row r="750">
          <cell r="A750">
            <v>749</v>
          </cell>
        </row>
        <row r="751">
          <cell r="A751">
            <v>750</v>
          </cell>
        </row>
        <row r="752">
          <cell r="A752">
            <v>751</v>
          </cell>
        </row>
        <row r="753">
          <cell r="A753">
            <v>752</v>
          </cell>
        </row>
        <row r="754">
          <cell r="A754">
            <v>753</v>
          </cell>
        </row>
        <row r="755">
          <cell r="A755">
            <v>754</v>
          </cell>
        </row>
        <row r="756">
          <cell r="A756">
            <v>755</v>
          </cell>
        </row>
        <row r="757">
          <cell r="A757">
            <v>756</v>
          </cell>
        </row>
        <row r="758">
          <cell r="A758">
            <v>757</v>
          </cell>
        </row>
        <row r="759">
          <cell r="A759">
            <v>758</v>
          </cell>
        </row>
        <row r="760">
          <cell r="A760">
            <v>759</v>
          </cell>
        </row>
        <row r="761">
          <cell r="A761">
            <v>760</v>
          </cell>
        </row>
        <row r="762">
          <cell r="A762">
            <v>761</v>
          </cell>
        </row>
        <row r="763">
          <cell r="A763">
            <v>762</v>
          </cell>
        </row>
        <row r="764">
          <cell r="A764">
            <v>763</v>
          </cell>
        </row>
        <row r="765">
          <cell r="A765">
            <v>764</v>
          </cell>
        </row>
        <row r="766">
          <cell r="A766">
            <v>765</v>
          </cell>
        </row>
        <row r="767">
          <cell r="A767">
            <v>766</v>
          </cell>
        </row>
        <row r="768">
          <cell r="A768">
            <v>767</v>
          </cell>
        </row>
        <row r="769">
          <cell r="A769">
            <v>768</v>
          </cell>
        </row>
        <row r="770">
          <cell r="A770">
            <v>769</v>
          </cell>
        </row>
        <row r="771">
          <cell r="A771">
            <v>770</v>
          </cell>
        </row>
        <row r="772">
          <cell r="A772">
            <v>771</v>
          </cell>
        </row>
        <row r="773">
          <cell r="A773">
            <v>772</v>
          </cell>
        </row>
        <row r="774">
          <cell r="A774">
            <v>773</v>
          </cell>
        </row>
        <row r="775">
          <cell r="A775">
            <v>774</v>
          </cell>
        </row>
        <row r="776">
          <cell r="A776">
            <v>775</v>
          </cell>
        </row>
        <row r="777">
          <cell r="A777">
            <v>776</v>
          </cell>
        </row>
        <row r="778">
          <cell r="A778">
            <v>777</v>
          </cell>
        </row>
        <row r="779">
          <cell r="A779">
            <v>778</v>
          </cell>
        </row>
        <row r="780">
          <cell r="A780">
            <v>779</v>
          </cell>
        </row>
        <row r="781">
          <cell r="A781">
            <v>780</v>
          </cell>
        </row>
        <row r="782">
          <cell r="A782">
            <v>781</v>
          </cell>
        </row>
        <row r="783">
          <cell r="A783">
            <v>782</v>
          </cell>
        </row>
        <row r="784">
          <cell r="A784">
            <v>783</v>
          </cell>
        </row>
        <row r="785">
          <cell r="A785">
            <v>784</v>
          </cell>
        </row>
        <row r="786">
          <cell r="A786">
            <v>785</v>
          </cell>
        </row>
        <row r="787">
          <cell r="A787">
            <v>786</v>
          </cell>
        </row>
        <row r="788">
          <cell r="A788">
            <v>787</v>
          </cell>
        </row>
        <row r="789">
          <cell r="A789">
            <v>788</v>
          </cell>
        </row>
        <row r="790">
          <cell r="A790">
            <v>789</v>
          </cell>
        </row>
        <row r="791">
          <cell r="A791">
            <v>790</v>
          </cell>
        </row>
        <row r="792">
          <cell r="A792">
            <v>791</v>
          </cell>
        </row>
        <row r="793">
          <cell r="A793">
            <v>792</v>
          </cell>
        </row>
        <row r="794">
          <cell r="A794">
            <v>793</v>
          </cell>
        </row>
        <row r="795">
          <cell r="A795">
            <v>794</v>
          </cell>
        </row>
        <row r="796">
          <cell r="A796">
            <v>795</v>
          </cell>
        </row>
        <row r="797">
          <cell r="A797">
            <v>796</v>
          </cell>
        </row>
        <row r="798">
          <cell r="A798">
            <v>797</v>
          </cell>
        </row>
        <row r="799">
          <cell r="A799">
            <v>798</v>
          </cell>
        </row>
        <row r="800">
          <cell r="A800">
            <v>799</v>
          </cell>
        </row>
        <row r="801">
          <cell r="A801">
            <v>800</v>
          </cell>
        </row>
        <row r="802">
          <cell r="A802">
            <v>801</v>
          </cell>
        </row>
        <row r="803">
          <cell r="A803">
            <v>802</v>
          </cell>
        </row>
        <row r="804">
          <cell r="A804">
            <v>803</v>
          </cell>
        </row>
        <row r="805">
          <cell r="A805">
            <v>804</v>
          </cell>
        </row>
        <row r="806">
          <cell r="A806">
            <v>805</v>
          </cell>
        </row>
        <row r="807">
          <cell r="A807">
            <v>806</v>
          </cell>
        </row>
        <row r="808">
          <cell r="A808">
            <v>807</v>
          </cell>
        </row>
        <row r="809">
          <cell r="A809">
            <v>808</v>
          </cell>
        </row>
        <row r="810">
          <cell r="A810">
            <v>809</v>
          </cell>
        </row>
        <row r="811">
          <cell r="A811">
            <v>810</v>
          </cell>
        </row>
        <row r="812">
          <cell r="A812">
            <v>811</v>
          </cell>
        </row>
        <row r="813">
          <cell r="A813">
            <v>812</v>
          </cell>
        </row>
        <row r="814">
          <cell r="A814">
            <v>813</v>
          </cell>
        </row>
        <row r="815">
          <cell r="A815">
            <v>814</v>
          </cell>
        </row>
        <row r="816">
          <cell r="A816">
            <v>815</v>
          </cell>
        </row>
        <row r="817">
          <cell r="A817">
            <v>816</v>
          </cell>
        </row>
        <row r="818">
          <cell r="A818">
            <v>817</v>
          </cell>
        </row>
        <row r="819">
          <cell r="A819">
            <v>818</v>
          </cell>
        </row>
        <row r="820">
          <cell r="A820">
            <v>819</v>
          </cell>
        </row>
        <row r="821">
          <cell r="A821">
            <v>820</v>
          </cell>
        </row>
        <row r="822">
          <cell r="A822">
            <v>821</v>
          </cell>
        </row>
        <row r="823">
          <cell r="A823">
            <v>822</v>
          </cell>
        </row>
        <row r="824">
          <cell r="A824">
            <v>823</v>
          </cell>
        </row>
        <row r="825">
          <cell r="A825">
            <v>824</v>
          </cell>
        </row>
        <row r="826">
          <cell r="A826">
            <v>825</v>
          </cell>
        </row>
        <row r="827">
          <cell r="A827">
            <v>826</v>
          </cell>
        </row>
        <row r="828">
          <cell r="A828">
            <v>827</v>
          </cell>
        </row>
        <row r="829">
          <cell r="A829">
            <v>828</v>
          </cell>
        </row>
        <row r="830">
          <cell r="A830">
            <v>829</v>
          </cell>
        </row>
        <row r="831">
          <cell r="A831">
            <v>830</v>
          </cell>
        </row>
        <row r="832">
          <cell r="A832">
            <v>831</v>
          </cell>
        </row>
        <row r="833">
          <cell r="A833">
            <v>832</v>
          </cell>
        </row>
        <row r="834">
          <cell r="A834">
            <v>833</v>
          </cell>
        </row>
        <row r="835">
          <cell r="A835">
            <v>834</v>
          </cell>
        </row>
        <row r="836">
          <cell r="A836">
            <v>835</v>
          </cell>
        </row>
        <row r="837">
          <cell r="A837">
            <v>836</v>
          </cell>
        </row>
        <row r="838">
          <cell r="A838">
            <v>837</v>
          </cell>
        </row>
        <row r="839">
          <cell r="A839">
            <v>838</v>
          </cell>
        </row>
        <row r="840">
          <cell r="A840">
            <v>839</v>
          </cell>
        </row>
        <row r="841">
          <cell r="A841">
            <v>840</v>
          </cell>
        </row>
        <row r="842">
          <cell r="A842">
            <v>841</v>
          </cell>
        </row>
        <row r="843">
          <cell r="A843">
            <v>842</v>
          </cell>
        </row>
        <row r="844">
          <cell r="A844">
            <v>843</v>
          </cell>
        </row>
        <row r="845">
          <cell r="A845">
            <v>844</v>
          </cell>
        </row>
        <row r="846">
          <cell r="A846">
            <v>845</v>
          </cell>
        </row>
        <row r="847">
          <cell r="A847">
            <v>846</v>
          </cell>
        </row>
        <row r="848">
          <cell r="A848">
            <v>847</v>
          </cell>
        </row>
        <row r="849">
          <cell r="A849">
            <v>848</v>
          </cell>
        </row>
        <row r="850">
          <cell r="A850">
            <v>849</v>
          </cell>
        </row>
        <row r="851">
          <cell r="A851">
            <v>850</v>
          </cell>
        </row>
        <row r="852">
          <cell r="A852">
            <v>851</v>
          </cell>
        </row>
        <row r="853">
          <cell r="A853">
            <v>852</v>
          </cell>
        </row>
        <row r="854">
          <cell r="A854">
            <v>853</v>
          </cell>
        </row>
        <row r="855">
          <cell r="A855">
            <v>854</v>
          </cell>
        </row>
        <row r="856">
          <cell r="A856">
            <v>855</v>
          </cell>
        </row>
        <row r="857">
          <cell r="A857">
            <v>856</v>
          </cell>
        </row>
        <row r="858">
          <cell r="A858">
            <v>857</v>
          </cell>
        </row>
        <row r="859">
          <cell r="A859">
            <v>858</v>
          </cell>
        </row>
        <row r="860">
          <cell r="A860">
            <v>859</v>
          </cell>
        </row>
        <row r="861">
          <cell r="A861">
            <v>860</v>
          </cell>
        </row>
        <row r="862">
          <cell r="A862">
            <v>861</v>
          </cell>
        </row>
        <row r="863">
          <cell r="A863">
            <v>862</v>
          </cell>
        </row>
        <row r="864">
          <cell r="A864">
            <v>863</v>
          </cell>
        </row>
        <row r="865">
          <cell r="A865">
            <v>864</v>
          </cell>
        </row>
        <row r="866">
          <cell r="A866">
            <v>865</v>
          </cell>
        </row>
        <row r="867">
          <cell r="A867">
            <v>866</v>
          </cell>
        </row>
        <row r="868">
          <cell r="A868">
            <v>867</v>
          </cell>
        </row>
        <row r="869">
          <cell r="A869">
            <v>868</v>
          </cell>
        </row>
        <row r="870">
          <cell r="A870">
            <v>869</v>
          </cell>
        </row>
        <row r="871">
          <cell r="A871">
            <v>870</v>
          </cell>
        </row>
        <row r="872">
          <cell r="A872">
            <v>871</v>
          </cell>
        </row>
        <row r="873">
          <cell r="A873">
            <v>872</v>
          </cell>
        </row>
        <row r="874">
          <cell r="A874">
            <v>873</v>
          </cell>
        </row>
        <row r="875">
          <cell r="A875">
            <v>874</v>
          </cell>
        </row>
        <row r="876">
          <cell r="A876">
            <v>875</v>
          </cell>
        </row>
        <row r="877">
          <cell r="A877">
            <v>876</v>
          </cell>
        </row>
        <row r="878">
          <cell r="A878">
            <v>877</v>
          </cell>
        </row>
        <row r="879">
          <cell r="A879">
            <v>878</v>
          </cell>
        </row>
        <row r="880">
          <cell r="A880">
            <v>879</v>
          </cell>
        </row>
        <row r="881">
          <cell r="A881">
            <v>880</v>
          </cell>
        </row>
        <row r="882">
          <cell r="A882">
            <v>881</v>
          </cell>
        </row>
        <row r="883">
          <cell r="A883">
            <v>882</v>
          </cell>
        </row>
        <row r="884">
          <cell r="A884">
            <v>883</v>
          </cell>
        </row>
        <row r="885">
          <cell r="A885">
            <v>884</v>
          </cell>
        </row>
        <row r="886">
          <cell r="A886">
            <v>885</v>
          </cell>
        </row>
        <row r="887">
          <cell r="A887">
            <v>886</v>
          </cell>
        </row>
        <row r="888">
          <cell r="A888">
            <v>887</v>
          </cell>
        </row>
        <row r="889">
          <cell r="A889">
            <v>888</v>
          </cell>
        </row>
        <row r="890">
          <cell r="A890">
            <v>889</v>
          </cell>
        </row>
        <row r="891">
          <cell r="A891">
            <v>890</v>
          </cell>
        </row>
        <row r="892">
          <cell r="A892">
            <v>891</v>
          </cell>
        </row>
        <row r="893">
          <cell r="A893">
            <v>892</v>
          </cell>
        </row>
        <row r="894">
          <cell r="A894">
            <v>893</v>
          </cell>
        </row>
        <row r="895">
          <cell r="A895">
            <v>894</v>
          </cell>
        </row>
        <row r="896">
          <cell r="A896">
            <v>895</v>
          </cell>
        </row>
        <row r="897">
          <cell r="A897">
            <v>896</v>
          </cell>
        </row>
        <row r="898">
          <cell r="A898">
            <v>897</v>
          </cell>
        </row>
        <row r="899">
          <cell r="A899">
            <v>898</v>
          </cell>
        </row>
        <row r="900">
          <cell r="A900">
            <v>899</v>
          </cell>
        </row>
        <row r="901">
          <cell r="A901">
            <v>900</v>
          </cell>
        </row>
        <row r="902">
          <cell r="A902">
            <v>901</v>
          </cell>
        </row>
        <row r="903">
          <cell r="A903">
            <v>902</v>
          </cell>
        </row>
        <row r="904">
          <cell r="A904">
            <v>903</v>
          </cell>
        </row>
        <row r="905">
          <cell r="A905">
            <v>904</v>
          </cell>
        </row>
        <row r="906">
          <cell r="A906">
            <v>905</v>
          </cell>
        </row>
        <row r="907">
          <cell r="A907">
            <v>906</v>
          </cell>
        </row>
        <row r="908">
          <cell r="A908">
            <v>907</v>
          </cell>
        </row>
        <row r="909">
          <cell r="A909">
            <v>908</v>
          </cell>
        </row>
        <row r="910">
          <cell r="A910">
            <v>909</v>
          </cell>
        </row>
        <row r="911">
          <cell r="A911">
            <v>910</v>
          </cell>
        </row>
        <row r="912">
          <cell r="A912">
            <v>911</v>
          </cell>
        </row>
        <row r="913">
          <cell r="A913">
            <v>912</v>
          </cell>
        </row>
        <row r="914">
          <cell r="A914">
            <v>913</v>
          </cell>
        </row>
        <row r="915">
          <cell r="A915">
            <v>914</v>
          </cell>
        </row>
        <row r="916">
          <cell r="A916">
            <v>915</v>
          </cell>
        </row>
        <row r="917">
          <cell r="A917">
            <v>916</v>
          </cell>
        </row>
        <row r="918">
          <cell r="A918">
            <v>917</v>
          </cell>
        </row>
        <row r="919">
          <cell r="A919">
            <v>918</v>
          </cell>
        </row>
        <row r="920">
          <cell r="A920">
            <v>919</v>
          </cell>
        </row>
        <row r="921">
          <cell r="A921">
            <v>920</v>
          </cell>
        </row>
        <row r="922">
          <cell r="A922">
            <v>921</v>
          </cell>
        </row>
        <row r="923">
          <cell r="A923">
            <v>922</v>
          </cell>
        </row>
        <row r="924">
          <cell r="A924">
            <v>923</v>
          </cell>
        </row>
        <row r="925">
          <cell r="A925">
            <v>924</v>
          </cell>
        </row>
        <row r="926">
          <cell r="A926">
            <v>925</v>
          </cell>
        </row>
        <row r="927">
          <cell r="A927">
            <v>926</v>
          </cell>
        </row>
        <row r="928">
          <cell r="A928">
            <v>927</v>
          </cell>
        </row>
        <row r="929">
          <cell r="A929">
            <v>928</v>
          </cell>
        </row>
        <row r="930">
          <cell r="A930">
            <v>929</v>
          </cell>
        </row>
        <row r="931">
          <cell r="A931">
            <v>930</v>
          </cell>
        </row>
        <row r="932">
          <cell r="A932">
            <v>931</v>
          </cell>
        </row>
        <row r="933">
          <cell r="A933">
            <v>932</v>
          </cell>
        </row>
        <row r="934">
          <cell r="A934">
            <v>933</v>
          </cell>
        </row>
        <row r="935">
          <cell r="A935">
            <v>934</v>
          </cell>
        </row>
        <row r="936">
          <cell r="A936">
            <v>935</v>
          </cell>
        </row>
        <row r="937">
          <cell r="A937">
            <v>936</v>
          </cell>
        </row>
        <row r="938">
          <cell r="A938">
            <v>937</v>
          </cell>
        </row>
        <row r="939">
          <cell r="A939">
            <v>938</v>
          </cell>
        </row>
        <row r="940">
          <cell r="A940">
            <v>939</v>
          </cell>
        </row>
        <row r="941">
          <cell r="A941">
            <v>940</v>
          </cell>
        </row>
        <row r="942">
          <cell r="A942">
            <v>941</v>
          </cell>
        </row>
        <row r="943">
          <cell r="A943">
            <v>942</v>
          </cell>
        </row>
        <row r="944">
          <cell r="A944">
            <v>943</v>
          </cell>
        </row>
        <row r="945">
          <cell r="A945">
            <v>944</v>
          </cell>
        </row>
        <row r="946">
          <cell r="A946">
            <v>945</v>
          </cell>
        </row>
        <row r="947">
          <cell r="A947">
            <v>946</v>
          </cell>
        </row>
        <row r="948">
          <cell r="A948">
            <v>947</v>
          </cell>
        </row>
        <row r="949">
          <cell r="A949">
            <v>948</v>
          </cell>
        </row>
        <row r="950">
          <cell r="A950">
            <v>949</v>
          </cell>
        </row>
        <row r="951">
          <cell r="A951">
            <v>950</v>
          </cell>
        </row>
        <row r="952">
          <cell r="A952">
            <v>951</v>
          </cell>
        </row>
        <row r="953">
          <cell r="A953">
            <v>952</v>
          </cell>
        </row>
        <row r="954">
          <cell r="A954">
            <v>953</v>
          </cell>
        </row>
        <row r="955">
          <cell r="A955">
            <v>954</v>
          </cell>
        </row>
        <row r="956">
          <cell r="A956">
            <v>955</v>
          </cell>
        </row>
        <row r="957">
          <cell r="A957">
            <v>956</v>
          </cell>
        </row>
        <row r="958">
          <cell r="A958">
            <v>957</v>
          </cell>
        </row>
        <row r="959">
          <cell r="A959">
            <v>958</v>
          </cell>
        </row>
        <row r="960">
          <cell r="A960">
            <v>959</v>
          </cell>
        </row>
        <row r="961">
          <cell r="A961">
            <v>960</v>
          </cell>
        </row>
        <row r="962">
          <cell r="A962">
            <v>961</v>
          </cell>
        </row>
        <row r="963">
          <cell r="A963">
            <v>962</v>
          </cell>
        </row>
        <row r="964">
          <cell r="A964">
            <v>963</v>
          </cell>
        </row>
        <row r="965">
          <cell r="A965">
            <v>964</v>
          </cell>
        </row>
        <row r="966">
          <cell r="A966">
            <v>965</v>
          </cell>
        </row>
        <row r="967">
          <cell r="A967">
            <v>966</v>
          </cell>
        </row>
        <row r="968">
          <cell r="A968">
            <v>967</v>
          </cell>
        </row>
        <row r="969">
          <cell r="A969">
            <v>968</v>
          </cell>
        </row>
        <row r="970">
          <cell r="A970">
            <v>969</v>
          </cell>
        </row>
        <row r="971">
          <cell r="A971">
            <v>970</v>
          </cell>
        </row>
        <row r="972">
          <cell r="A972">
            <v>971</v>
          </cell>
        </row>
        <row r="973">
          <cell r="A973">
            <v>972</v>
          </cell>
        </row>
        <row r="974">
          <cell r="A974">
            <v>973</v>
          </cell>
        </row>
        <row r="975">
          <cell r="A975">
            <v>974</v>
          </cell>
        </row>
        <row r="976">
          <cell r="A976">
            <v>975</v>
          </cell>
        </row>
        <row r="977">
          <cell r="A977">
            <v>976</v>
          </cell>
        </row>
        <row r="978">
          <cell r="A978">
            <v>977</v>
          </cell>
        </row>
        <row r="979">
          <cell r="A979">
            <v>978</v>
          </cell>
        </row>
        <row r="980">
          <cell r="A980">
            <v>979</v>
          </cell>
        </row>
        <row r="981">
          <cell r="A981">
            <v>980</v>
          </cell>
        </row>
        <row r="982">
          <cell r="A982">
            <v>981</v>
          </cell>
        </row>
        <row r="983">
          <cell r="A983">
            <v>982</v>
          </cell>
        </row>
        <row r="984">
          <cell r="A984">
            <v>983</v>
          </cell>
        </row>
        <row r="985">
          <cell r="A985">
            <v>984</v>
          </cell>
        </row>
        <row r="986">
          <cell r="A986">
            <v>985</v>
          </cell>
        </row>
        <row r="987">
          <cell r="A987">
            <v>986</v>
          </cell>
        </row>
        <row r="988">
          <cell r="A988">
            <v>987</v>
          </cell>
        </row>
        <row r="989">
          <cell r="A989">
            <v>988</v>
          </cell>
        </row>
        <row r="990">
          <cell r="A990">
            <v>989</v>
          </cell>
        </row>
        <row r="991">
          <cell r="A991">
            <v>990</v>
          </cell>
        </row>
        <row r="992">
          <cell r="A992">
            <v>991</v>
          </cell>
        </row>
        <row r="993">
          <cell r="A993">
            <v>992</v>
          </cell>
        </row>
        <row r="994">
          <cell r="A994">
            <v>993</v>
          </cell>
        </row>
        <row r="995">
          <cell r="A995">
            <v>994</v>
          </cell>
        </row>
        <row r="996">
          <cell r="A996">
            <v>995</v>
          </cell>
        </row>
        <row r="997">
          <cell r="A997">
            <v>996</v>
          </cell>
        </row>
        <row r="998">
          <cell r="A998">
            <v>997</v>
          </cell>
        </row>
        <row r="999">
          <cell r="A999">
            <v>998</v>
          </cell>
        </row>
        <row r="1000">
          <cell r="A1000">
            <v>999</v>
          </cell>
        </row>
        <row r="1001">
          <cell r="A1001">
            <v>1000</v>
          </cell>
        </row>
        <row r="1002">
          <cell r="A1002">
            <v>1001</v>
          </cell>
        </row>
        <row r="1003">
          <cell r="A1003">
            <v>1002</v>
          </cell>
        </row>
        <row r="1004">
          <cell r="A1004">
            <v>1003</v>
          </cell>
        </row>
        <row r="1005">
          <cell r="A1005">
            <v>1004</v>
          </cell>
        </row>
        <row r="1006">
          <cell r="A1006">
            <v>1005</v>
          </cell>
        </row>
        <row r="1007">
          <cell r="A1007">
            <v>1006</v>
          </cell>
        </row>
        <row r="1008">
          <cell r="A1008">
            <v>1007</v>
          </cell>
        </row>
        <row r="1009">
          <cell r="A1009">
            <v>1008</v>
          </cell>
        </row>
        <row r="1010">
          <cell r="A1010">
            <v>1009</v>
          </cell>
        </row>
        <row r="1011">
          <cell r="A1011">
            <v>1010</v>
          </cell>
        </row>
        <row r="1012">
          <cell r="A1012">
            <v>1011</v>
          </cell>
        </row>
        <row r="1013">
          <cell r="A1013">
            <v>1012</v>
          </cell>
        </row>
        <row r="1014">
          <cell r="A1014">
            <v>1013</v>
          </cell>
        </row>
        <row r="1015">
          <cell r="A1015">
            <v>1014</v>
          </cell>
        </row>
        <row r="1016">
          <cell r="A1016">
            <v>1015</v>
          </cell>
        </row>
        <row r="1017">
          <cell r="A1017">
            <v>1016</v>
          </cell>
        </row>
        <row r="1018">
          <cell r="A1018">
            <v>1017</v>
          </cell>
        </row>
        <row r="1019">
          <cell r="A1019">
            <v>1018</v>
          </cell>
        </row>
        <row r="1020">
          <cell r="A1020">
            <v>1019</v>
          </cell>
        </row>
        <row r="1021">
          <cell r="A1021">
            <v>1020</v>
          </cell>
        </row>
        <row r="1022">
          <cell r="A1022">
            <v>1021</v>
          </cell>
        </row>
        <row r="1023">
          <cell r="A1023">
            <v>1022</v>
          </cell>
        </row>
        <row r="1024">
          <cell r="A1024">
            <v>1023</v>
          </cell>
        </row>
        <row r="1025">
          <cell r="A1025">
            <v>1024</v>
          </cell>
        </row>
        <row r="1026">
          <cell r="A1026">
            <v>1025</v>
          </cell>
        </row>
        <row r="1027">
          <cell r="A1027">
            <v>1026</v>
          </cell>
        </row>
        <row r="1028">
          <cell r="A1028">
            <v>1027</v>
          </cell>
        </row>
        <row r="1029">
          <cell r="A1029">
            <v>1028</v>
          </cell>
        </row>
        <row r="1030">
          <cell r="A1030">
            <v>1029</v>
          </cell>
        </row>
        <row r="1031">
          <cell r="A1031">
            <v>1030</v>
          </cell>
        </row>
        <row r="1032">
          <cell r="A1032">
            <v>1031</v>
          </cell>
        </row>
        <row r="1033">
          <cell r="A1033">
            <v>1032</v>
          </cell>
        </row>
        <row r="1034">
          <cell r="A1034">
            <v>1033</v>
          </cell>
        </row>
        <row r="1035">
          <cell r="A1035">
            <v>1034</v>
          </cell>
        </row>
        <row r="1036">
          <cell r="A1036">
            <v>1035</v>
          </cell>
        </row>
        <row r="1037">
          <cell r="A1037">
            <v>1036</v>
          </cell>
        </row>
        <row r="1038">
          <cell r="A1038">
            <v>1037</v>
          </cell>
        </row>
        <row r="1039">
          <cell r="A1039">
            <v>1038</v>
          </cell>
        </row>
        <row r="1040">
          <cell r="A1040">
            <v>1039</v>
          </cell>
        </row>
        <row r="1041">
          <cell r="A1041">
            <v>1040</v>
          </cell>
        </row>
        <row r="1042">
          <cell r="A1042">
            <v>1041</v>
          </cell>
        </row>
        <row r="1043">
          <cell r="A1043">
            <v>1042</v>
          </cell>
        </row>
        <row r="1044">
          <cell r="A1044">
            <v>1043</v>
          </cell>
        </row>
        <row r="1045">
          <cell r="A1045">
            <v>1044</v>
          </cell>
        </row>
        <row r="1046">
          <cell r="A1046">
            <v>1045</v>
          </cell>
        </row>
        <row r="1047">
          <cell r="A1047">
            <v>1046</v>
          </cell>
        </row>
        <row r="1048">
          <cell r="A1048">
            <v>1047</v>
          </cell>
        </row>
        <row r="1049">
          <cell r="A1049">
            <v>1048</v>
          </cell>
        </row>
        <row r="1050">
          <cell r="A1050">
            <v>1049</v>
          </cell>
        </row>
        <row r="1051">
          <cell r="A1051">
            <v>1050</v>
          </cell>
        </row>
        <row r="1052">
          <cell r="A1052">
            <v>1051</v>
          </cell>
        </row>
        <row r="1053">
          <cell r="A1053">
            <v>1052</v>
          </cell>
        </row>
        <row r="1054">
          <cell r="A1054">
            <v>1053</v>
          </cell>
        </row>
        <row r="1055">
          <cell r="A1055">
            <v>1054</v>
          </cell>
        </row>
        <row r="1056">
          <cell r="A1056">
            <v>1055</v>
          </cell>
        </row>
        <row r="1057">
          <cell r="A1057">
            <v>1056</v>
          </cell>
        </row>
        <row r="1058">
          <cell r="A1058">
            <v>1057</v>
          </cell>
        </row>
        <row r="1059">
          <cell r="A1059">
            <v>1058</v>
          </cell>
        </row>
        <row r="1060">
          <cell r="A1060">
            <v>1059</v>
          </cell>
        </row>
        <row r="1061">
          <cell r="A1061">
            <v>1060</v>
          </cell>
        </row>
        <row r="1062">
          <cell r="A1062">
            <v>1061</v>
          </cell>
        </row>
        <row r="1063">
          <cell r="A1063">
            <v>1062</v>
          </cell>
        </row>
        <row r="1064">
          <cell r="A1064">
            <v>1063</v>
          </cell>
        </row>
        <row r="1065">
          <cell r="A1065">
            <v>1064</v>
          </cell>
        </row>
        <row r="1066">
          <cell r="A1066">
            <v>1065</v>
          </cell>
        </row>
        <row r="1067">
          <cell r="A1067">
            <v>1066</v>
          </cell>
        </row>
        <row r="1068">
          <cell r="A1068">
            <v>1067</v>
          </cell>
        </row>
        <row r="1069">
          <cell r="A1069">
            <v>1068</v>
          </cell>
        </row>
        <row r="1070">
          <cell r="A1070">
            <v>1069</v>
          </cell>
        </row>
        <row r="1071">
          <cell r="A1071">
            <v>1070</v>
          </cell>
        </row>
        <row r="1072">
          <cell r="A1072">
            <v>1071</v>
          </cell>
        </row>
        <row r="1073">
          <cell r="A1073">
            <v>1072</v>
          </cell>
        </row>
        <row r="1074">
          <cell r="A1074">
            <v>1073</v>
          </cell>
        </row>
        <row r="1075">
          <cell r="A1075">
            <v>1074</v>
          </cell>
        </row>
        <row r="1076">
          <cell r="A1076">
            <v>1075</v>
          </cell>
        </row>
        <row r="1077">
          <cell r="A1077">
            <v>1076</v>
          </cell>
        </row>
        <row r="1078">
          <cell r="A1078">
            <v>1077</v>
          </cell>
        </row>
        <row r="1079">
          <cell r="A1079">
            <v>1078</v>
          </cell>
        </row>
        <row r="1080">
          <cell r="A1080">
            <v>1079</v>
          </cell>
        </row>
        <row r="1081">
          <cell r="A1081">
            <v>1080</v>
          </cell>
        </row>
        <row r="1082">
          <cell r="A1082">
            <v>1081</v>
          </cell>
        </row>
        <row r="1083">
          <cell r="A1083">
            <v>1082</v>
          </cell>
        </row>
        <row r="1084">
          <cell r="A1084">
            <v>1083</v>
          </cell>
        </row>
        <row r="1085">
          <cell r="A1085">
            <v>1084</v>
          </cell>
        </row>
        <row r="1086">
          <cell r="A1086">
            <v>1085</v>
          </cell>
        </row>
        <row r="1087">
          <cell r="A1087">
            <v>1086</v>
          </cell>
        </row>
        <row r="1088">
          <cell r="A1088">
            <v>1087</v>
          </cell>
        </row>
        <row r="1089">
          <cell r="A1089">
            <v>1088</v>
          </cell>
        </row>
        <row r="1090">
          <cell r="A1090">
            <v>1089</v>
          </cell>
        </row>
        <row r="1091">
          <cell r="A1091">
            <v>1090</v>
          </cell>
        </row>
        <row r="1092">
          <cell r="A1092">
            <v>1091</v>
          </cell>
        </row>
        <row r="1093">
          <cell r="A1093">
            <v>1092</v>
          </cell>
        </row>
        <row r="1094">
          <cell r="A1094">
            <v>1093</v>
          </cell>
        </row>
        <row r="1095">
          <cell r="A1095">
            <v>1094</v>
          </cell>
        </row>
        <row r="1096">
          <cell r="A1096">
            <v>1095</v>
          </cell>
        </row>
        <row r="1097">
          <cell r="A1097">
            <v>1096</v>
          </cell>
        </row>
        <row r="1098">
          <cell r="A1098">
            <v>1097</v>
          </cell>
        </row>
        <row r="1099">
          <cell r="A1099">
            <v>1098</v>
          </cell>
        </row>
        <row r="1100">
          <cell r="A1100">
            <v>1099</v>
          </cell>
        </row>
        <row r="1101">
          <cell r="A1101">
            <v>1100</v>
          </cell>
        </row>
        <row r="1102">
          <cell r="A1102">
            <v>1101</v>
          </cell>
        </row>
        <row r="1103">
          <cell r="A1103">
            <v>1102</v>
          </cell>
        </row>
        <row r="1104">
          <cell r="A1104">
            <v>1103</v>
          </cell>
        </row>
        <row r="1105">
          <cell r="A1105">
            <v>1104</v>
          </cell>
        </row>
        <row r="1106">
          <cell r="A1106">
            <v>1105</v>
          </cell>
        </row>
        <row r="1107">
          <cell r="A1107">
            <v>1106</v>
          </cell>
        </row>
        <row r="1108">
          <cell r="A1108">
            <v>1107</v>
          </cell>
        </row>
        <row r="1109">
          <cell r="A1109">
            <v>1108</v>
          </cell>
        </row>
        <row r="1110">
          <cell r="A1110">
            <v>1109</v>
          </cell>
        </row>
        <row r="1111">
          <cell r="A1111">
            <v>1110</v>
          </cell>
        </row>
        <row r="1112">
          <cell r="A1112">
            <v>1111</v>
          </cell>
        </row>
        <row r="1113">
          <cell r="A1113">
            <v>1112</v>
          </cell>
        </row>
        <row r="1114">
          <cell r="A1114">
            <v>1113</v>
          </cell>
        </row>
        <row r="1115">
          <cell r="A1115">
            <v>1114</v>
          </cell>
        </row>
        <row r="1116">
          <cell r="A1116">
            <v>1115</v>
          </cell>
        </row>
        <row r="1117">
          <cell r="A1117">
            <v>1116</v>
          </cell>
        </row>
        <row r="1118">
          <cell r="A1118">
            <v>1117</v>
          </cell>
        </row>
        <row r="1119">
          <cell r="A1119">
            <v>1118</v>
          </cell>
        </row>
        <row r="1120">
          <cell r="A1120">
            <v>1119</v>
          </cell>
        </row>
        <row r="1121">
          <cell r="A1121">
            <v>1120</v>
          </cell>
        </row>
        <row r="1122">
          <cell r="A1122">
            <v>1121</v>
          </cell>
        </row>
        <row r="1123">
          <cell r="A1123">
            <v>1122</v>
          </cell>
        </row>
        <row r="1124">
          <cell r="A1124">
            <v>1123</v>
          </cell>
        </row>
        <row r="1125">
          <cell r="A1125">
            <v>1124</v>
          </cell>
        </row>
        <row r="1126">
          <cell r="A1126">
            <v>1125</v>
          </cell>
        </row>
        <row r="1127">
          <cell r="A1127">
            <v>1126</v>
          </cell>
        </row>
        <row r="1128">
          <cell r="A1128">
            <v>1127</v>
          </cell>
        </row>
        <row r="1129">
          <cell r="A1129">
            <v>1128</v>
          </cell>
        </row>
        <row r="1130">
          <cell r="A1130">
            <v>1129</v>
          </cell>
        </row>
        <row r="1131">
          <cell r="A1131">
            <v>1130</v>
          </cell>
        </row>
        <row r="1132">
          <cell r="A1132">
            <v>1131</v>
          </cell>
        </row>
        <row r="1133">
          <cell r="A1133">
            <v>1132</v>
          </cell>
        </row>
        <row r="1134">
          <cell r="A1134">
            <v>1133</v>
          </cell>
        </row>
        <row r="1135">
          <cell r="A1135">
            <v>1134</v>
          </cell>
        </row>
        <row r="1136">
          <cell r="A1136">
            <v>1135</v>
          </cell>
        </row>
        <row r="1137">
          <cell r="A1137">
            <v>1136</v>
          </cell>
        </row>
        <row r="1138">
          <cell r="A1138">
            <v>1137</v>
          </cell>
        </row>
        <row r="1139">
          <cell r="A1139">
            <v>1138</v>
          </cell>
        </row>
        <row r="1140">
          <cell r="A1140">
            <v>1139</v>
          </cell>
        </row>
        <row r="1141">
          <cell r="A1141">
            <v>1140</v>
          </cell>
        </row>
        <row r="1142">
          <cell r="A1142">
            <v>1141</v>
          </cell>
        </row>
        <row r="1143">
          <cell r="A1143">
            <v>1142</v>
          </cell>
        </row>
        <row r="1144">
          <cell r="A1144">
            <v>1143</v>
          </cell>
        </row>
        <row r="1145">
          <cell r="A1145">
            <v>1144</v>
          </cell>
        </row>
        <row r="1146">
          <cell r="A1146">
            <v>1145</v>
          </cell>
        </row>
        <row r="1147">
          <cell r="A1147">
            <v>1146</v>
          </cell>
        </row>
        <row r="1148">
          <cell r="A1148">
            <v>1147</v>
          </cell>
        </row>
        <row r="1149">
          <cell r="A1149">
            <v>1148</v>
          </cell>
        </row>
        <row r="1150">
          <cell r="A1150">
            <v>1149</v>
          </cell>
        </row>
        <row r="1151">
          <cell r="A1151">
            <v>1150</v>
          </cell>
        </row>
        <row r="1152">
          <cell r="A1152">
            <v>1151</v>
          </cell>
        </row>
        <row r="1153">
          <cell r="A1153">
            <v>1152</v>
          </cell>
        </row>
        <row r="1154">
          <cell r="A1154">
            <v>1153</v>
          </cell>
        </row>
        <row r="1155">
          <cell r="A1155">
            <v>1154</v>
          </cell>
        </row>
        <row r="1156">
          <cell r="A1156">
            <v>1155</v>
          </cell>
        </row>
        <row r="1157">
          <cell r="A1157">
            <v>1156</v>
          </cell>
        </row>
        <row r="1158">
          <cell r="A1158">
            <v>1157</v>
          </cell>
        </row>
        <row r="1159">
          <cell r="A1159">
            <v>1158</v>
          </cell>
        </row>
        <row r="1160">
          <cell r="A1160">
            <v>1159</v>
          </cell>
        </row>
        <row r="1161">
          <cell r="A1161">
            <v>1160</v>
          </cell>
        </row>
        <row r="1162">
          <cell r="A1162">
            <v>1161</v>
          </cell>
        </row>
        <row r="1163">
          <cell r="A1163">
            <v>1162</v>
          </cell>
        </row>
        <row r="1164">
          <cell r="A1164">
            <v>1163</v>
          </cell>
        </row>
        <row r="1165">
          <cell r="A1165">
            <v>1164</v>
          </cell>
        </row>
        <row r="1166">
          <cell r="A1166">
            <v>1165</v>
          </cell>
        </row>
        <row r="1167">
          <cell r="A1167">
            <v>1166</v>
          </cell>
        </row>
        <row r="1168">
          <cell r="A1168">
            <v>1167</v>
          </cell>
        </row>
        <row r="1169">
          <cell r="A1169">
            <v>1168</v>
          </cell>
        </row>
        <row r="1170">
          <cell r="A1170">
            <v>1169</v>
          </cell>
        </row>
        <row r="1171">
          <cell r="A1171">
            <v>1170</v>
          </cell>
        </row>
        <row r="1172">
          <cell r="A1172">
            <v>1171</v>
          </cell>
        </row>
        <row r="1173">
          <cell r="A1173">
            <v>1172</v>
          </cell>
        </row>
        <row r="1174">
          <cell r="A1174">
            <v>1173</v>
          </cell>
        </row>
        <row r="1175">
          <cell r="A1175">
            <v>1174</v>
          </cell>
        </row>
        <row r="1176">
          <cell r="A1176">
            <v>1175</v>
          </cell>
        </row>
        <row r="1177">
          <cell r="A1177">
            <v>1176</v>
          </cell>
        </row>
        <row r="1178">
          <cell r="A1178">
            <v>1177</v>
          </cell>
        </row>
        <row r="1179">
          <cell r="A1179">
            <v>1178</v>
          </cell>
        </row>
        <row r="1180">
          <cell r="A1180">
            <v>1179</v>
          </cell>
        </row>
        <row r="1181">
          <cell r="A1181">
            <v>1180</v>
          </cell>
        </row>
        <row r="1182">
          <cell r="A1182">
            <v>1181</v>
          </cell>
        </row>
        <row r="1183">
          <cell r="A1183">
            <v>1182</v>
          </cell>
        </row>
        <row r="1184">
          <cell r="A1184">
            <v>1183</v>
          </cell>
        </row>
        <row r="1185">
          <cell r="A1185">
            <v>1184</v>
          </cell>
        </row>
        <row r="1186">
          <cell r="A1186">
            <v>1185</v>
          </cell>
        </row>
        <row r="1187">
          <cell r="A1187">
            <v>1186</v>
          </cell>
        </row>
        <row r="1188">
          <cell r="A1188">
            <v>1187</v>
          </cell>
        </row>
        <row r="1189">
          <cell r="A1189">
            <v>1188</v>
          </cell>
        </row>
        <row r="1190">
          <cell r="A1190">
            <v>1189</v>
          </cell>
        </row>
        <row r="1191">
          <cell r="A1191">
            <v>1190</v>
          </cell>
        </row>
        <row r="1192">
          <cell r="A1192">
            <v>1191</v>
          </cell>
        </row>
        <row r="1193">
          <cell r="A1193">
            <v>1192</v>
          </cell>
        </row>
        <row r="1194">
          <cell r="A1194">
            <v>1193</v>
          </cell>
        </row>
        <row r="1195">
          <cell r="A1195">
            <v>1194</v>
          </cell>
        </row>
        <row r="1196">
          <cell r="A1196">
            <v>1195</v>
          </cell>
        </row>
        <row r="1197">
          <cell r="A1197">
            <v>1196</v>
          </cell>
        </row>
        <row r="1198">
          <cell r="A1198">
            <v>1197</v>
          </cell>
        </row>
        <row r="1199">
          <cell r="A1199">
            <v>1198</v>
          </cell>
        </row>
        <row r="1200">
          <cell r="A1200">
            <v>1199</v>
          </cell>
        </row>
        <row r="1201">
          <cell r="A1201">
            <v>1200</v>
          </cell>
        </row>
        <row r="1202">
          <cell r="A1202">
            <v>1201</v>
          </cell>
        </row>
        <row r="1203">
          <cell r="A1203">
            <v>1202</v>
          </cell>
        </row>
        <row r="1204">
          <cell r="A1204">
            <v>1203</v>
          </cell>
        </row>
        <row r="1205">
          <cell r="A1205">
            <v>1204</v>
          </cell>
        </row>
        <row r="1206">
          <cell r="A1206">
            <v>1205</v>
          </cell>
        </row>
        <row r="1207">
          <cell r="A1207">
            <v>1206</v>
          </cell>
        </row>
        <row r="1208">
          <cell r="A1208">
            <v>1207</v>
          </cell>
        </row>
        <row r="1209">
          <cell r="A1209">
            <v>1208</v>
          </cell>
        </row>
        <row r="1210">
          <cell r="A1210">
            <v>1209</v>
          </cell>
        </row>
        <row r="1211">
          <cell r="A1211">
            <v>1210</v>
          </cell>
        </row>
        <row r="1212">
          <cell r="A1212">
            <v>1211</v>
          </cell>
        </row>
        <row r="1213">
          <cell r="A1213">
            <v>1212</v>
          </cell>
        </row>
        <row r="1214">
          <cell r="A1214">
            <v>1213</v>
          </cell>
        </row>
        <row r="1215">
          <cell r="A1215">
            <v>1214</v>
          </cell>
        </row>
        <row r="1216">
          <cell r="A1216">
            <v>1215</v>
          </cell>
        </row>
        <row r="1217">
          <cell r="A1217">
            <v>1216</v>
          </cell>
        </row>
        <row r="1218">
          <cell r="A1218">
            <v>1217</v>
          </cell>
        </row>
        <row r="1219">
          <cell r="A1219">
            <v>1218</v>
          </cell>
        </row>
        <row r="1220">
          <cell r="A1220">
            <v>1219</v>
          </cell>
        </row>
        <row r="1221">
          <cell r="A1221">
            <v>1220</v>
          </cell>
        </row>
        <row r="1222">
          <cell r="A1222">
            <v>1221</v>
          </cell>
        </row>
        <row r="1223">
          <cell r="A1223">
            <v>1222</v>
          </cell>
        </row>
        <row r="1224">
          <cell r="A1224">
            <v>1223</v>
          </cell>
        </row>
        <row r="1225">
          <cell r="A1225">
            <v>1224</v>
          </cell>
        </row>
        <row r="1226">
          <cell r="A1226">
            <v>1225</v>
          </cell>
        </row>
        <row r="1227">
          <cell r="A1227">
            <v>1226</v>
          </cell>
        </row>
        <row r="1228">
          <cell r="A1228">
            <v>1227</v>
          </cell>
        </row>
        <row r="1229">
          <cell r="A1229">
            <v>1228</v>
          </cell>
        </row>
        <row r="1230">
          <cell r="A1230">
            <v>1229</v>
          </cell>
        </row>
        <row r="1231">
          <cell r="A1231">
            <v>1230</v>
          </cell>
        </row>
        <row r="1232">
          <cell r="A1232">
            <v>1231</v>
          </cell>
        </row>
        <row r="1233">
          <cell r="A1233">
            <v>1232</v>
          </cell>
        </row>
        <row r="1234">
          <cell r="A1234">
            <v>1233</v>
          </cell>
        </row>
        <row r="1235">
          <cell r="A1235">
            <v>1234</v>
          </cell>
        </row>
        <row r="1236">
          <cell r="A1236">
            <v>1235</v>
          </cell>
        </row>
        <row r="1237">
          <cell r="A1237">
            <v>1236</v>
          </cell>
        </row>
        <row r="1238">
          <cell r="A1238">
            <v>1237</v>
          </cell>
        </row>
        <row r="1239">
          <cell r="A1239">
            <v>1238</v>
          </cell>
        </row>
        <row r="1240">
          <cell r="A1240">
            <v>1239</v>
          </cell>
        </row>
        <row r="1241">
          <cell r="A1241">
            <v>1240</v>
          </cell>
        </row>
        <row r="1242">
          <cell r="A1242">
            <v>1241</v>
          </cell>
        </row>
        <row r="1243">
          <cell r="A1243">
            <v>1242</v>
          </cell>
        </row>
        <row r="1244">
          <cell r="A1244">
            <v>1243</v>
          </cell>
        </row>
        <row r="1245">
          <cell r="A1245">
            <v>1244</v>
          </cell>
        </row>
        <row r="1246">
          <cell r="A1246">
            <v>1245</v>
          </cell>
        </row>
        <row r="1247">
          <cell r="A1247">
            <v>1246</v>
          </cell>
        </row>
        <row r="1248">
          <cell r="A1248">
            <v>1247</v>
          </cell>
        </row>
        <row r="1249">
          <cell r="A1249">
            <v>1248</v>
          </cell>
        </row>
        <row r="1250">
          <cell r="A1250">
            <v>1249</v>
          </cell>
        </row>
        <row r="1251">
          <cell r="A1251">
            <v>1250</v>
          </cell>
        </row>
        <row r="1252">
          <cell r="A1252">
            <v>1251</v>
          </cell>
        </row>
        <row r="1253">
          <cell r="A1253">
            <v>1252</v>
          </cell>
        </row>
        <row r="1254">
          <cell r="A1254">
            <v>1253</v>
          </cell>
        </row>
        <row r="1255">
          <cell r="A1255">
            <v>1254</v>
          </cell>
        </row>
        <row r="1256">
          <cell r="A1256">
            <v>1255</v>
          </cell>
        </row>
        <row r="1257">
          <cell r="A1257">
            <v>1256</v>
          </cell>
        </row>
        <row r="1258">
          <cell r="A1258">
            <v>1257</v>
          </cell>
        </row>
        <row r="1259">
          <cell r="A1259">
            <v>1258</v>
          </cell>
        </row>
        <row r="1260">
          <cell r="A1260">
            <v>1259</v>
          </cell>
        </row>
        <row r="1261">
          <cell r="A1261">
            <v>1260</v>
          </cell>
        </row>
        <row r="1262">
          <cell r="A1262">
            <v>1261</v>
          </cell>
        </row>
        <row r="1263">
          <cell r="A1263">
            <v>1262</v>
          </cell>
        </row>
        <row r="1264">
          <cell r="A1264">
            <v>1263</v>
          </cell>
        </row>
        <row r="1265">
          <cell r="A1265">
            <v>1264</v>
          </cell>
        </row>
        <row r="1266">
          <cell r="A1266">
            <v>1265</v>
          </cell>
        </row>
        <row r="1267">
          <cell r="A1267">
            <v>1266</v>
          </cell>
        </row>
        <row r="1268">
          <cell r="A1268">
            <v>1267</v>
          </cell>
        </row>
        <row r="1269">
          <cell r="A1269">
            <v>1268</v>
          </cell>
        </row>
        <row r="1270">
          <cell r="A1270">
            <v>1269</v>
          </cell>
        </row>
        <row r="1271">
          <cell r="A1271">
            <v>1270</v>
          </cell>
        </row>
        <row r="1272">
          <cell r="A1272">
            <v>1271</v>
          </cell>
        </row>
        <row r="1273">
          <cell r="A1273">
            <v>1272</v>
          </cell>
        </row>
        <row r="1274">
          <cell r="A1274">
            <v>1273</v>
          </cell>
        </row>
        <row r="1275">
          <cell r="A1275">
            <v>1274</v>
          </cell>
        </row>
        <row r="1276">
          <cell r="A1276">
            <v>1275</v>
          </cell>
        </row>
        <row r="1277">
          <cell r="A1277">
            <v>1276</v>
          </cell>
        </row>
        <row r="1278">
          <cell r="A1278">
            <v>1277</v>
          </cell>
        </row>
        <row r="1279">
          <cell r="A1279">
            <v>1278</v>
          </cell>
        </row>
        <row r="1280">
          <cell r="A1280">
            <v>1279</v>
          </cell>
        </row>
        <row r="1281">
          <cell r="A1281">
            <v>1280</v>
          </cell>
        </row>
        <row r="1282">
          <cell r="A1282">
            <v>1281</v>
          </cell>
        </row>
        <row r="1283">
          <cell r="A1283">
            <v>1282</v>
          </cell>
        </row>
        <row r="1284">
          <cell r="A1284">
            <v>1283</v>
          </cell>
        </row>
        <row r="1285">
          <cell r="A1285">
            <v>1284</v>
          </cell>
        </row>
        <row r="1286">
          <cell r="A1286">
            <v>1285</v>
          </cell>
        </row>
        <row r="1287">
          <cell r="A1287">
            <v>1286</v>
          </cell>
        </row>
        <row r="1288">
          <cell r="A1288">
            <v>1287</v>
          </cell>
        </row>
        <row r="1289">
          <cell r="A1289">
            <v>1288</v>
          </cell>
        </row>
        <row r="1290">
          <cell r="A1290">
            <v>1289</v>
          </cell>
        </row>
        <row r="1291">
          <cell r="A1291">
            <v>1290</v>
          </cell>
        </row>
        <row r="1292">
          <cell r="A1292">
            <v>1291</v>
          </cell>
        </row>
        <row r="1293">
          <cell r="A1293">
            <v>1292</v>
          </cell>
        </row>
        <row r="1294">
          <cell r="A1294">
            <v>1293</v>
          </cell>
        </row>
        <row r="1295">
          <cell r="A1295">
            <v>1294</v>
          </cell>
        </row>
        <row r="1296">
          <cell r="A1296">
            <v>1295</v>
          </cell>
        </row>
        <row r="1297">
          <cell r="A1297">
            <v>1296</v>
          </cell>
        </row>
        <row r="1298">
          <cell r="A1298">
            <v>1297</v>
          </cell>
        </row>
        <row r="1299">
          <cell r="A1299">
            <v>1298</v>
          </cell>
        </row>
        <row r="1300">
          <cell r="A1300">
            <v>1299</v>
          </cell>
        </row>
        <row r="1301">
          <cell r="A1301">
            <v>1300</v>
          </cell>
        </row>
        <row r="1302">
          <cell r="A1302">
            <v>1301</v>
          </cell>
        </row>
        <row r="1303">
          <cell r="A1303">
            <v>1302</v>
          </cell>
        </row>
        <row r="1304">
          <cell r="A1304">
            <v>1303</v>
          </cell>
        </row>
        <row r="1305">
          <cell r="A1305">
            <v>1304</v>
          </cell>
        </row>
        <row r="1306">
          <cell r="A1306">
            <v>1305</v>
          </cell>
        </row>
        <row r="1307">
          <cell r="A1307">
            <v>1306</v>
          </cell>
        </row>
        <row r="1308">
          <cell r="A1308">
            <v>1307</v>
          </cell>
        </row>
        <row r="1309">
          <cell r="A1309">
            <v>1308</v>
          </cell>
        </row>
        <row r="1310">
          <cell r="A1310">
            <v>1309</v>
          </cell>
        </row>
        <row r="1311">
          <cell r="A1311">
            <v>1310</v>
          </cell>
        </row>
        <row r="1312">
          <cell r="A1312">
            <v>1311</v>
          </cell>
        </row>
        <row r="1313">
          <cell r="A1313">
            <v>1312</v>
          </cell>
        </row>
        <row r="1314">
          <cell r="A1314">
            <v>1313</v>
          </cell>
        </row>
        <row r="1315">
          <cell r="A1315">
            <v>1314</v>
          </cell>
        </row>
        <row r="1316">
          <cell r="A1316">
            <v>1315</v>
          </cell>
        </row>
        <row r="1317">
          <cell r="A1317">
            <v>1316</v>
          </cell>
        </row>
        <row r="1318">
          <cell r="A1318">
            <v>1317</v>
          </cell>
        </row>
        <row r="1319">
          <cell r="A1319">
            <v>1318</v>
          </cell>
        </row>
        <row r="1320">
          <cell r="A1320">
            <v>1319</v>
          </cell>
        </row>
        <row r="1321">
          <cell r="A1321">
            <v>1320</v>
          </cell>
        </row>
        <row r="1322">
          <cell r="A1322">
            <v>1321</v>
          </cell>
        </row>
        <row r="1323">
          <cell r="A1323">
            <v>1322</v>
          </cell>
        </row>
        <row r="1324">
          <cell r="A1324">
            <v>1323</v>
          </cell>
        </row>
        <row r="1325">
          <cell r="A1325">
            <v>1324</v>
          </cell>
        </row>
        <row r="1326">
          <cell r="A1326">
            <v>1325</v>
          </cell>
        </row>
        <row r="1327">
          <cell r="A1327">
            <v>1326</v>
          </cell>
        </row>
        <row r="1328">
          <cell r="A1328">
            <v>1327</v>
          </cell>
        </row>
        <row r="1329">
          <cell r="A1329">
            <v>1328</v>
          </cell>
        </row>
        <row r="1330">
          <cell r="A1330">
            <v>1329</v>
          </cell>
        </row>
        <row r="1331">
          <cell r="A1331">
            <v>1330</v>
          </cell>
        </row>
        <row r="1332">
          <cell r="A1332">
            <v>1331</v>
          </cell>
        </row>
        <row r="1333">
          <cell r="A1333">
            <v>1332</v>
          </cell>
        </row>
        <row r="1334">
          <cell r="A1334">
            <v>1333</v>
          </cell>
        </row>
        <row r="1335">
          <cell r="A1335">
            <v>1334</v>
          </cell>
        </row>
        <row r="1336">
          <cell r="A1336">
            <v>1335</v>
          </cell>
        </row>
        <row r="1337">
          <cell r="A1337">
            <v>1336</v>
          </cell>
        </row>
        <row r="1338">
          <cell r="A1338">
            <v>1337</v>
          </cell>
        </row>
        <row r="1339">
          <cell r="A1339">
            <v>1338</v>
          </cell>
        </row>
        <row r="1340">
          <cell r="A1340">
            <v>1339</v>
          </cell>
        </row>
        <row r="1341">
          <cell r="A1341">
            <v>1340</v>
          </cell>
        </row>
        <row r="1342">
          <cell r="A1342">
            <v>1341</v>
          </cell>
        </row>
        <row r="1343">
          <cell r="A1343">
            <v>1342</v>
          </cell>
        </row>
        <row r="1344">
          <cell r="A1344">
            <v>1343</v>
          </cell>
        </row>
        <row r="1345">
          <cell r="A1345">
            <v>1344</v>
          </cell>
        </row>
        <row r="1346">
          <cell r="A1346">
            <v>1345</v>
          </cell>
        </row>
        <row r="1347">
          <cell r="A1347">
            <v>1346</v>
          </cell>
        </row>
        <row r="1348">
          <cell r="A1348">
            <v>1347</v>
          </cell>
        </row>
        <row r="1349">
          <cell r="A1349">
            <v>1348</v>
          </cell>
        </row>
        <row r="1350">
          <cell r="A1350">
            <v>1349</v>
          </cell>
        </row>
        <row r="1351">
          <cell r="A1351">
            <v>1350</v>
          </cell>
        </row>
        <row r="1352">
          <cell r="A1352">
            <v>1351</v>
          </cell>
        </row>
        <row r="1353">
          <cell r="A1353">
            <v>1352</v>
          </cell>
        </row>
        <row r="1354">
          <cell r="A1354">
            <v>1353</v>
          </cell>
        </row>
        <row r="1355">
          <cell r="A1355">
            <v>1354</v>
          </cell>
        </row>
        <row r="1356">
          <cell r="A1356">
            <v>1355</v>
          </cell>
        </row>
        <row r="1357">
          <cell r="A1357">
            <v>1356</v>
          </cell>
        </row>
        <row r="1358">
          <cell r="A1358">
            <v>1357</v>
          </cell>
        </row>
        <row r="1359">
          <cell r="A1359">
            <v>1358</v>
          </cell>
        </row>
        <row r="1360">
          <cell r="A1360">
            <v>1359</v>
          </cell>
        </row>
        <row r="1361">
          <cell r="A1361">
            <v>1360</v>
          </cell>
        </row>
        <row r="1362">
          <cell r="A1362">
            <v>1361</v>
          </cell>
        </row>
        <row r="1363">
          <cell r="A1363">
            <v>1362</v>
          </cell>
        </row>
        <row r="1364">
          <cell r="A1364">
            <v>1363</v>
          </cell>
        </row>
        <row r="1365">
          <cell r="A1365">
            <v>1364</v>
          </cell>
        </row>
        <row r="1366">
          <cell r="A1366">
            <v>1365</v>
          </cell>
        </row>
        <row r="1367">
          <cell r="A1367">
            <v>1366</v>
          </cell>
        </row>
        <row r="1368">
          <cell r="A1368">
            <v>1367</v>
          </cell>
        </row>
        <row r="1369">
          <cell r="A1369">
            <v>1368</v>
          </cell>
        </row>
        <row r="1370">
          <cell r="A1370">
            <v>1369</v>
          </cell>
        </row>
        <row r="1371">
          <cell r="A1371">
            <v>1370</v>
          </cell>
        </row>
        <row r="1372">
          <cell r="A1372">
            <v>1373</v>
          </cell>
        </row>
        <row r="1373">
          <cell r="A1373">
            <v>1374</v>
          </cell>
        </row>
        <row r="1374">
          <cell r="A1374">
            <v>1375</v>
          </cell>
        </row>
        <row r="1375">
          <cell r="A1375">
            <v>1376</v>
          </cell>
        </row>
        <row r="1376">
          <cell r="A1376">
            <v>1377</v>
          </cell>
        </row>
        <row r="1377">
          <cell r="A1377">
            <v>1378</v>
          </cell>
        </row>
        <row r="1378">
          <cell r="A1378">
            <v>1379</v>
          </cell>
        </row>
        <row r="1379">
          <cell r="A1379">
            <v>1380</v>
          </cell>
        </row>
        <row r="1380">
          <cell r="A1380">
            <v>1381</v>
          </cell>
        </row>
        <row r="1381">
          <cell r="A1381">
            <v>1382</v>
          </cell>
        </row>
        <row r="1382">
          <cell r="A1382">
            <v>1383</v>
          </cell>
        </row>
        <row r="1383">
          <cell r="A1383">
            <v>1384</v>
          </cell>
        </row>
        <row r="1384">
          <cell r="A1384">
            <v>1385</v>
          </cell>
        </row>
        <row r="1385">
          <cell r="A1385">
            <v>1386</v>
          </cell>
        </row>
        <row r="1386">
          <cell r="A1386">
            <v>1387</v>
          </cell>
        </row>
        <row r="1387">
          <cell r="A1387">
            <v>1388</v>
          </cell>
        </row>
        <row r="1388">
          <cell r="A1388">
            <v>1389</v>
          </cell>
        </row>
        <row r="1389">
          <cell r="A1389">
            <v>1390</v>
          </cell>
        </row>
        <row r="1390">
          <cell r="A1390">
            <v>1399</v>
          </cell>
        </row>
        <row r="1391">
          <cell r="A1391">
            <v>1400</v>
          </cell>
        </row>
        <row r="1392">
          <cell r="A1392">
            <v>1401</v>
          </cell>
        </row>
        <row r="1393">
          <cell r="A1393">
            <v>1402</v>
          </cell>
        </row>
        <row r="1394">
          <cell r="A1394">
            <v>1403</v>
          </cell>
        </row>
        <row r="1395">
          <cell r="A1395">
            <v>1404</v>
          </cell>
        </row>
        <row r="1396">
          <cell r="A1396">
            <v>1405</v>
          </cell>
        </row>
        <row r="1397">
          <cell r="A1397">
            <v>1406</v>
          </cell>
        </row>
        <row r="1398">
          <cell r="A1398">
            <v>1407</v>
          </cell>
        </row>
        <row r="1399">
          <cell r="A1399">
            <v>1408</v>
          </cell>
        </row>
        <row r="1400">
          <cell r="A1400">
            <v>1409</v>
          </cell>
        </row>
        <row r="1401">
          <cell r="A1401">
            <v>1410</v>
          </cell>
        </row>
        <row r="1402">
          <cell r="A1402">
            <v>1411</v>
          </cell>
        </row>
        <row r="1403">
          <cell r="A1403">
            <v>1412</v>
          </cell>
        </row>
        <row r="1404">
          <cell r="A1404">
            <v>1413</v>
          </cell>
        </row>
        <row r="1405">
          <cell r="A1405">
            <v>1414</v>
          </cell>
        </row>
        <row r="1406">
          <cell r="A1406">
            <v>1415</v>
          </cell>
        </row>
        <row r="1407">
          <cell r="A1407">
            <v>1416</v>
          </cell>
        </row>
        <row r="1408">
          <cell r="A1408">
            <v>1417</v>
          </cell>
        </row>
        <row r="1409">
          <cell r="A1409">
            <v>1418</v>
          </cell>
        </row>
        <row r="1410">
          <cell r="A1410">
            <v>1419</v>
          </cell>
        </row>
        <row r="1411">
          <cell r="A1411">
            <v>1420</v>
          </cell>
        </row>
        <row r="1412">
          <cell r="A1412">
            <v>1421</v>
          </cell>
        </row>
        <row r="1413">
          <cell r="A1413">
            <v>1422</v>
          </cell>
        </row>
        <row r="1414">
          <cell r="A1414">
            <v>1423</v>
          </cell>
        </row>
        <row r="1415">
          <cell r="A1415">
            <v>1424</v>
          </cell>
        </row>
        <row r="1416">
          <cell r="A1416">
            <v>1425</v>
          </cell>
        </row>
        <row r="1417">
          <cell r="A1417">
            <v>1426</v>
          </cell>
        </row>
        <row r="1418">
          <cell r="A1418">
            <v>1431</v>
          </cell>
        </row>
        <row r="1419">
          <cell r="A1419">
            <v>1432</v>
          </cell>
        </row>
        <row r="1420">
          <cell r="A1420">
            <v>1433</v>
          </cell>
        </row>
        <row r="1421">
          <cell r="A1421">
            <v>1434</v>
          </cell>
        </row>
        <row r="1422">
          <cell r="A1422">
            <v>1435</v>
          </cell>
        </row>
        <row r="1423">
          <cell r="A1423">
            <v>1452</v>
          </cell>
        </row>
        <row r="1424">
          <cell r="A1424">
            <v>1453</v>
          </cell>
        </row>
        <row r="1425">
          <cell r="A1425">
            <v>1454</v>
          </cell>
        </row>
        <row r="1426">
          <cell r="A1426">
            <v>1455</v>
          </cell>
        </row>
        <row r="1427">
          <cell r="A1427">
            <v>1456</v>
          </cell>
        </row>
        <row r="1428">
          <cell r="A1428">
            <v>1457</v>
          </cell>
        </row>
        <row r="1429">
          <cell r="A1429">
            <v>1458</v>
          </cell>
        </row>
        <row r="1430">
          <cell r="A1430">
            <v>1459</v>
          </cell>
        </row>
        <row r="1431">
          <cell r="A1431">
            <v>1460</v>
          </cell>
        </row>
        <row r="1432">
          <cell r="A1432">
            <v>1461</v>
          </cell>
        </row>
        <row r="1433">
          <cell r="A1433">
            <v>1462</v>
          </cell>
        </row>
        <row r="1434">
          <cell r="A1434">
            <v>1463</v>
          </cell>
        </row>
        <row r="1435">
          <cell r="A1435">
            <v>1464</v>
          </cell>
        </row>
        <row r="1436">
          <cell r="A1436">
            <v>1465</v>
          </cell>
        </row>
        <row r="1437">
          <cell r="A1437">
            <v>1466</v>
          </cell>
        </row>
        <row r="1438">
          <cell r="A1438">
            <v>1467</v>
          </cell>
        </row>
        <row r="1439">
          <cell r="A1439">
            <v>1468</v>
          </cell>
        </row>
        <row r="1440">
          <cell r="A1440">
            <v>1469</v>
          </cell>
        </row>
        <row r="1441">
          <cell r="A1441">
            <v>1470</v>
          </cell>
        </row>
        <row r="1442">
          <cell r="A1442">
            <v>1471</v>
          </cell>
        </row>
        <row r="1443">
          <cell r="A1443">
            <v>1488</v>
          </cell>
        </row>
        <row r="1444">
          <cell r="A1444">
            <v>1489</v>
          </cell>
        </row>
        <row r="1445">
          <cell r="A1445">
            <v>1495</v>
          </cell>
        </row>
        <row r="1446">
          <cell r="A1446">
            <v>1496</v>
          </cell>
        </row>
        <row r="1447">
          <cell r="A1447">
            <v>1497</v>
          </cell>
        </row>
        <row r="1448">
          <cell r="A1448">
            <v>1498</v>
          </cell>
        </row>
        <row r="1449">
          <cell r="A1449">
            <v>1499</v>
          </cell>
        </row>
        <row r="1450">
          <cell r="A1450">
            <v>1500</v>
          </cell>
        </row>
        <row r="1451">
          <cell r="A1451">
            <v>1501</v>
          </cell>
        </row>
        <row r="1452">
          <cell r="A1452">
            <v>1502</v>
          </cell>
        </row>
        <row r="1453">
          <cell r="A1453">
            <v>1503</v>
          </cell>
        </row>
        <row r="1454">
          <cell r="A1454">
            <v>1504</v>
          </cell>
        </row>
        <row r="1455">
          <cell r="A1455">
            <v>1505</v>
          </cell>
        </row>
        <row r="1456">
          <cell r="A1456">
            <v>1506</v>
          </cell>
        </row>
        <row r="1457">
          <cell r="A1457">
            <v>1507</v>
          </cell>
        </row>
        <row r="1458">
          <cell r="A1458">
            <v>1508</v>
          </cell>
        </row>
        <row r="1459">
          <cell r="A1459">
            <v>1509</v>
          </cell>
        </row>
        <row r="1460">
          <cell r="A1460">
            <v>1510</v>
          </cell>
        </row>
        <row r="1461">
          <cell r="A1461">
            <v>1511</v>
          </cell>
        </row>
        <row r="1462">
          <cell r="A1462">
            <v>1512</v>
          </cell>
        </row>
        <row r="1463">
          <cell r="A1463">
            <v>1513</v>
          </cell>
        </row>
        <row r="1464">
          <cell r="A1464">
            <v>1514</v>
          </cell>
        </row>
        <row r="1465">
          <cell r="A1465">
            <v>1515</v>
          </cell>
        </row>
        <row r="1466">
          <cell r="A1466">
            <v>1516</v>
          </cell>
        </row>
        <row r="1467">
          <cell r="A1467">
            <v>1517</v>
          </cell>
        </row>
        <row r="1468">
          <cell r="A1468">
            <v>1518</v>
          </cell>
        </row>
        <row r="1469">
          <cell r="A1469">
            <v>1519</v>
          </cell>
        </row>
        <row r="1470">
          <cell r="A1470">
            <v>1520</v>
          </cell>
        </row>
        <row r="1471">
          <cell r="A1471">
            <v>1521</v>
          </cell>
        </row>
        <row r="1472">
          <cell r="A1472">
            <v>1522</v>
          </cell>
        </row>
        <row r="1473">
          <cell r="A1473">
            <v>1523</v>
          </cell>
        </row>
        <row r="1474">
          <cell r="A1474">
            <v>1524</v>
          </cell>
        </row>
        <row r="1475">
          <cell r="A1475">
            <v>1525</v>
          </cell>
        </row>
        <row r="1476">
          <cell r="A1476">
            <v>1526</v>
          </cell>
        </row>
        <row r="1477">
          <cell r="A1477">
            <v>1527</v>
          </cell>
        </row>
        <row r="1478">
          <cell r="A1478">
            <v>1528</v>
          </cell>
        </row>
        <row r="1479">
          <cell r="A1479">
            <v>1529</v>
          </cell>
        </row>
        <row r="1480">
          <cell r="A1480">
            <v>1530</v>
          </cell>
        </row>
        <row r="1481">
          <cell r="A1481">
            <v>1531</v>
          </cell>
        </row>
        <row r="1482">
          <cell r="A1482">
            <v>1532</v>
          </cell>
        </row>
        <row r="1483">
          <cell r="A1483">
            <v>1533</v>
          </cell>
        </row>
        <row r="1484">
          <cell r="A1484">
            <v>1534</v>
          </cell>
        </row>
        <row r="1485">
          <cell r="A1485">
            <v>1535</v>
          </cell>
        </row>
        <row r="1486">
          <cell r="A1486">
            <v>1536</v>
          </cell>
        </row>
        <row r="1487">
          <cell r="A1487">
            <v>1537</v>
          </cell>
        </row>
        <row r="1488">
          <cell r="A1488">
            <v>1538</v>
          </cell>
        </row>
        <row r="1489">
          <cell r="A1489">
            <v>1539</v>
          </cell>
        </row>
        <row r="1490">
          <cell r="A1490">
            <v>1540</v>
          </cell>
        </row>
        <row r="1491">
          <cell r="A1491">
            <v>1541</v>
          </cell>
        </row>
        <row r="1492">
          <cell r="A1492">
            <v>1542</v>
          </cell>
        </row>
        <row r="1493">
          <cell r="A1493">
            <v>1543</v>
          </cell>
        </row>
        <row r="1494">
          <cell r="A1494">
            <v>1544</v>
          </cell>
        </row>
        <row r="1495">
          <cell r="A1495">
            <v>1545</v>
          </cell>
        </row>
        <row r="1496">
          <cell r="A1496">
            <v>1546</v>
          </cell>
        </row>
        <row r="1497">
          <cell r="A1497">
            <v>1547</v>
          </cell>
        </row>
        <row r="1498">
          <cell r="A1498">
            <v>1548</v>
          </cell>
        </row>
        <row r="1499">
          <cell r="A1499">
            <v>1549</v>
          </cell>
        </row>
        <row r="1500">
          <cell r="A1500">
            <v>1550</v>
          </cell>
        </row>
        <row r="1501">
          <cell r="A1501">
            <v>5001</v>
          </cell>
        </row>
        <row r="1502">
          <cell r="A1502">
            <v>5002</v>
          </cell>
        </row>
        <row r="1503">
          <cell r="A1503">
            <v>5003</v>
          </cell>
        </row>
        <row r="1504">
          <cell r="A1504">
            <v>5004</v>
          </cell>
        </row>
        <row r="1505">
          <cell r="A1505">
            <v>5005</v>
          </cell>
        </row>
        <row r="1506">
          <cell r="A1506">
            <v>5006</v>
          </cell>
        </row>
        <row r="1507">
          <cell r="A1507">
            <v>5007</v>
          </cell>
        </row>
        <row r="1508">
          <cell r="A1508">
            <v>5008</v>
          </cell>
        </row>
        <row r="1509">
          <cell r="A1509">
            <v>6001</v>
          </cell>
        </row>
        <row r="1510">
          <cell r="A1510">
            <v>6002</v>
          </cell>
        </row>
        <row r="1511">
          <cell r="A1511">
            <v>6003</v>
          </cell>
        </row>
        <row r="1512">
          <cell r="A1512">
            <v>6004</v>
          </cell>
        </row>
        <row r="1513">
          <cell r="A1513">
            <v>6005</v>
          </cell>
        </row>
        <row r="1514">
          <cell r="A1514">
            <v>6006</v>
          </cell>
        </row>
        <row r="1515">
          <cell r="A1515">
            <v>6007</v>
          </cell>
        </row>
        <row r="1516">
          <cell r="A1516">
            <v>6008</v>
          </cell>
        </row>
        <row r="1517">
          <cell r="A1517">
            <v>6009</v>
          </cell>
        </row>
        <row r="1518">
          <cell r="A1518">
            <v>6010</v>
          </cell>
        </row>
        <row r="1519">
          <cell r="A1519">
            <v>6011</v>
          </cell>
        </row>
        <row r="1520">
          <cell r="A1520">
            <v>6012</v>
          </cell>
        </row>
        <row r="1521">
          <cell r="A1521">
            <v>6013</v>
          </cell>
        </row>
        <row r="1522">
          <cell r="A1522">
            <v>6014</v>
          </cell>
        </row>
        <row r="1523">
          <cell r="A1523">
            <v>6015</v>
          </cell>
        </row>
        <row r="1524">
          <cell r="A1524">
            <v>6016</v>
          </cell>
        </row>
        <row r="1525">
          <cell r="A1525">
            <v>6017</v>
          </cell>
        </row>
        <row r="1526">
          <cell r="A1526">
            <v>6018</v>
          </cell>
        </row>
        <row r="1527">
          <cell r="A1527">
            <v>6019</v>
          </cell>
        </row>
        <row r="1528">
          <cell r="A1528">
            <v>6020</v>
          </cell>
        </row>
        <row r="1529">
          <cell r="A1529">
            <v>8001</v>
          </cell>
        </row>
        <row r="1530">
          <cell r="A1530">
            <v>8002</v>
          </cell>
        </row>
        <row r="1531">
          <cell r="A1531">
            <v>8003</v>
          </cell>
        </row>
        <row r="1532">
          <cell r="A1532">
            <v>8004</v>
          </cell>
        </row>
        <row r="1533">
          <cell r="A1533">
            <v>8005</v>
          </cell>
        </row>
        <row r="1534">
          <cell r="A1534">
            <v>8006</v>
          </cell>
        </row>
        <row r="1535">
          <cell r="A1535">
            <v>8007</v>
          </cell>
        </row>
        <row r="1536">
          <cell r="A1536">
            <v>8008</v>
          </cell>
        </row>
        <row r="1537">
          <cell r="A1537">
            <v>8009</v>
          </cell>
        </row>
        <row r="1538">
          <cell r="A1538">
            <v>8010</v>
          </cell>
        </row>
        <row r="1539">
          <cell r="A1539">
            <v>8011</v>
          </cell>
        </row>
        <row r="1540">
          <cell r="A1540">
            <v>8012</v>
          </cell>
        </row>
        <row r="1541">
          <cell r="A1541">
            <v>8013</v>
          </cell>
        </row>
        <row r="1542">
          <cell r="A1542">
            <v>8014</v>
          </cell>
        </row>
        <row r="1543">
          <cell r="A1543">
            <v>8015</v>
          </cell>
        </row>
        <row r="1544">
          <cell r="A1544">
            <v>8016</v>
          </cell>
        </row>
        <row r="1545">
          <cell r="A1545">
            <v>8017</v>
          </cell>
        </row>
        <row r="1546">
          <cell r="A1546">
            <v>8018</v>
          </cell>
        </row>
        <row r="1547">
          <cell r="A1547">
            <v>8019</v>
          </cell>
        </row>
        <row r="1548">
          <cell r="A1548">
            <v>8020</v>
          </cell>
        </row>
        <row r="1549">
          <cell r="A1549">
            <v>8021</v>
          </cell>
        </row>
        <row r="1550">
          <cell r="A1550">
            <v>8022</v>
          </cell>
        </row>
        <row r="1551">
          <cell r="A1551">
            <v>8023</v>
          </cell>
        </row>
        <row r="1552">
          <cell r="A1552">
            <v>8024</v>
          </cell>
        </row>
        <row r="1553">
          <cell r="A1553">
            <v>8025</v>
          </cell>
        </row>
        <row r="1554">
          <cell r="A1554">
            <v>8026</v>
          </cell>
        </row>
        <row r="1555">
          <cell r="A1555">
            <v>8027</v>
          </cell>
        </row>
        <row r="1556">
          <cell r="A1556">
            <v>8028</v>
          </cell>
        </row>
        <row r="1557">
          <cell r="A1557">
            <v>8029</v>
          </cell>
        </row>
        <row r="1558">
          <cell r="A1558">
            <v>8030</v>
          </cell>
        </row>
        <row r="1559">
          <cell r="A1559">
            <v>8031</v>
          </cell>
        </row>
        <row r="1560">
          <cell r="A1560">
            <v>8032</v>
          </cell>
        </row>
        <row r="1561">
          <cell r="A1561">
            <v>8033</v>
          </cell>
        </row>
        <row r="1562">
          <cell r="A1562">
            <v>8034</v>
          </cell>
        </row>
        <row r="1563">
          <cell r="A1563">
            <v>8035</v>
          </cell>
        </row>
        <row r="1564">
          <cell r="A1564">
            <v>8036</v>
          </cell>
        </row>
        <row r="1565">
          <cell r="A1565">
            <v>8037</v>
          </cell>
        </row>
        <row r="1566">
          <cell r="A1566">
            <v>8038</v>
          </cell>
        </row>
        <row r="1567">
          <cell r="A1567">
            <v>8039</v>
          </cell>
        </row>
        <row r="1568">
          <cell r="A1568">
            <v>8040</v>
          </cell>
        </row>
        <row r="1569">
          <cell r="A1569">
            <v>8041</v>
          </cell>
        </row>
        <row r="1570">
          <cell r="A1570">
            <v>8042</v>
          </cell>
        </row>
        <row r="1571">
          <cell r="A1571">
            <v>8043</v>
          </cell>
        </row>
        <row r="1572">
          <cell r="A1572">
            <v>8044</v>
          </cell>
        </row>
        <row r="1573">
          <cell r="A1573">
            <v>8045</v>
          </cell>
        </row>
        <row r="1574">
          <cell r="A1574">
            <v>8046</v>
          </cell>
        </row>
        <row r="1575">
          <cell r="A1575">
            <v>8047</v>
          </cell>
        </row>
        <row r="1576">
          <cell r="A1576">
            <v>8048</v>
          </cell>
        </row>
        <row r="1577">
          <cell r="A1577">
            <v>8049</v>
          </cell>
        </row>
        <row r="1578">
          <cell r="A1578">
            <v>8050</v>
          </cell>
        </row>
        <row r="1579">
          <cell r="A1579">
            <v>8051</v>
          </cell>
        </row>
        <row r="1580">
          <cell r="A1580">
            <v>8052</v>
          </cell>
        </row>
        <row r="1581">
          <cell r="A1581">
            <v>8053</v>
          </cell>
        </row>
        <row r="1582">
          <cell r="A1582">
            <v>8054</v>
          </cell>
        </row>
        <row r="1583">
          <cell r="A1583">
            <v>8055</v>
          </cell>
        </row>
        <row r="1584">
          <cell r="A1584">
            <v>8056</v>
          </cell>
        </row>
        <row r="1585">
          <cell r="A1585">
            <v>8057</v>
          </cell>
        </row>
        <row r="1586">
          <cell r="A1586">
            <v>8058</v>
          </cell>
        </row>
        <row r="1587">
          <cell r="A1587">
            <v>8059</v>
          </cell>
        </row>
        <row r="1588">
          <cell r="A1588">
            <v>8060</v>
          </cell>
        </row>
        <row r="1589">
          <cell r="A1589">
            <v>8061</v>
          </cell>
        </row>
        <row r="1590">
          <cell r="A1590">
            <v>8062</v>
          </cell>
        </row>
        <row r="1591">
          <cell r="A1591">
            <v>8063</v>
          </cell>
        </row>
        <row r="1592">
          <cell r="A1592">
            <v>8064</v>
          </cell>
        </row>
        <row r="1593">
          <cell r="A1593">
            <v>8065</v>
          </cell>
        </row>
        <row r="1594">
          <cell r="A1594">
            <v>8066</v>
          </cell>
        </row>
        <row r="1595">
          <cell r="A1595">
            <v>8067</v>
          </cell>
        </row>
        <row r="1596">
          <cell r="A1596">
            <v>8068</v>
          </cell>
        </row>
        <row r="1597">
          <cell r="A1597">
            <v>8069</v>
          </cell>
        </row>
        <row r="1598">
          <cell r="A1598">
            <v>8070</v>
          </cell>
        </row>
        <row r="1599">
          <cell r="A1599">
            <v>8071</v>
          </cell>
        </row>
        <row r="1600">
          <cell r="A1600">
            <v>8072</v>
          </cell>
        </row>
        <row r="1601">
          <cell r="A1601">
            <v>8073</v>
          </cell>
        </row>
        <row r="1602">
          <cell r="A1602">
            <v>8074</v>
          </cell>
        </row>
        <row r="1603">
          <cell r="A1603">
            <v>8075</v>
          </cell>
        </row>
        <row r="1604">
          <cell r="A1604">
            <v>8076</v>
          </cell>
        </row>
        <row r="1605">
          <cell r="A1605">
            <v>8077</v>
          </cell>
        </row>
        <row r="1606">
          <cell r="A1606">
            <v>8078</v>
          </cell>
        </row>
        <row r="1607">
          <cell r="A1607">
            <v>8079</v>
          </cell>
        </row>
        <row r="1608">
          <cell r="A1608">
            <v>8080</v>
          </cell>
        </row>
        <row r="1609">
          <cell r="A1609">
            <v>8081</v>
          </cell>
        </row>
        <row r="1610">
          <cell r="A1610">
            <v>8082</v>
          </cell>
        </row>
        <row r="1611">
          <cell r="A1611">
            <v>8083</v>
          </cell>
        </row>
        <row r="1612">
          <cell r="A1612">
            <v>8084</v>
          </cell>
        </row>
        <row r="1613">
          <cell r="A1613">
            <v>8087</v>
          </cell>
        </row>
        <row r="1614">
          <cell r="A1614">
            <v>8088</v>
          </cell>
        </row>
        <row r="1615">
          <cell r="A1615">
            <v>8089</v>
          </cell>
        </row>
        <row r="1616">
          <cell r="A1616">
            <v>8090</v>
          </cell>
        </row>
        <row r="1617">
          <cell r="A1617">
            <v>8095</v>
          </cell>
        </row>
        <row r="1618">
          <cell r="A1618">
            <v>8096</v>
          </cell>
        </row>
        <row r="1619">
          <cell r="A1619">
            <v>8097</v>
          </cell>
        </row>
        <row r="1620">
          <cell r="A1620">
            <v>8098</v>
          </cell>
        </row>
        <row r="1621">
          <cell r="A1621">
            <v>8099</v>
          </cell>
        </row>
        <row r="1622">
          <cell r="A1622">
            <v>8100</v>
          </cell>
        </row>
        <row r="1623">
          <cell r="A1623">
            <v>8101</v>
          </cell>
        </row>
        <row r="1624">
          <cell r="A1624">
            <v>8102</v>
          </cell>
        </row>
        <row r="1625">
          <cell r="A1625">
            <v>9001</v>
          </cell>
        </row>
        <row r="1626">
          <cell r="A1626">
            <v>9002</v>
          </cell>
        </row>
        <row r="1627">
          <cell r="A1627">
            <v>9003</v>
          </cell>
        </row>
        <row r="1628">
          <cell r="A1628">
            <v>9004</v>
          </cell>
        </row>
        <row r="1629">
          <cell r="A1629">
            <v>9005</v>
          </cell>
        </row>
        <row r="1630">
          <cell r="A1630">
            <v>9006</v>
          </cell>
        </row>
        <row r="1631">
          <cell r="A1631">
            <v>9007</v>
          </cell>
        </row>
        <row r="1632">
          <cell r="A1632">
            <v>9008</v>
          </cell>
        </row>
        <row r="1633">
          <cell r="A1633">
            <v>10001</v>
          </cell>
        </row>
        <row r="1634">
          <cell r="A1634">
            <v>10002</v>
          </cell>
        </row>
        <row r="1635">
          <cell r="A1635">
            <v>10003</v>
          </cell>
        </row>
        <row r="1636">
          <cell r="A1636">
            <v>10004</v>
          </cell>
        </row>
        <row r="1637">
          <cell r="A1637">
            <v>10005</v>
          </cell>
        </row>
        <row r="1638">
          <cell r="A1638">
            <v>10006</v>
          </cell>
        </row>
        <row r="1639">
          <cell r="A1639">
            <v>10007</v>
          </cell>
        </row>
        <row r="1640">
          <cell r="A1640">
            <v>10008</v>
          </cell>
        </row>
        <row r="1641">
          <cell r="A1641">
            <v>10009</v>
          </cell>
        </row>
        <row r="1642">
          <cell r="A1642">
            <v>10010</v>
          </cell>
        </row>
        <row r="1643">
          <cell r="A1643">
            <v>10011</v>
          </cell>
        </row>
        <row r="1644">
          <cell r="A1644">
            <v>10012</v>
          </cell>
        </row>
        <row r="1645">
          <cell r="A1645">
            <v>10013</v>
          </cell>
        </row>
        <row r="1646">
          <cell r="A1646">
            <v>10014</v>
          </cell>
        </row>
        <row r="1647">
          <cell r="A1647">
            <v>10015</v>
          </cell>
        </row>
        <row r="1648">
          <cell r="A1648">
            <v>10016</v>
          </cell>
        </row>
        <row r="1649">
          <cell r="A1649">
            <v>10017</v>
          </cell>
        </row>
        <row r="1650">
          <cell r="A1650">
            <v>10018</v>
          </cell>
        </row>
        <row r="1651">
          <cell r="A1651">
            <v>10019</v>
          </cell>
        </row>
        <row r="1652">
          <cell r="A1652">
            <v>10020</v>
          </cell>
        </row>
        <row r="1653">
          <cell r="A1653">
            <v>10021</v>
          </cell>
        </row>
        <row r="1654">
          <cell r="A1654">
            <v>10022</v>
          </cell>
        </row>
        <row r="1655">
          <cell r="A1655">
            <v>10023</v>
          </cell>
        </row>
        <row r="1656">
          <cell r="A1656">
            <v>10024</v>
          </cell>
        </row>
        <row r="1657">
          <cell r="A1657">
            <v>10025</v>
          </cell>
        </row>
        <row r="1658">
          <cell r="A1658">
            <v>10026</v>
          </cell>
        </row>
        <row r="1659">
          <cell r="A1659">
            <v>10027</v>
          </cell>
        </row>
        <row r="1660">
          <cell r="A1660">
            <v>10028</v>
          </cell>
        </row>
        <row r="1661">
          <cell r="A1661">
            <v>10029</v>
          </cell>
        </row>
        <row r="1662">
          <cell r="A1662">
            <v>10030</v>
          </cell>
        </row>
        <row r="1663">
          <cell r="A1663">
            <v>10031</v>
          </cell>
        </row>
        <row r="1664">
          <cell r="A1664">
            <v>10032</v>
          </cell>
        </row>
        <row r="1665">
          <cell r="A1665">
            <v>10033</v>
          </cell>
        </row>
        <row r="1666">
          <cell r="A1666">
            <v>10034</v>
          </cell>
        </row>
        <row r="1667">
          <cell r="A1667">
            <v>10035</v>
          </cell>
        </row>
        <row r="1668">
          <cell r="A1668">
            <v>10036</v>
          </cell>
        </row>
        <row r="1669">
          <cell r="A1669">
            <v>10037</v>
          </cell>
        </row>
        <row r="1670">
          <cell r="A1670">
            <v>10038</v>
          </cell>
        </row>
        <row r="1671">
          <cell r="A1671">
            <v>10039</v>
          </cell>
        </row>
        <row r="1672">
          <cell r="A1672">
            <v>10040</v>
          </cell>
        </row>
        <row r="1673">
          <cell r="A1673">
            <v>10041</v>
          </cell>
        </row>
        <row r="1674">
          <cell r="A1674">
            <v>10042</v>
          </cell>
        </row>
        <row r="1675">
          <cell r="A1675">
            <v>10043</v>
          </cell>
        </row>
        <row r="1676">
          <cell r="A1676">
            <v>10044</v>
          </cell>
        </row>
        <row r="1677">
          <cell r="A1677">
            <v>10045</v>
          </cell>
        </row>
        <row r="1678">
          <cell r="A1678">
            <v>10046</v>
          </cell>
        </row>
        <row r="1679">
          <cell r="A1679">
            <v>10047</v>
          </cell>
        </row>
        <row r="1680">
          <cell r="A1680">
            <v>10048</v>
          </cell>
        </row>
        <row r="1681">
          <cell r="A1681">
            <v>10049</v>
          </cell>
        </row>
        <row r="1682">
          <cell r="A1682">
            <v>10050</v>
          </cell>
        </row>
        <row r="1683">
          <cell r="A1683">
            <v>10051</v>
          </cell>
        </row>
        <row r="1684">
          <cell r="A1684">
            <v>10052</v>
          </cell>
        </row>
        <row r="1685">
          <cell r="A1685">
            <v>10053</v>
          </cell>
        </row>
        <row r="1686">
          <cell r="A1686">
            <v>10054</v>
          </cell>
        </row>
        <row r="1687">
          <cell r="A1687">
            <v>10055</v>
          </cell>
        </row>
        <row r="1688">
          <cell r="A1688">
            <v>10056</v>
          </cell>
        </row>
        <row r="1689">
          <cell r="A1689">
            <v>10057</v>
          </cell>
        </row>
        <row r="1690">
          <cell r="A1690">
            <v>10058</v>
          </cell>
        </row>
        <row r="1691">
          <cell r="A1691">
            <v>10059</v>
          </cell>
        </row>
        <row r="1692">
          <cell r="A1692">
            <v>10060</v>
          </cell>
        </row>
        <row r="1693">
          <cell r="A1693">
            <v>10061</v>
          </cell>
        </row>
        <row r="1694">
          <cell r="A1694">
            <v>10062</v>
          </cell>
        </row>
        <row r="1695">
          <cell r="A1695">
            <v>10063</v>
          </cell>
        </row>
        <row r="1696">
          <cell r="A1696">
            <v>10064</v>
          </cell>
        </row>
        <row r="1697">
          <cell r="A1697">
            <v>10065</v>
          </cell>
        </row>
        <row r="1698">
          <cell r="A1698">
            <v>10066</v>
          </cell>
        </row>
        <row r="1699">
          <cell r="A1699">
            <v>10067</v>
          </cell>
        </row>
        <row r="1700">
          <cell r="A1700">
            <v>10068</v>
          </cell>
        </row>
        <row r="1701">
          <cell r="A1701">
            <v>10069</v>
          </cell>
        </row>
        <row r="1702">
          <cell r="A1702">
            <v>10070</v>
          </cell>
        </row>
        <row r="1703">
          <cell r="A1703">
            <v>10071</v>
          </cell>
        </row>
        <row r="1704">
          <cell r="A1704">
            <v>10072</v>
          </cell>
        </row>
        <row r="1705">
          <cell r="A1705">
            <v>10073</v>
          </cell>
        </row>
        <row r="1706">
          <cell r="A1706">
            <v>10074</v>
          </cell>
        </row>
        <row r="1707">
          <cell r="A1707">
            <v>10075</v>
          </cell>
        </row>
        <row r="1708">
          <cell r="A1708">
            <v>10076</v>
          </cell>
        </row>
        <row r="1709">
          <cell r="A1709">
            <v>10077</v>
          </cell>
        </row>
        <row r="1710">
          <cell r="A1710">
            <v>10078</v>
          </cell>
        </row>
        <row r="1711">
          <cell r="A1711">
            <v>10079</v>
          </cell>
        </row>
        <row r="1712">
          <cell r="A1712">
            <v>10080</v>
          </cell>
        </row>
        <row r="1713">
          <cell r="A1713">
            <v>10081</v>
          </cell>
        </row>
        <row r="1714">
          <cell r="A1714">
            <v>10082</v>
          </cell>
        </row>
        <row r="1715">
          <cell r="A1715">
            <v>10083</v>
          </cell>
        </row>
        <row r="1716">
          <cell r="A1716">
            <v>10084</v>
          </cell>
        </row>
        <row r="1717">
          <cell r="A1717">
            <v>10085</v>
          </cell>
        </row>
        <row r="1718">
          <cell r="A1718">
            <v>10086</v>
          </cell>
        </row>
        <row r="1719">
          <cell r="A1719">
            <v>10087</v>
          </cell>
        </row>
        <row r="1720">
          <cell r="A1720">
            <v>10088</v>
          </cell>
        </row>
        <row r="1721">
          <cell r="A1721">
            <v>10089</v>
          </cell>
        </row>
        <row r="1722">
          <cell r="A1722">
            <v>10090</v>
          </cell>
        </row>
        <row r="1723">
          <cell r="A1723">
            <v>10101</v>
          </cell>
        </row>
        <row r="1724">
          <cell r="A1724">
            <v>10102</v>
          </cell>
        </row>
        <row r="1725">
          <cell r="A1725">
            <v>10103</v>
          </cell>
        </row>
      </sheetData>
      <sheetData sheetId="4"/>
      <sheetData sheetId="5"/>
      <sheetData sheetId="6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特殊効果"/>
      <sheetName val="スキル仕様"/>
      <sheetName val="enemy_skills"/>
      <sheetName val="enemy_skill_triggers"/>
      <sheetName val="enemy_skill_sets"/>
      <sheetName val="enemy_skills_tmp_0.tmp"/>
      <sheetName val="enemy_skills_i18n_0.tmp"/>
      <sheetName val="enemy_skill_triggers_0.tmp"/>
      <sheetName val="enemy_skill_sets_0.tmp"/>
    </sheetNames>
    <sheetDataSet>
      <sheetData sheetId="0"/>
      <sheetData sheetId="1"/>
      <sheetData sheetId="2"/>
      <sheetData sheetId="3"/>
      <sheetData sheetId="4"/>
      <sheetData sheetId="5">
        <row r="1">
          <cell r="A1" t="str">
            <v>temp_id</v>
          </cell>
          <cell r="B1" t="str">
            <v>skill_set_id</v>
          </cell>
          <cell r="C1" t="str">
            <v>skill_id</v>
          </cell>
          <cell r="D1" t="str">
            <v>name</v>
          </cell>
          <cell r="E1" t="str">
            <v>comment</v>
          </cell>
          <cell r="F1" t="str">
            <v>skill_trigger_id</v>
          </cell>
          <cell r="G1" t="str">
            <v>first_time</v>
          </cell>
          <cell r="H1" t="str">
            <v>invoke_rate</v>
          </cell>
          <cell r="I1" t="str">
            <v>invoke_weight</v>
          </cell>
          <cell r="J1" t="str">
            <v>hp_threshold</v>
          </cell>
          <cell r="K1" t="str">
            <v>invoke_times</v>
          </cell>
          <cell r="L1" t="str">
            <v>enemy_id</v>
          </cell>
          <cell r="M1" t="str">
            <v>name</v>
          </cell>
          <cell r="N1" t="str">
            <v>作成者</v>
          </cell>
          <cell r="O1" t="str">
            <v>更新日</v>
          </cell>
          <cell r="P1" t="str">
            <v>備考（使用箇所）</v>
          </cell>
        </row>
        <row r="2">
          <cell r="B2">
            <v>0</v>
          </cell>
        </row>
        <row r="3">
          <cell r="B3">
            <v>1001</v>
          </cell>
        </row>
        <row r="4">
          <cell r="B4">
            <v>28</v>
          </cell>
        </row>
        <row r="5">
          <cell r="B5">
            <v>30</v>
          </cell>
        </row>
        <row r="6">
          <cell r="B6">
            <v>33</v>
          </cell>
        </row>
        <row r="7">
          <cell r="B7">
            <v>34</v>
          </cell>
        </row>
        <row r="8">
          <cell r="B8">
            <v>35</v>
          </cell>
        </row>
        <row r="9">
          <cell r="B9">
            <v>35</v>
          </cell>
        </row>
        <row r="10">
          <cell r="B10">
            <v>3501</v>
          </cell>
        </row>
        <row r="11">
          <cell r="B11">
            <v>3501</v>
          </cell>
        </row>
        <row r="12">
          <cell r="B12">
            <v>36</v>
          </cell>
        </row>
        <row r="13">
          <cell r="B13">
            <v>36</v>
          </cell>
        </row>
        <row r="14">
          <cell r="B14">
            <v>3601</v>
          </cell>
        </row>
        <row r="15">
          <cell r="B15">
            <v>3601</v>
          </cell>
        </row>
        <row r="16">
          <cell r="B16">
            <v>37</v>
          </cell>
        </row>
        <row r="17">
          <cell r="B17">
            <v>37</v>
          </cell>
        </row>
        <row r="18">
          <cell r="B18">
            <v>38</v>
          </cell>
        </row>
        <row r="19">
          <cell r="B19">
            <v>38</v>
          </cell>
        </row>
        <row r="20">
          <cell r="B20">
            <v>39</v>
          </cell>
        </row>
        <row r="21">
          <cell r="B21">
            <v>40</v>
          </cell>
        </row>
        <row r="22">
          <cell r="B22">
            <v>42</v>
          </cell>
        </row>
        <row r="23">
          <cell r="B23">
            <v>4401</v>
          </cell>
        </row>
        <row r="24">
          <cell r="B24">
            <v>4402</v>
          </cell>
        </row>
        <row r="25">
          <cell r="B25">
            <v>46</v>
          </cell>
        </row>
        <row r="26">
          <cell r="B26">
            <v>49</v>
          </cell>
        </row>
        <row r="27">
          <cell r="B27">
            <v>50</v>
          </cell>
        </row>
        <row r="28">
          <cell r="B28">
            <v>51</v>
          </cell>
        </row>
        <row r="29">
          <cell r="B29">
            <v>53</v>
          </cell>
        </row>
        <row r="30">
          <cell r="B30">
            <v>5401</v>
          </cell>
        </row>
        <row r="31">
          <cell r="B31">
            <v>55</v>
          </cell>
        </row>
        <row r="32">
          <cell r="B32">
            <v>56</v>
          </cell>
        </row>
        <row r="33">
          <cell r="B33">
            <v>57</v>
          </cell>
        </row>
        <row r="34">
          <cell r="B34">
            <v>59</v>
          </cell>
        </row>
        <row r="35">
          <cell r="B35">
            <v>6001</v>
          </cell>
        </row>
        <row r="36">
          <cell r="B36">
            <v>61</v>
          </cell>
        </row>
        <row r="37">
          <cell r="B37">
            <v>62</v>
          </cell>
        </row>
        <row r="38">
          <cell r="B38">
            <v>6201</v>
          </cell>
        </row>
        <row r="39">
          <cell r="B39">
            <v>63</v>
          </cell>
        </row>
        <row r="40">
          <cell r="B40">
            <v>64</v>
          </cell>
        </row>
        <row r="41">
          <cell r="B41">
            <v>65</v>
          </cell>
        </row>
        <row r="42">
          <cell r="B42">
            <v>66</v>
          </cell>
        </row>
        <row r="43">
          <cell r="B43">
            <v>67</v>
          </cell>
        </row>
        <row r="44">
          <cell r="B44">
            <v>68</v>
          </cell>
        </row>
        <row r="45">
          <cell r="B45">
            <v>69</v>
          </cell>
        </row>
        <row r="46">
          <cell r="B46">
            <v>71</v>
          </cell>
        </row>
        <row r="47">
          <cell r="B47">
            <v>1071</v>
          </cell>
        </row>
        <row r="48">
          <cell r="B48">
            <v>72</v>
          </cell>
        </row>
        <row r="49">
          <cell r="B49">
            <v>74</v>
          </cell>
        </row>
        <row r="50">
          <cell r="B50">
            <v>75</v>
          </cell>
        </row>
        <row r="51">
          <cell r="B51">
            <v>76</v>
          </cell>
        </row>
        <row r="52">
          <cell r="B52">
            <v>77</v>
          </cell>
        </row>
        <row r="53">
          <cell r="B53">
            <v>79</v>
          </cell>
        </row>
        <row r="54">
          <cell r="B54">
            <v>81</v>
          </cell>
        </row>
        <row r="55">
          <cell r="B55">
            <v>83</v>
          </cell>
        </row>
        <row r="56">
          <cell r="B56">
            <v>85</v>
          </cell>
        </row>
        <row r="57">
          <cell r="B57">
            <v>86</v>
          </cell>
        </row>
        <row r="58">
          <cell r="B58">
            <v>8601</v>
          </cell>
        </row>
        <row r="59">
          <cell r="B59">
            <v>8602</v>
          </cell>
        </row>
        <row r="60">
          <cell r="B60">
            <v>88</v>
          </cell>
        </row>
        <row r="61">
          <cell r="B61">
            <v>89</v>
          </cell>
        </row>
        <row r="62">
          <cell r="B62">
            <v>8901</v>
          </cell>
        </row>
        <row r="63">
          <cell r="B63">
            <v>8902</v>
          </cell>
        </row>
        <row r="64">
          <cell r="B64">
            <v>8902</v>
          </cell>
        </row>
        <row r="65">
          <cell r="B65">
            <v>9501</v>
          </cell>
        </row>
        <row r="66">
          <cell r="B66">
            <v>11701</v>
          </cell>
        </row>
        <row r="67">
          <cell r="B67">
            <v>11701</v>
          </cell>
        </row>
        <row r="68">
          <cell r="B68">
            <v>11702</v>
          </cell>
        </row>
        <row r="69">
          <cell r="B69">
            <v>11703</v>
          </cell>
        </row>
        <row r="70">
          <cell r="B70">
            <v>11704</v>
          </cell>
        </row>
        <row r="71">
          <cell r="B71">
            <v>11801</v>
          </cell>
        </row>
        <row r="72">
          <cell r="B72">
            <v>11802</v>
          </cell>
        </row>
        <row r="73">
          <cell r="B73">
            <v>11803</v>
          </cell>
        </row>
        <row r="74">
          <cell r="B74">
            <v>11901</v>
          </cell>
        </row>
        <row r="75">
          <cell r="B75">
            <v>11902</v>
          </cell>
        </row>
        <row r="76">
          <cell r="B76">
            <v>11903</v>
          </cell>
        </row>
        <row r="77">
          <cell r="B77">
            <v>126</v>
          </cell>
        </row>
        <row r="78">
          <cell r="B78">
            <v>12701</v>
          </cell>
        </row>
        <row r="79">
          <cell r="B79">
            <v>128</v>
          </cell>
        </row>
        <row r="80">
          <cell r="B80">
            <v>12801</v>
          </cell>
        </row>
        <row r="81">
          <cell r="B81">
            <v>130</v>
          </cell>
        </row>
        <row r="82">
          <cell r="B82">
            <v>13001</v>
          </cell>
        </row>
        <row r="83">
          <cell r="B83">
            <v>13001</v>
          </cell>
        </row>
        <row r="84">
          <cell r="B84">
            <v>13002</v>
          </cell>
        </row>
        <row r="85">
          <cell r="B85">
            <v>13002</v>
          </cell>
        </row>
        <row r="86">
          <cell r="B86">
            <v>13002</v>
          </cell>
        </row>
        <row r="87">
          <cell r="B87">
            <v>13101</v>
          </cell>
        </row>
        <row r="88">
          <cell r="B88">
            <v>13101</v>
          </cell>
        </row>
        <row r="89">
          <cell r="B89">
            <v>13101</v>
          </cell>
        </row>
        <row r="90">
          <cell r="B90">
            <v>132</v>
          </cell>
        </row>
        <row r="91">
          <cell r="B91">
            <v>13301</v>
          </cell>
        </row>
        <row r="92">
          <cell r="B92">
            <v>13301</v>
          </cell>
        </row>
        <row r="93">
          <cell r="B93">
            <v>13301</v>
          </cell>
        </row>
        <row r="94">
          <cell r="B94">
            <v>13301</v>
          </cell>
        </row>
        <row r="95">
          <cell r="B95">
            <v>134</v>
          </cell>
        </row>
        <row r="96">
          <cell r="B96">
            <v>136</v>
          </cell>
        </row>
        <row r="97">
          <cell r="B97">
            <v>139</v>
          </cell>
        </row>
        <row r="98">
          <cell r="B98">
            <v>140</v>
          </cell>
        </row>
        <row r="99">
          <cell r="B99">
            <v>14001</v>
          </cell>
        </row>
        <row r="100">
          <cell r="B100">
            <v>141</v>
          </cell>
        </row>
        <row r="101">
          <cell r="B101">
            <v>10141</v>
          </cell>
        </row>
        <row r="102">
          <cell r="B102">
            <v>14201</v>
          </cell>
        </row>
        <row r="103">
          <cell r="B103">
            <v>14301</v>
          </cell>
        </row>
        <row r="104">
          <cell r="B104">
            <v>14301</v>
          </cell>
        </row>
        <row r="105">
          <cell r="B105">
            <v>14301</v>
          </cell>
        </row>
        <row r="106">
          <cell r="B106">
            <v>146</v>
          </cell>
        </row>
        <row r="107">
          <cell r="B107">
            <v>14601</v>
          </cell>
        </row>
        <row r="108">
          <cell r="B108">
            <v>14601</v>
          </cell>
        </row>
        <row r="109">
          <cell r="B109">
            <v>14601</v>
          </cell>
        </row>
        <row r="110">
          <cell r="B110">
            <v>148</v>
          </cell>
        </row>
        <row r="111">
          <cell r="B111">
            <v>148</v>
          </cell>
        </row>
        <row r="112">
          <cell r="B112">
            <v>149</v>
          </cell>
        </row>
        <row r="113">
          <cell r="B113">
            <v>149</v>
          </cell>
        </row>
        <row r="114">
          <cell r="B114">
            <v>151</v>
          </cell>
        </row>
        <row r="115">
          <cell r="B115">
            <v>151</v>
          </cell>
        </row>
        <row r="116">
          <cell r="B116">
            <v>152</v>
          </cell>
        </row>
        <row r="117">
          <cell r="B117">
            <v>152</v>
          </cell>
        </row>
        <row r="118">
          <cell r="B118">
            <v>153</v>
          </cell>
        </row>
        <row r="119">
          <cell r="B119">
            <v>153</v>
          </cell>
        </row>
        <row r="120">
          <cell r="B120">
            <v>153</v>
          </cell>
        </row>
        <row r="121">
          <cell r="B121">
            <v>154</v>
          </cell>
        </row>
        <row r="122">
          <cell r="B122">
            <v>15501</v>
          </cell>
        </row>
        <row r="123">
          <cell r="B123">
            <v>15501</v>
          </cell>
        </row>
        <row r="124">
          <cell r="B124">
            <v>15501</v>
          </cell>
        </row>
        <row r="125">
          <cell r="B125">
            <v>156</v>
          </cell>
        </row>
        <row r="126">
          <cell r="B126">
            <v>156</v>
          </cell>
        </row>
        <row r="127">
          <cell r="B127">
            <v>15601</v>
          </cell>
        </row>
        <row r="128">
          <cell r="B128">
            <v>157</v>
          </cell>
        </row>
        <row r="129">
          <cell r="B129">
            <v>160</v>
          </cell>
        </row>
        <row r="130">
          <cell r="B130">
            <v>16101</v>
          </cell>
        </row>
        <row r="131">
          <cell r="B131">
            <v>16101</v>
          </cell>
        </row>
        <row r="132">
          <cell r="B132">
            <v>16101</v>
          </cell>
        </row>
        <row r="133">
          <cell r="B133">
            <v>16101</v>
          </cell>
        </row>
        <row r="134">
          <cell r="B134">
            <v>16201</v>
          </cell>
        </row>
        <row r="135">
          <cell r="B135">
            <v>16301</v>
          </cell>
        </row>
        <row r="136">
          <cell r="B136">
            <v>16302</v>
          </cell>
        </row>
        <row r="137">
          <cell r="B137">
            <v>16302</v>
          </cell>
        </row>
        <row r="138">
          <cell r="B138">
            <v>164</v>
          </cell>
        </row>
        <row r="139">
          <cell r="B139">
            <v>164</v>
          </cell>
        </row>
        <row r="140">
          <cell r="B140">
            <v>16501</v>
          </cell>
        </row>
        <row r="141">
          <cell r="B141">
            <v>16502</v>
          </cell>
        </row>
        <row r="142">
          <cell r="B142">
            <v>169</v>
          </cell>
        </row>
        <row r="143">
          <cell r="B143">
            <v>172</v>
          </cell>
        </row>
        <row r="144">
          <cell r="B144">
            <v>17001</v>
          </cell>
        </row>
        <row r="145">
          <cell r="B145">
            <v>17001</v>
          </cell>
        </row>
        <row r="146">
          <cell r="B146">
            <v>17001</v>
          </cell>
        </row>
        <row r="147">
          <cell r="B147">
            <v>17001</v>
          </cell>
        </row>
        <row r="148">
          <cell r="B148">
            <v>17101</v>
          </cell>
        </row>
        <row r="149">
          <cell r="B149">
            <v>17102</v>
          </cell>
        </row>
        <row r="150">
          <cell r="B150">
            <v>17102</v>
          </cell>
        </row>
        <row r="151">
          <cell r="B151">
            <v>17102</v>
          </cell>
        </row>
        <row r="152">
          <cell r="B152">
            <v>17102</v>
          </cell>
        </row>
        <row r="153">
          <cell r="B153">
            <v>17601</v>
          </cell>
        </row>
        <row r="154">
          <cell r="B154">
            <v>17601</v>
          </cell>
        </row>
        <row r="155">
          <cell r="B155">
            <v>178</v>
          </cell>
        </row>
        <row r="156">
          <cell r="B156">
            <v>17801</v>
          </cell>
        </row>
        <row r="157">
          <cell r="B157">
            <v>182</v>
          </cell>
        </row>
        <row r="158">
          <cell r="B158">
            <v>18201</v>
          </cell>
        </row>
        <row r="159">
          <cell r="B159">
            <v>18201</v>
          </cell>
        </row>
        <row r="160">
          <cell r="B160">
            <v>184</v>
          </cell>
        </row>
        <row r="161">
          <cell r="B161">
            <v>185</v>
          </cell>
        </row>
        <row r="162">
          <cell r="B162">
            <v>18501</v>
          </cell>
        </row>
        <row r="163">
          <cell r="B163">
            <v>18501</v>
          </cell>
        </row>
        <row r="164">
          <cell r="B164">
            <v>18502</v>
          </cell>
        </row>
        <row r="165">
          <cell r="B165">
            <v>18502</v>
          </cell>
        </row>
        <row r="166">
          <cell r="B166">
            <v>18502</v>
          </cell>
        </row>
        <row r="167">
          <cell r="B167">
            <v>187</v>
          </cell>
        </row>
        <row r="168">
          <cell r="B168">
            <v>18701</v>
          </cell>
        </row>
        <row r="169">
          <cell r="B169">
            <v>18801</v>
          </cell>
        </row>
        <row r="170">
          <cell r="B170">
            <v>18801</v>
          </cell>
        </row>
        <row r="171">
          <cell r="B171">
            <v>18801</v>
          </cell>
        </row>
        <row r="172">
          <cell r="B172">
            <v>18801</v>
          </cell>
        </row>
        <row r="173">
          <cell r="B173">
            <v>18801</v>
          </cell>
        </row>
        <row r="174">
          <cell r="B174">
            <v>193</v>
          </cell>
        </row>
        <row r="175">
          <cell r="B175">
            <v>194</v>
          </cell>
        </row>
        <row r="176">
          <cell r="B176">
            <v>197</v>
          </cell>
        </row>
        <row r="177">
          <cell r="B177">
            <v>198</v>
          </cell>
        </row>
        <row r="178">
          <cell r="B178">
            <v>197</v>
          </cell>
        </row>
        <row r="179">
          <cell r="B179">
            <v>198</v>
          </cell>
        </row>
        <row r="180">
          <cell r="B180">
            <v>10197</v>
          </cell>
        </row>
        <row r="181">
          <cell r="B181">
            <v>199</v>
          </cell>
        </row>
        <row r="182">
          <cell r="B182">
            <v>200</v>
          </cell>
        </row>
        <row r="183">
          <cell r="B183">
            <v>20001</v>
          </cell>
        </row>
        <row r="184">
          <cell r="B184">
            <v>20001</v>
          </cell>
        </row>
        <row r="185">
          <cell r="B185">
            <v>202</v>
          </cell>
        </row>
        <row r="186">
          <cell r="B186">
            <v>20201</v>
          </cell>
        </row>
        <row r="187">
          <cell r="B187">
            <v>20201</v>
          </cell>
        </row>
        <row r="188">
          <cell r="B188">
            <v>203</v>
          </cell>
        </row>
        <row r="189">
          <cell r="B189">
            <v>20501</v>
          </cell>
        </row>
        <row r="190">
          <cell r="B190">
            <v>20501</v>
          </cell>
        </row>
        <row r="191">
          <cell r="B191">
            <v>206</v>
          </cell>
        </row>
        <row r="192">
          <cell r="B192">
            <v>20801</v>
          </cell>
        </row>
        <row r="193">
          <cell r="B193">
            <v>211</v>
          </cell>
        </row>
        <row r="194">
          <cell r="B194">
            <v>212</v>
          </cell>
        </row>
        <row r="195">
          <cell r="B195">
            <v>215</v>
          </cell>
        </row>
        <row r="196">
          <cell r="B196">
            <v>215</v>
          </cell>
        </row>
        <row r="197">
          <cell r="B197">
            <v>21701</v>
          </cell>
        </row>
        <row r="198">
          <cell r="B198">
            <v>21702</v>
          </cell>
        </row>
        <row r="199">
          <cell r="B199">
            <v>21801</v>
          </cell>
        </row>
        <row r="200">
          <cell r="B200">
            <v>219</v>
          </cell>
        </row>
        <row r="201">
          <cell r="B201">
            <v>22001</v>
          </cell>
        </row>
        <row r="202">
          <cell r="B202">
            <v>22001</v>
          </cell>
        </row>
        <row r="203">
          <cell r="B203">
            <v>22001</v>
          </cell>
        </row>
        <row r="204">
          <cell r="B204">
            <v>22001</v>
          </cell>
        </row>
        <row r="205">
          <cell r="B205">
            <v>22101</v>
          </cell>
        </row>
        <row r="206">
          <cell r="B206">
            <v>224</v>
          </cell>
        </row>
        <row r="207">
          <cell r="B207">
            <v>224</v>
          </cell>
        </row>
        <row r="208">
          <cell r="B208">
            <v>22601</v>
          </cell>
        </row>
        <row r="209">
          <cell r="B209">
            <v>22601</v>
          </cell>
        </row>
        <row r="210">
          <cell r="B210">
            <v>229</v>
          </cell>
        </row>
        <row r="211">
          <cell r="B211">
            <v>22901</v>
          </cell>
        </row>
        <row r="212">
          <cell r="B212">
            <v>230</v>
          </cell>
        </row>
        <row r="213">
          <cell r="B213">
            <v>231</v>
          </cell>
        </row>
        <row r="214">
          <cell r="B214">
            <v>232</v>
          </cell>
        </row>
        <row r="215">
          <cell r="B215">
            <v>233</v>
          </cell>
        </row>
        <row r="216">
          <cell r="B216">
            <v>23601</v>
          </cell>
        </row>
        <row r="217">
          <cell r="B217">
            <v>241</v>
          </cell>
        </row>
        <row r="218">
          <cell r="B218">
            <v>24201</v>
          </cell>
        </row>
        <row r="219">
          <cell r="B219">
            <v>24201</v>
          </cell>
        </row>
        <row r="220">
          <cell r="B220">
            <v>24202</v>
          </cell>
        </row>
        <row r="221">
          <cell r="B221">
            <v>24202</v>
          </cell>
        </row>
        <row r="222">
          <cell r="B222">
            <v>24701</v>
          </cell>
        </row>
        <row r="223">
          <cell r="B223">
            <v>24801</v>
          </cell>
        </row>
        <row r="224">
          <cell r="B224">
            <v>24802</v>
          </cell>
        </row>
        <row r="225">
          <cell r="B225">
            <v>25001</v>
          </cell>
        </row>
        <row r="226">
          <cell r="B226">
            <v>25201</v>
          </cell>
        </row>
        <row r="227">
          <cell r="B227">
            <v>25202</v>
          </cell>
        </row>
        <row r="228">
          <cell r="B228">
            <v>25203</v>
          </cell>
        </row>
        <row r="229">
          <cell r="B229">
            <v>254</v>
          </cell>
        </row>
        <row r="230">
          <cell r="B230">
            <v>254</v>
          </cell>
        </row>
        <row r="231">
          <cell r="B231">
            <v>256</v>
          </cell>
        </row>
        <row r="232">
          <cell r="B232">
            <v>257</v>
          </cell>
        </row>
        <row r="233">
          <cell r="B233">
            <v>317</v>
          </cell>
        </row>
        <row r="234">
          <cell r="B234">
            <v>317</v>
          </cell>
        </row>
        <row r="235">
          <cell r="B235">
            <v>317</v>
          </cell>
        </row>
        <row r="236">
          <cell r="B236">
            <v>317</v>
          </cell>
        </row>
        <row r="237">
          <cell r="B237">
            <v>317</v>
          </cell>
        </row>
        <row r="238">
          <cell r="B238">
            <v>317</v>
          </cell>
        </row>
        <row r="239">
          <cell r="B239">
            <v>317</v>
          </cell>
        </row>
        <row r="240">
          <cell r="B240">
            <v>319</v>
          </cell>
        </row>
        <row r="241">
          <cell r="B241">
            <v>319</v>
          </cell>
        </row>
        <row r="242">
          <cell r="B242">
            <v>319</v>
          </cell>
        </row>
        <row r="243">
          <cell r="B243">
            <v>319</v>
          </cell>
        </row>
        <row r="244">
          <cell r="B244">
            <v>319</v>
          </cell>
        </row>
        <row r="245">
          <cell r="B245">
            <v>319</v>
          </cell>
        </row>
        <row r="246">
          <cell r="B246">
            <v>3571</v>
          </cell>
        </row>
        <row r="247">
          <cell r="B247">
            <v>2666</v>
          </cell>
        </row>
        <row r="248">
          <cell r="B248">
            <v>20011</v>
          </cell>
        </row>
        <row r="249">
          <cell r="B249">
            <v>263</v>
          </cell>
        </row>
        <row r="250">
          <cell r="B250">
            <v>266</v>
          </cell>
        </row>
        <row r="251">
          <cell r="B251">
            <v>272</v>
          </cell>
        </row>
        <row r="252">
          <cell r="B252">
            <v>272</v>
          </cell>
        </row>
        <row r="253">
          <cell r="B253">
            <v>272</v>
          </cell>
        </row>
        <row r="254">
          <cell r="B254">
            <v>272</v>
          </cell>
        </row>
        <row r="255">
          <cell r="B255">
            <v>274</v>
          </cell>
        </row>
        <row r="256">
          <cell r="B256">
            <v>275</v>
          </cell>
        </row>
        <row r="257">
          <cell r="B257">
            <v>275</v>
          </cell>
        </row>
        <row r="258">
          <cell r="B258">
            <v>268</v>
          </cell>
        </row>
        <row r="259">
          <cell r="B259">
            <v>264</v>
          </cell>
        </row>
        <row r="260">
          <cell r="B260">
            <v>270</v>
          </cell>
        </row>
        <row r="261">
          <cell r="B261">
            <v>271</v>
          </cell>
        </row>
        <row r="262">
          <cell r="B262">
            <v>271</v>
          </cell>
        </row>
        <row r="263">
          <cell r="B263">
            <v>276</v>
          </cell>
        </row>
        <row r="264">
          <cell r="B264">
            <v>276</v>
          </cell>
        </row>
        <row r="265">
          <cell r="B265">
            <v>277</v>
          </cell>
        </row>
        <row r="266">
          <cell r="B266">
            <v>277</v>
          </cell>
        </row>
        <row r="267">
          <cell r="B267">
            <v>277</v>
          </cell>
        </row>
        <row r="268">
          <cell r="B268">
            <v>1063</v>
          </cell>
        </row>
        <row r="269">
          <cell r="B269">
            <v>1055</v>
          </cell>
        </row>
        <row r="270">
          <cell r="B270">
            <v>2063</v>
          </cell>
        </row>
        <row r="271">
          <cell r="B271">
            <v>1123</v>
          </cell>
        </row>
        <row r="272">
          <cell r="B272">
            <v>1221</v>
          </cell>
        </row>
        <row r="273">
          <cell r="B273">
            <v>1221</v>
          </cell>
        </row>
        <row r="274">
          <cell r="B274">
            <v>1211</v>
          </cell>
        </row>
        <row r="275">
          <cell r="B275">
            <v>1231</v>
          </cell>
        </row>
        <row r="276">
          <cell r="B276">
            <v>1045</v>
          </cell>
        </row>
        <row r="277">
          <cell r="B277">
            <v>278</v>
          </cell>
        </row>
        <row r="278">
          <cell r="B278">
            <v>278</v>
          </cell>
        </row>
        <row r="279">
          <cell r="B279">
            <v>279</v>
          </cell>
        </row>
        <row r="280">
          <cell r="B280">
            <v>279</v>
          </cell>
        </row>
        <row r="281">
          <cell r="B281">
            <v>13501</v>
          </cell>
        </row>
        <row r="282">
          <cell r="B282">
            <v>13501</v>
          </cell>
        </row>
        <row r="283">
          <cell r="B283">
            <v>13501</v>
          </cell>
        </row>
        <row r="284">
          <cell r="B284">
            <v>13501</v>
          </cell>
        </row>
        <row r="285">
          <cell r="B285">
            <v>13501</v>
          </cell>
        </row>
        <row r="286">
          <cell r="B286">
            <v>192</v>
          </cell>
        </row>
        <row r="287">
          <cell r="B287">
            <v>266</v>
          </cell>
        </row>
        <row r="288">
          <cell r="B288">
            <v>266</v>
          </cell>
        </row>
        <row r="289">
          <cell r="B289">
            <v>266</v>
          </cell>
        </row>
        <row r="290">
          <cell r="B290">
            <v>266</v>
          </cell>
        </row>
        <row r="291">
          <cell r="B291">
            <v>28201</v>
          </cell>
        </row>
        <row r="292">
          <cell r="B292">
            <v>28202</v>
          </cell>
        </row>
        <row r="293">
          <cell r="B293">
            <v>28201</v>
          </cell>
        </row>
        <row r="294">
          <cell r="B294">
            <v>28202</v>
          </cell>
        </row>
        <row r="295">
          <cell r="B295">
            <v>28202</v>
          </cell>
        </row>
        <row r="296">
          <cell r="B296">
            <v>13201</v>
          </cell>
        </row>
        <row r="297">
          <cell r="B297">
            <v>286</v>
          </cell>
        </row>
        <row r="298">
          <cell r="B298">
            <v>286</v>
          </cell>
        </row>
        <row r="299">
          <cell r="B299">
            <v>286</v>
          </cell>
        </row>
        <row r="300">
          <cell r="B300">
            <v>22401</v>
          </cell>
        </row>
        <row r="301">
          <cell r="B301">
            <v>22401</v>
          </cell>
        </row>
        <row r="302">
          <cell r="B302">
            <v>22401</v>
          </cell>
        </row>
        <row r="303">
          <cell r="B303">
            <v>22401</v>
          </cell>
        </row>
        <row r="304">
          <cell r="B304">
            <v>20601</v>
          </cell>
        </row>
        <row r="305">
          <cell r="B305">
            <v>20601</v>
          </cell>
        </row>
        <row r="306">
          <cell r="B306">
            <v>20901</v>
          </cell>
        </row>
        <row r="307">
          <cell r="B307">
            <v>20901</v>
          </cell>
        </row>
        <row r="308">
          <cell r="B308">
            <v>20901</v>
          </cell>
        </row>
        <row r="309">
          <cell r="B309">
            <v>20901</v>
          </cell>
        </row>
        <row r="310">
          <cell r="B310">
            <v>20901</v>
          </cell>
        </row>
        <row r="311">
          <cell r="B311">
            <v>19101</v>
          </cell>
        </row>
        <row r="312">
          <cell r="B312">
            <v>19101</v>
          </cell>
        </row>
        <row r="313">
          <cell r="B313">
            <v>19101</v>
          </cell>
        </row>
        <row r="314">
          <cell r="B314">
            <v>19101</v>
          </cell>
        </row>
        <row r="315">
          <cell r="B315">
            <v>19101</v>
          </cell>
        </row>
        <row r="316">
          <cell r="B316">
            <v>19101</v>
          </cell>
        </row>
        <row r="317">
          <cell r="B317">
            <v>12901</v>
          </cell>
        </row>
        <row r="318">
          <cell r="B318">
            <v>12901</v>
          </cell>
        </row>
        <row r="319">
          <cell r="B319">
            <v>29001</v>
          </cell>
        </row>
        <row r="320">
          <cell r="B320">
            <v>29001</v>
          </cell>
        </row>
        <row r="321">
          <cell r="B321">
            <v>29001</v>
          </cell>
        </row>
        <row r="322">
          <cell r="B322">
            <v>29002</v>
          </cell>
        </row>
        <row r="323">
          <cell r="B323">
            <v>29002</v>
          </cell>
        </row>
        <row r="324">
          <cell r="B324">
            <v>29002</v>
          </cell>
        </row>
        <row r="325">
          <cell r="B325">
            <v>29002</v>
          </cell>
        </row>
        <row r="326">
          <cell r="B326">
            <v>292</v>
          </cell>
        </row>
        <row r="327">
          <cell r="B327">
            <v>292</v>
          </cell>
        </row>
        <row r="328">
          <cell r="B328">
            <v>29201</v>
          </cell>
        </row>
        <row r="329">
          <cell r="B329">
            <v>29201</v>
          </cell>
        </row>
        <row r="330">
          <cell r="B330">
            <v>29201</v>
          </cell>
        </row>
        <row r="331">
          <cell r="B331">
            <v>293</v>
          </cell>
        </row>
        <row r="332">
          <cell r="B332">
            <v>293</v>
          </cell>
        </row>
        <row r="333">
          <cell r="B333">
            <v>293</v>
          </cell>
        </row>
        <row r="334">
          <cell r="B334">
            <v>293</v>
          </cell>
        </row>
        <row r="335">
          <cell r="B335">
            <v>297</v>
          </cell>
        </row>
        <row r="336">
          <cell r="B336">
            <v>29701</v>
          </cell>
        </row>
        <row r="337">
          <cell r="B337">
            <v>29701</v>
          </cell>
        </row>
        <row r="338">
          <cell r="B338">
            <v>29701</v>
          </cell>
        </row>
        <row r="339">
          <cell r="B339">
            <v>29701</v>
          </cell>
        </row>
        <row r="340">
          <cell r="B340">
            <v>29702</v>
          </cell>
        </row>
        <row r="341">
          <cell r="B341">
            <v>29702</v>
          </cell>
        </row>
        <row r="342">
          <cell r="B342">
            <v>29702</v>
          </cell>
        </row>
        <row r="343">
          <cell r="B343">
            <v>29702</v>
          </cell>
        </row>
        <row r="344">
          <cell r="B344">
            <v>29702</v>
          </cell>
        </row>
        <row r="345">
          <cell r="B345">
            <v>29703</v>
          </cell>
        </row>
        <row r="346">
          <cell r="B346">
            <v>29703</v>
          </cell>
        </row>
        <row r="347">
          <cell r="B347">
            <v>29703</v>
          </cell>
        </row>
        <row r="348">
          <cell r="B348">
            <v>29704</v>
          </cell>
        </row>
        <row r="349">
          <cell r="B349">
            <v>29704</v>
          </cell>
        </row>
        <row r="350">
          <cell r="B350">
            <v>29704</v>
          </cell>
        </row>
        <row r="351">
          <cell r="B351">
            <v>29704</v>
          </cell>
        </row>
        <row r="352">
          <cell r="B352">
            <v>29704</v>
          </cell>
        </row>
        <row r="353">
          <cell r="B353">
            <v>29704</v>
          </cell>
        </row>
        <row r="354">
          <cell r="B354">
            <v>29705</v>
          </cell>
        </row>
        <row r="355">
          <cell r="B355">
            <v>29705</v>
          </cell>
        </row>
        <row r="356">
          <cell r="B356">
            <v>29705</v>
          </cell>
        </row>
        <row r="357">
          <cell r="B357">
            <v>29705</v>
          </cell>
        </row>
        <row r="358">
          <cell r="B358">
            <v>29705</v>
          </cell>
        </row>
        <row r="359">
          <cell r="B359">
            <v>29705</v>
          </cell>
        </row>
        <row r="360">
          <cell r="B360">
            <v>14101</v>
          </cell>
        </row>
        <row r="361">
          <cell r="B361">
            <v>3301</v>
          </cell>
        </row>
        <row r="362">
          <cell r="B362">
            <v>15101</v>
          </cell>
        </row>
        <row r="363">
          <cell r="B363">
            <v>15101</v>
          </cell>
        </row>
        <row r="364">
          <cell r="B364">
            <v>15101</v>
          </cell>
        </row>
        <row r="365">
          <cell r="B365">
            <v>15101</v>
          </cell>
        </row>
        <row r="366">
          <cell r="B366">
            <v>28701</v>
          </cell>
        </row>
        <row r="367">
          <cell r="B367">
            <v>28701</v>
          </cell>
        </row>
        <row r="368">
          <cell r="B368">
            <v>28701</v>
          </cell>
        </row>
        <row r="369">
          <cell r="B369">
            <v>294</v>
          </cell>
        </row>
        <row r="370">
          <cell r="B370">
            <v>29401</v>
          </cell>
        </row>
        <row r="371">
          <cell r="B371">
            <v>29401</v>
          </cell>
        </row>
        <row r="372">
          <cell r="B372">
            <v>295</v>
          </cell>
        </row>
        <row r="373">
          <cell r="B373">
            <v>295</v>
          </cell>
        </row>
        <row r="374">
          <cell r="B374">
            <v>30401</v>
          </cell>
        </row>
        <row r="375">
          <cell r="B375">
            <v>30401</v>
          </cell>
        </row>
        <row r="376">
          <cell r="B376">
            <v>30401</v>
          </cell>
        </row>
        <row r="377">
          <cell r="B377">
            <v>30401</v>
          </cell>
        </row>
        <row r="378">
          <cell r="B378">
            <v>30401</v>
          </cell>
        </row>
        <row r="379">
          <cell r="B379">
            <v>30402</v>
          </cell>
        </row>
        <row r="380">
          <cell r="B380">
            <v>30402</v>
          </cell>
        </row>
        <row r="381">
          <cell r="B381">
            <v>30402</v>
          </cell>
        </row>
        <row r="382">
          <cell r="B382">
            <v>30402</v>
          </cell>
        </row>
        <row r="383">
          <cell r="B383">
            <v>30402</v>
          </cell>
        </row>
        <row r="384">
          <cell r="B384">
            <v>30501</v>
          </cell>
        </row>
        <row r="385">
          <cell r="B385">
            <v>30501</v>
          </cell>
        </row>
        <row r="386">
          <cell r="B386">
            <v>30501</v>
          </cell>
        </row>
        <row r="387">
          <cell r="B387">
            <v>30501</v>
          </cell>
        </row>
        <row r="388">
          <cell r="B388">
            <v>30501</v>
          </cell>
        </row>
        <row r="389">
          <cell r="B389">
            <v>30501</v>
          </cell>
        </row>
        <row r="390">
          <cell r="B390">
            <v>284</v>
          </cell>
        </row>
        <row r="391">
          <cell r="B391">
            <v>284</v>
          </cell>
        </row>
        <row r="392">
          <cell r="B392">
            <v>14202</v>
          </cell>
        </row>
        <row r="393">
          <cell r="B393">
            <v>12702</v>
          </cell>
        </row>
        <row r="394">
          <cell r="B394">
            <v>12702</v>
          </cell>
        </row>
        <row r="395">
          <cell r="B395">
            <v>14401</v>
          </cell>
        </row>
        <row r="396">
          <cell r="B396">
            <v>15201</v>
          </cell>
        </row>
        <row r="397">
          <cell r="B397">
            <v>15201</v>
          </cell>
        </row>
        <row r="398">
          <cell r="B398">
            <v>15201</v>
          </cell>
        </row>
        <row r="399">
          <cell r="B399">
            <v>15201</v>
          </cell>
        </row>
        <row r="400">
          <cell r="B400">
            <v>21201</v>
          </cell>
        </row>
        <row r="401">
          <cell r="B401">
            <v>21201</v>
          </cell>
        </row>
        <row r="402">
          <cell r="B402">
            <v>21201</v>
          </cell>
        </row>
        <row r="403">
          <cell r="B403">
            <v>18601</v>
          </cell>
        </row>
        <row r="404">
          <cell r="B404">
            <v>18601</v>
          </cell>
        </row>
        <row r="405">
          <cell r="B405">
            <v>18601</v>
          </cell>
        </row>
        <row r="406">
          <cell r="B406">
            <v>18601</v>
          </cell>
        </row>
        <row r="407">
          <cell r="B407">
            <v>18601</v>
          </cell>
        </row>
        <row r="408">
          <cell r="B408">
            <v>348</v>
          </cell>
        </row>
        <row r="409">
          <cell r="B409">
            <v>350</v>
          </cell>
        </row>
        <row r="410">
          <cell r="B410">
            <v>352</v>
          </cell>
        </row>
        <row r="411">
          <cell r="B411">
            <v>354</v>
          </cell>
        </row>
        <row r="412">
          <cell r="B412">
            <v>360</v>
          </cell>
        </row>
        <row r="413">
          <cell r="B413">
            <v>3611</v>
          </cell>
        </row>
        <row r="414">
          <cell r="B414">
            <v>362</v>
          </cell>
        </row>
        <row r="415">
          <cell r="B415">
            <v>3631</v>
          </cell>
        </row>
        <row r="416">
          <cell r="B416">
            <v>364</v>
          </cell>
        </row>
        <row r="417">
          <cell r="B417">
            <v>3651</v>
          </cell>
        </row>
        <row r="418">
          <cell r="B418">
            <v>366</v>
          </cell>
        </row>
        <row r="419">
          <cell r="B419">
            <v>3671</v>
          </cell>
        </row>
        <row r="420">
          <cell r="B420">
            <v>369</v>
          </cell>
        </row>
        <row r="421">
          <cell r="B421">
            <v>369</v>
          </cell>
        </row>
        <row r="422">
          <cell r="B422">
            <v>369</v>
          </cell>
        </row>
        <row r="423">
          <cell r="B423">
            <v>369</v>
          </cell>
        </row>
        <row r="424">
          <cell r="B424">
            <v>369</v>
          </cell>
        </row>
        <row r="425">
          <cell r="B425">
            <v>369</v>
          </cell>
        </row>
        <row r="426">
          <cell r="B426">
            <v>16401</v>
          </cell>
        </row>
        <row r="427">
          <cell r="B427">
            <v>16401</v>
          </cell>
        </row>
        <row r="428">
          <cell r="B428">
            <v>28801</v>
          </cell>
        </row>
        <row r="429">
          <cell r="B429">
            <v>28801</v>
          </cell>
        </row>
        <row r="430">
          <cell r="B430">
            <v>28801</v>
          </cell>
        </row>
        <row r="431">
          <cell r="B431">
            <v>28802</v>
          </cell>
        </row>
        <row r="432">
          <cell r="B432">
            <v>28803</v>
          </cell>
        </row>
        <row r="433">
          <cell r="B433">
            <v>28803</v>
          </cell>
        </row>
        <row r="434">
          <cell r="B434">
            <v>28804</v>
          </cell>
        </row>
        <row r="435">
          <cell r="B435">
            <v>28804</v>
          </cell>
        </row>
        <row r="436">
          <cell r="B436">
            <v>28804</v>
          </cell>
        </row>
        <row r="437">
          <cell r="B437">
            <v>28901</v>
          </cell>
        </row>
        <row r="438">
          <cell r="B438">
            <v>28901</v>
          </cell>
        </row>
        <row r="439">
          <cell r="B439">
            <v>28901</v>
          </cell>
        </row>
        <row r="440">
          <cell r="B440">
            <v>2701</v>
          </cell>
        </row>
        <row r="441">
          <cell r="B441">
            <v>2702</v>
          </cell>
        </row>
        <row r="442">
          <cell r="B442">
            <v>2701</v>
          </cell>
        </row>
        <row r="443">
          <cell r="B443">
            <v>2702</v>
          </cell>
        </row>
        <row r="444">
          <cell r="B444">
            <v>28001</v>
          </cell>
        </row>
        <row r="445">
          <cell r="B445">
            <v>28002</v>
          </cell>
        </row>
        <row r="446">
          <cell r="B446">
            <v>28002</v>
          </cell>
        </row>
        <row r="447">
          <cell r="B447">
            <v>28101</v>
          </cell>
        </row>
        <row r="448">
          <cell r="B448">
            <v>28101</v>
          </cell>
        </row>
        <row r="449">
          <cell r="B449">
            <v>6302</v>
          </cell>
        </row>
        <row r="450">
          <cell r="B450">
            <v>6302</v>
          </cell>
        </row>
        <row r="451">
          <cell r="B451">
            <v>6302</v>
          </cell>
        </row>
        <row r="452">
          <cell r="B452">
            <v>1301</v>
          </cell>
        </row>
        <row r="453">
          <cell r="B453">
            <v>4701</v>
          </cell>
        </row>
        <row r="454">
          <cell r="B454">
            <v>3302</v>
          </cell>
        </row>
        <row r="455">
          <cell r="B455">
            <v>3302</v>
          </cell>
        </row>
        <row r="456">
          <cell r="B456">
            <v>6301</v>
          </cell>
        </row>
        <row r="457">
          <cell r="B457">
            <v>6301</v>
          </cell>
        </row>
        <row r="458">
          <cell r="B458">
            <v>5701</v>
          </cell>
        </row>
        <row r="459">
          <cell r="B459">
            <v>5701</v>
          </cell>
        </row>
        <row r="460">
          <cell r="B460">
            <v>31202</v>
          </cell>
        </row>
        <row r="461">
          <cell r="B461">
            <v>31203</v>
          </cell>
        </row>
        <row r="462">
          <cell r="B462">
            <v>31203</v>
          </cell>
        </row>
        <row r="463">
          <cell r="B463">
            <v>31203</v>
          </cell>
        </row>
        <row r="464">
          <cell r="B464">
            <v>31204</v>
          </cell>
        </row>
        <row r="465">
          <cell r="B465">
            <v>31204</v>
          </cell>
        </row>
        <row r="466">
          <cell r="B466">
            <v>31204</v>
          </cell>
        </row>
        <row r="467">
          <cell r="B467">
            <v>31204</v>
          </cell>
        </row>
        <row r="468">
          <cell r="B468">
            <v>15202</v>
          </cell>
        </row>
        <row r="469">
          <cell r="B469">
            <v>15202</v>
          </cell>
        </row>
        <row r="470">
          <cell r="B470">
            <v>15202</v>
          </cell>
        </row>
        <row r="471">
          <cell r="B471">
            <v>13003</v>
          </cell>
        </row>
        <row r="472">
          <cell r="B472">
            <v>13003</v>
          </cell>
        </row>
        <row r="473">
          <cell r="B473">
            <v>13202</v>
          </cell>
        </row>
        <row r="474">
          <cell r="B474">
            <v>30601</v>
          </cell>
        </row>
        <row r="475">
          <cell r="B475">
            <v>30601</v>
          </cell>
        </row>
        <row r="476">
          <cell r="B476">
            <v>30603</v>
          </cell>
        </row>
        <row r="477">
          <cell r="B477">
            <v>30603</v>
          </cell>
        </row>
        <row r="478">
          <cell r="B478">
            <v>30601</v>
          </cell>
        </row>
        <row r="479">
          <cell r="B479">
            <v>30602</v>
          </cell>
        </row>
        <row r="480">
          <cell r="B480">
            <v>30602</v>
          </cell>
        </row>
        <row r="481">
          <cell r="B481">
            <v>30602</v>
          </cell>
        </row>
        <row r="482">
          <cell r="B482">
            <v>30602</v>
          </cell>
        </row>
        <row r="483">
          <cell r="B483">
            <v>560001</v>
          </cell>
        </row>
      </sheetData>
      <sheetData sheetId="6"/>
      <sheetData sheetId="7"/>
      <sheetData sheetId="8"/>
      <sheetData sheetId="9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efinitions"/>
      <sheetName val="skilldef"/>
    </sheetNames>
    <sheetDataSet>
      <sheetData sheetId="0"/>
      <sheetData sheetId="1">
        <row r="1">
          <cell r="A1" t="str">
            <v>effect</v>
          </cell>
          <cell r="C1" t="str">
            <v>target</v>
          </cell>
        </row>
        <row r="2">
          <cell r="A2" t="str">
            <v>rush</v>
          </cell>
          <cell r="B2" t="str">
            <v>連続攻撃</v>
          </cell>
          <cell r="C2" t="str">
            <v>enemy_one</v>
          </cell>
          <cell r="D2" t="str">
            <v>敵単体に</v>
          </cell>
        </row>
        <row r="3">
          <cell r="A3" t="str">
            <v>critical</v>
          </cell>
          <cell r="B3" t="str">
            <v>大攻撃</v>
          </cell>
          <cell r="C3" t="str">
            <v>enemy_all</v>
          </cell>
          <cell r="D3" t="str">
            <v>敵全体に</v>
          </cell>
        </row>
        <row r="4">
          <cell r="A4" t="str">
            <v>spread</v>
          </cell>
          <cell r="B4" t="str">
            <v>全体攻撃</v>
          </cell>
          <cell r="C4" t="str">
            <v>enemy_red</v>
          </cell>
          <cell r="D4" t="str">
            <v>赤の敵に</v>
          </cell>
        </row>
        <row r="5">
          <cell r="A5" t="str">
            <v>kamikaze</v>
          </cell>
          <cell r="B5" t="str">
            <v>自爆</v>
          </cell>
          <cell r="C5" t="str">
            <v>enemy_green</v>
          </cell>
          <cell r="D5" t="str">
            <v>緑の敵に</v>
          </cell>
        </row>
        <row r="6">
          <cell r="A6" t="str">
            <v>damage_gravity</v>
          </cell>
          <cell r="B6" t="str">
            <v>割合ダメージ</v>
          </cell>
          <cell r="C6" t="str">
            <v>enemy_blue</v>
          </cell>
          <cell r="D6" t="str">
            <v>青の敵に</v>
          </cell>
        </row>
        <row r="7">
          <cell r="A7" t="str">
            <v>damage_hp</v>
          </cell>
          <cell r="B7" t="str">
            <v>HP準拠ダメージ</v>
          </cell>
          <cell r="C7" t="str">
            <v>enemy_yellow</v>
          </cell>
          <cell r="D7" t="str">
            <v>黄の敵に</v>
          </cell>
        </row>
        <row r="8">
          <cell r="A8" t="str">
            <v>damage_anti_color</v>
          </cell>
          <cell r="B8" t="str">
            <v>属性キラー</v>
          </cell>
          <cell r="C8" t="str">
            <v>unit_one</v>
          </cell>
          <cell r="D8" t="str">
            <v>味方単体に</v>
          </cell>
        </row>
        <row r="9">
          <cell r="A9" t="str">
            <v>damage_anti_tribe</v>
          </cell>
          <cell r="B9" t="str">
            <v>種族キラー</v>
          </cell>
          <cell r="C9" t="str">
            <v>unit_all</v>
          </cell>
          <cell r="D9" t="str">
            <v>味方全体に</v>
          </cell>
        </row>
        <row r="10">
          <cell r="A10" t="str">
            <v>damage_anti_type</v>
          </cell>
          <cell r="B10" t="str">
            <v>タイプキラー</v>
          </cell>
          <cell r="C10" t="str">
            <v>unit_red</v>
          </cell>
          <cell r="D10" t="str">
            <v>赤の味方に</v>
          </cell>
        </row>
        <row r="11">
          <cell r="A11" t="str">
            <v>damage_status_break</v>
          </cell>
          <cell r="B11" t="str">
            <v>直接ダメージ＋ステータス解除</v>
          </cell>
          <cell r="C11" t="str">
            <v>unit_green</v>
          </cell>
          <cell r="D11" t="str">
            <v>緑の味方に</v>
          </cell>
        </row>
        <row r="12">
          <cell r="A12" t="str">
            <v>charge</v>
          </cell>
          <cell r="B12" t="str">
            <v>溜め</v>
          </cell>
          <cell r="C12" t="str">
            <v>unit_blue</v>
          </cell>
          <cell r="D12" t="str">
            <v>青の味方に</v>
          </cell>
        </row>
        <row r="13">
          <cell r="A13" t="str">
            <v>enhance_enemy</v>
          </cell>
          <cell r="B13" t="str">
            <v>ステータス強化</v>
          </cell>
          <cell r="C13" t="str">
            <v>unit_yellow</v>
          </cell>
          <cell r="D13" t="str">
            <v>黄の味方に</v>
          </cell>
        </row>
        <row r="14">
          <cell r="A14" t="str">
            <v>freq_turn</v>
          </cell>
          <cell r="B14" t="str">
            <v>攻撃頻度がUP</v>
          </cell>
          <cell r="C14" t="str">
            <v>unit_attack</v>
          </cell>
          <cell r="D14" t="str">
            <v>攻撃タイプの味方に</v>
          </cell>
        </row>
        <row r="15">
          <cell r="A15" t="str">
            <v>tolerance</v>
          </cell>
          <cell r="B15" t="str">
            <v>状態異常耐性</v>
          </cell>
          <cell r="C15" t="str">
            <v>unit_balance</v>
          </cell>
          <cell r="D15" t="str">
            <v>バランスタイプの味方に</v>
          </cell>
        </row>
        <row r="16">
          <cell r="A16" t="str">
            <v>tolerance</v>
          </cell>
          <cell r="B16" t="str">
            <v>状態異常予防</v>
          </cell>
          <cell r="C16" t="str">
            <v>unit_hp</v>
          </cell>
          <cell r="D16" t="str">
            <v>体力タイプの味方に</v>
          </cell>
        </row>
        <row r="17">
          <cell r="A17" t="str">
            <v>enemy_counter</v>
          </cell>
          <cell r="B17" t="str">
            <v>カウンター</v>
          </cell>
          <cell r="C17" t="str">
            <v>unit_heal</v>
          </cell>
          <cell r="D17" t="str">
            <v>回復タイプの味方に</v>
          </cell>
        </row>
        <row r="18">
          <cell r="A18" t="str">
            <v>barrier_attack_skill_color</v>
          </cell>
          <cell r="B18" t="str">
            <v>一定ターン特定属性のユニットの攻撃スキルダメージを軽減／無効／反射</v>
          </cell>
          <cell r="C18" t="str">
            <v>unit_human</v>
          </cell>
          <cell r="D18" t="str">
            <v>ヒューマンの味方に</v>
          </cell>
        </row>
        <row r="19">
          <cell r="A19" t="str">
            <v>barrier_attack_skill_tribe</v>
          </cell>
          <cell r="B19" t="str">
            <v>一定ターン特定種族のユニットの攻撃スキルダメージを軽減／無効／反射</v>
          </cell>
          <cell r="C19" t="str">
            <v>unit_dragon</v>
          </cell>
          <cell r="D19" t="str">
            <v>ドラゴンの味方に</v>
          </cell>
        </row>
        <row r="20">
          <cell r="A20" t="str">
            <v>barrier_attack_skill_type</v>
          </cell>
          <cell r="B20" t="str">
            <v>一定ターン特定タイプのユニットの攻撃スキルダメージを軽減／無効／反射</v>
          </cell>
          <cell r="C20" t="str">
            <v>unit_animal</v>
          </cell>
          <cell r="D20" t="str">
            <v>アニマルの味方に</v>
          </cell>
        </row>
        <row r="21">
          <cell r="A21" t="str">
            <v>degrade_unit</v>
          </cell>
          <cell r="B21" t="str">
            <v>ステータスDOWN</v>
          </cell>
          <cell r="C21" t="str">
            <v>unit_robo</v>
          </cell>
          <cell r="D21" t="str">
            <v>ロボットの味方に</v>
          </cell>
        </row>
        <row r="22">
          <cell r="A22" t="str">
            <v>sleep</v>
          </cell>
          <cell r="B22" t="str">
            <v>スリープ</v>
          </cell>
          <cell r="C22" t="str">
            <v>unit_god</v>
          </cell>
          <cell r="D22" t="str">
            <v>ゴッドの味方に</v>
          </cell>
        </row>
        <row r="23">
          <cell r="A23" t="str">
            <v>hungup</v>
          </cell>
          <cell r="B23" t="str">
            <v>ハングアップ</v>
          </cell>
          <cell r="C23" t="str">
            <v>unit_other</v>
          </cell>
          <cell r="D23" t="str">
            <v>それ以外の味方に</v>
          </cell>
        </row>
        <row r="24">
          <cell r="A24" t="str">
            <v>virus</v>
          </cell>
          <cell r="B24" t="str">
            <v>ウィルス</v>
          </cell>
          <cell r="C24" t="str">
            <v>unit_right</v>
          </cell>
          <cell r="D24" t="str">
            <v>右の味方に</v>
          </cell>
        </row>
        <row r="25">
          <cell r="A25" t="str">
            <v>time_limit</v>
          </cell>
          <cell r="B25" t="str">
            <v>タップ制限時間</v>
          </cell>
          <cell r="C25" t="str">
            <v>unit_left</v>
          </cell>
          <cell r="D25" t="str">
            <v>左の味方に</v>
          </cell>
        </row>
        <row r="26">
          <cell r="A26" t="str">
            <v>dis_heart</v>
          </cell>
          <cell r="B26" t="str">
            <v>ディスハート</v>
          </cell>
          <cell r="C26" t="str">
            <v>unit_both</v>
          </cell>
          <cell r="D26" t="str">
            <v>両方の味方に</v>
          </cell>
        </row>
        <row r="27">
          <cell r="A27" t="str">
            <v>dis_panel</v>
          </cell>
          <cell r="B27" t="str">
            <v>ディスパネル</v>
          </cell>
          <cell r="C27" t="str">
            <v>player</v>
          </cell>
          <cell r="D27" t="str">
            <v>プレイヤーに</v>
          </cell>
        </row>
        <row r="28">
          <cell r="A28" t="str">
            <v>dark</v>
          </cell>
          <cell r="B28" t="str">
            <v>暗黒</v>
          </cell>
          <cell r="C28" t="str">
            <v>myself</v>
          </cell>
          <cell r="D28" t="str">
            <v>自分自身に</v>
          </cell>
        </row>
        <row r="29">
          <cell r="A29" t="str">
            <v>degrade_crash</v>
          </cell>
          <cell r="B29" t="str">
            <v>クラッシュパネル生成条件増加</v>
          </cell>
          <cell r="C29" t="str">
            <v>random_block</v>
          </cell>
          <cell r="D29" t="str">
            <v>ランダムなパネルを</v>
          </cell>
        </row>
        <row r="30">
          <cell r="A30" t="str">
            <v>change_block</v>
          </cell>
          <cell r="B30" t="str">
            <v>ブロック変換</v>
          </cell>
          <cell r="C30" t="str">
            <v>block_red</v>
          </cell>
          <cell r="D30" t="str">
            <v>赤パネルを</v>
          </cell>
        </row>
        <row r="31">
          <cell r="A31" t="str">
            <v>drop_block</v>
          </cell>
          <cell r="B31" t="str">
            <v>特定ブロックの割合ドロップ</v>
          </cell>
          <cell r="C31" t="str">
            <v>block_green</v>
          </cell>
          <cell r="D31" t="str">
            <v>緑パネルを</v>
          </cell>
        </row>
        <row r="32">
          <cell r="A32" t="str">
            <v>heal</v>
          </cell>
          <cell r="B32" t="str">
            <v>回復</v>
          </cell>
          <cell r="C32" t="str">
            <v>block_blue</v>
          </cell>
          <cell r="D32" t="str">
            <v>青パネルを</v>
          </cell>
        </row>
        <row r="33">
          <cell r="A33" t="str">
            <v>fix_speed</v>
          </cell>
          <cell r="B33" t="str">
            <v>行動値設定</v>
          </cell>
          <cell r="C33" t="str">
            <v>block_yellow</v>
          </cell>
          <cell r="D33" t="str">
            <v>黄色パネルを</v>
          </cell>
        </row>
        <row r="34">
          <cell r="A34" t="str">
            <v>nothing</v>
          </cell>
          <cell r="B34" t="str">
            <v>何もしない</v>
          </cell>
          <cell r="C34" t="str">
            <v>block_heart</v>
          </cell>
          <cell r="D34" t="str">
            <v>ハートパネルを</v>
          </cell>
        </row>
        <row r="35">
          <cell r="A35" t="str">
            <v>degrade_fever</v>
          </cell>
          <cell r="B35" t="str">
            <v>フィーバーゲージ減少</v>
          </cell>
        </row>
      </sheetData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Relationship Id="rId2" Type="http://schemas.openxmlformats.org/officeDocument/2006/relationships/comments" Target="../comments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Relationship Id="rId2" Type="http://schemas.openxmlformats.org/officeDocument/2006/relationships/comments" Target="../comments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/>
  <dimension ref="A1:AD13"/>
  <sheetViews>
    <sheetView workbookViewId="0">
      <selection activeCell="G35" sqref="G35"/>
    </sheetView>
  </sheetViews>
  <sheetFormatPr baseColWidth="12" defaultRowHeight="15" x14ac:dyDescent="0.15"/>
  <cols>
    <col min="2" max="2" width="14.83203125" bestFit="1" customWidth="1"/>
    <col min="5" max="5" width="26.83203125" bestFit="1" customWidth="1"/>
    <col min="6" max="6" width="22.1640625" bestFit="1" customWidth="1"/>
  </cols>
  <sheetData>
    <row r="1" spans="1:30" x14ac:dyDescent="0.15">
      <c r="A1" s="56" t="s">
        <v>131</v>
      </c>
      <c r="B1" s="51" t="s">
        <v>101</v>
      </c>
      <c r="C1" s="51" t="s">
        <v>102</v>
      </c>
      <c r="D1" s="51" t="s">
        <v>103</v>
      </c>
      <c r="E1" s="51" t="s">
        <v>104</v>
      </c>
      <c r="F1" s="51" t="s">
        <v>105</v>
      </c>
      <c r="G1" s="51" t="s">
        <v>106</v>
      </c>
      <c r="H1" s="51"/>
      <c r="I1" s="51"/>
      <c r="J1" s="51"/>
      <c r="K1" s="51"/>
      <c r="L1" s="52"/>
      <c r="M1" s="52"/>
      <c r="N1" s="52"/>
      <c r="O1" s="52"/>
      <c r="P1" s="52"/>
      <c r="Q1" s="52"/>
      <c r="R1" s="52"/>
      <c r="S1" s="52"/>
      <c r="T1" s="52"/>
      <c r="U1" s="52"/>
      <c r="V1" s="52"/>
      <c r="W1" s="52"/>
      <c r="X1" s="52"/>
      <c r="Y1" s="52"/>
      <c r="Z1" s="52"/>
      <c r="AA1" s="52"/>
      <c r="AB1" s="52"/>
      <c r="AC1" s="52"/>
      <c r="AD1" s="52"/>
    </row>
    <row r="2" spans="1:30" x14ac:dyDescent="0.15">
      <c r="A2" s="57" t="s">
        <v>323</v>
      </c>
      <c r="B2" s="53" t="s">
        <v>107</v>
      </c>
      <c r="C2" s="58">
        <v>40034</v>
      </c>
      <c r="D2" s="53" t="s">
        <v>108</v>
      </c>
      <c r="E2" s="52" t="str">
        <f>B2&amp;C2&amp;D2</f>
        <v>floors_40034.tmp</v>
      </c>
      <c r="F2" s="53" t="s">
        <v>109</v>
      </c>
      <c r="G2" s="54" t="s">
        <v>0</v>
      </c>
      <c r="H2" s="54" t="s">
        <v>1</v>
      </c>
      <c r="I2" s="54" t="s">
        <v>13</v>
      </c>
      <c r="J2" s="54" t="s">
        <v>14</v>
      </c>
      <c r="K2" s="54" t="s">
        <v>15</v>
      </c>
      <c r="L2" s="53"/>
      <c r="M2" s="53"/>
      <c r="N2" s="53"/>
      <c r="O2" s="53"/>
      <c r="P2" s="53"/>
      <c r="Q2" s="53"/>
      <c r="R2" s="53"/>
      <c r="S2" s="53"/>
      <c r="T2" s="53"/>
      <c r="U2" s="53"/>
      <c r="V2" s="53"/>
      <c r="W2" s="53"/>
      <c r="X2" s="53"/>
      <c r="Y2" s="53"/>
      <c r="Z2" s="53"/>
      <c r="AA2" s="53"/>
      <c r="AB2" s="53"/>
      <c r="AC2" s="53"/>
      <c r="AD2" s="53"/>
    </row>
    <row r="3" spans="1:30" x14ac:dyDescent="0.15">
      <c r="A3" s="57" t="s">
        <v>323</v>
      </c>
      <c r="B3" s="53" t="s">
        <v>110</v>
      </c>
      <c r="C3" s="58">
        <v>40034</v>
      </c>
      <c r="D3" s="53" t="s">
        <v>108</v>
      </c>
      <c r="E3" s="52" t="str">
        <f>B3&amp;C3&amp;D3</f>
        <v>enemy_habitats_40034.tmp</v>
      </c>
      <c r="F3" s="53" t="s">
        <v>111</v>
      </c>
      <c r="G3" s="54" t="s">
        <v>0</v>
      </c>
      <c r="H3" s="54" t="s">
        <v>1</v>
      </c>
      <c r="I3" s="54" t="s">
        <v>13</v>
      </c>
      <c r="J3" s="54" t="s">
        <v>2</v>
      </c>
      <c r="K3" s="54" t="s">
        <v>3</v>
      </c>
      <c r="L3" s="54" t="s">
        <v>47</v>
      </c>
      <c r="M3" s="54" t="s">
        <v>49</v>
      </c>
      <c r="N3" s="54" t="s">
        <v>51</v>
      </c>
      <c r="O3" s="54" t="s">
        <v>22</v>
      </c>
      <c r="P3" s="54" t="s">
        <v>5</v>
      </c>
      <c r="Q3" s="54" t="s">
        <v>6</v>
      </c>
      <c r="R3" s="54" t="s">
        <v>7</v>
      </c>
      <c r="S3" s="54" t="s">
        <v>8</v>
      </c>
      <c r="T3" s="54" t="s">
        <v>9</v>
      </c>
      <c r="U3" s="54" t="s">
        <v>10</v>
      </c>
      <c r="V3" s="54" t="s">
        <v>11</v>
      </c>
      <c r="W3" s="54" t="s">
        <v>12</v>
      </c>
      <c r="X3" s="54" t="s">
        <v>37</v>
      </c>
      <c r="Y3" s="54" t="s">
        <v>39</v>
      </c>
      <c r="Z3" s="54" t="s">
        <v>41</v>
      </c>
      <c r="AA3" s="54" t="s">
        <v>43</v>
      </c>
      <c r="AB3" s="54" t="s">
        <v>45</v>
      </c>
      <c r="AC3" s="54" t="s">
        <v>54</v>
      </c>
      <c r="AD3" s="54" t="s">
        <v>179</v>
      </c>
    </row>
    <row r="4" spans="1:30" x14ac:dyDescent="0.15">
      <c r="A4" s="57" t="s">
        <v>323</v>
      </c>
      <c r="B4" s="53" t="s">
        <v>112</v>
      </c>
      <c r="C4" s="58">
        <v>40034</v>
      </c>
      <c r="D4" s="53" t="s">
        <v>108</v>
      </c>
      <c r="E4" s="52" t="str">
        <f>B4&amp;C4&amp;D4</f>
        <v>enemy_habitat_S_40034.tmp</v>
      </c>
      <c r="F4" s="53" t="s">
        <v>113</v>
      </c>
      <c r="G4" s="54" t="s">
        <v>0</v>
      </c>
      <c r="H4" s="54" t="s">
        <v>1</v>
      </c>
      <c r="I4" s="54" t="s">
        <v>13</v>
      </c>
      <c r="J4" s="54" t="s">
        <v>54</v>
      </c>
      <c r="K4" s="54" t="s">
        <v>55</v>
      </c>
      <c r="L4" s="54" t="s">
        <v>56</v>
      </c>
      <c r="M4" s="54" t="s">
        <v>57</v>
      </c>
      <c r="N4" s="54" t="s">
        <v>58</v>
      </c>
      <c r="O4" s="54" t="s">
        <v>59</v>
      </c>
      <c r="P4" s="54" t="s">
        <v>48</v>
      </c>
      <c r="Q4" s="54" t="s">
        <v>50</v>
      </c>
      <c r="R4" s="54" t="s">
        <v>52</v>
      </c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</row>
    <row r="5" spans="1:30" x14ac:dyDescent="0.15">
      <c r="A5" s="57" t="s">
        <v>323</v>
      </c>
      <c r="B5" s="53" t="s">
        <v>114</v>
      </c>
      <c r="C5" s="58">
        <v>40034</v>
      </c>
      <c r="D5" s="53" t="s">
        <v>108</v>
      </c>
      <c r="E5" s="52" t="str">
        <f>B5&amp;C5&amp;D5</f>
        <v>enemy_skill_sets_40034.tmp</v>
      </c>
      <c r="F5" s="53" t="s">
        <v>115</v>
      </c>
      <c r="G5" s="55" t="s">
        <v>22</v>
      </c>
      <c r="H5" s="55" t="s">
        <v>100</v>
      </c>
      <c r="I5" s="55" t="s">
        <v>95</v>
      </c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</row>
    <row r="6" spans="1:30" x14ac:dyDescent="0.15">
      <c r="A6" s="57" t="s">
        <v>323</v>
      </c>
      <c r="B6" s="53" t="s">
        <v>116</v>
      </c>
      <c r="C6" s="58">
        <v>40034</v>
      </c>
      <c r="D6" s="53" t="s">
        <v>117</v>
      </c>
      <c r="E6" s="52" t="str">
        <f t="shared" ref="E6:E10" si="0">B6&amp;C6&amp;D6</f>
        <v>enemy_skills_tmp_40034.tmp</v>
      </c>
      <c r="F6" s="53" t="s">
        <v>91</v>
      </c>
      <c r="G6" s="54" t="s">
        <v>79</v>
      </c>
      <c r="H6" s="54" t="s">
        <v>80</v>
      </c>
      <c r="I6" s="54" t="s">
        <v>81</v>
      </c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</row>
    <row r="7" spans="1:30" x14ac:dyDescent="0.15">
      <c r="A7" s="57" t="s">
        <v>323</v>
      </c>
      <c r="B7" s="53" t="s">
        <v>118</v>
      </c>
      <c r="C7" s="58">
        <v>40034</v>
      </c>
      <c r="D7" s="53" t="s">
        <v>108</v>
      </c>
      <c r="E7" s="52" t="str">
        <f>B7&amp;C7&amp;D7</f>
        <v>enemy_skills_i18n_40034.tmp</v>
      </c>
      <c r="F7" s="53" t="s">
        <v>119</v>
      </c>
      <c r="G7" s="54" t="s">
        <v>79</v>
      </c>
      <c r="H7" s="54" t="s">
        <v>92</v>
      </c>
      <c r="I7" s="54" t="s">
        <v>93</v>
      </c>
      <c r="J7" s="54" t="s">
        <v>94</v>
      </c>
      <c r="K7" s="53"/>
      <c r="L7" s="53"/>
      <c r="M7" s="53"/>
      <c r="N7" s="53"/>
      <c r="O7" s="53"/>
      <c r="P7" s="53"/>
      <c r="Q7" s="53"/>
      <c r="R7" s="53"/>
      <c r="S7" s="53"/>
      <c r="T7" s="53"/>
      <c r="U7" s="53"/>
      <c r="V7" s="53"/>
      <c r="W7" s="53"/>
      <c r="X7" s="53"/>
      <c r="Y7" s="53"/>
      <c r="Z7" s="53"/>
      <c r="AA7" s="53"/>
      <c r="AB7" s="53"/>
      <c r="AC7" s="53"/>
      <c r="AD7" s="53"/>
    </row>
    <row r="8" spans="1:30" x14ac:dyDescent="0.15">
      <c r="A8" s="57" t="s">
        <v>323</v>
      </c>
      <c r="B8" s="53" t="s">
        <v>120</v>
      </c>
      <c r="C8" s="58">
        <v>40034</v>
      </c>
      <c r="D8" s="53" t="s">
        <v>121</v>
      </c>
      <c r="E8" s="52" t="str">
        <f t="shared" si="0"/>
        <v>enemy_skill_triggers_40034.tmp</v>
      </c>
      <c r="F8" s="53" t="s">
        <v>122</v>
      </c>
      <c r="G8" s="54" t="s">
        <v>95</v>
      </c>
      <c r="H8" s="54" t="s">
        <v>96</v>
      </c>
      <c r="I8" s="54" t="s">
        <v>97</v>
      </c>
      <c r="J8" s="54" t="s">
        <v>98</v>
      </c>
      <c r="K8" s="54" t="s">
        <v>123</v>
      </c>
      <c r="L8" s="54" t="s">
        <v>99</v>
      </c>
      <c r="M8" s="54" t="s">
        <v>124</v>
      </c>
      <c r="N8" s="54" t="s">
        <v>125</v>
      </c>
      <c r="O8" s="54" t="s">
        <v>126</v>
      </c>
      <c r="P8" s="54" t="s">
        <v>67</v>
      </c>
      <c r="Q8" s="53"/>
      <c r="R8" s="53"/>
      <c r="S8" s="53"/>
      <c r="T8" s="53"/>
      <c r="U8" s="53"/>
      <c r="V8" s="53"/>
      <c r="W8" s="53"/>
      <c r="X8" s="53"/>
      <c r="Y8" s="53"/>
      <c r="Z8" s="53"/>
      <c r="AA8" s="53"/>
      <c r="AB8" s="53"/>
      <c r="AC8" s="53"/>
      <c r="AD8" s="53"/>
    </row>
    <row r="9" spans="1:30" x14ac:dyDescent="0.15">
      <c r="A9" s="57" t="s">
        <v>323</v>
      </c>
      <c r="B9" s="63" t="s">
        <v>178</v>
      </c>
      <c r="C9" s="58">
        <v>40034</v>
      </c>
      <c r="D9" s="63" t="s">
        <v>172</v>
      </c>
      <c r="E9" s="64" t="str">
        <f t="shared" si="0"/>
        <v>stage_bug_bonuses_40034.tmp</v>
      </c>
      <c r="F9" s="63" t="s">
        <v>173</v>
      </c>
      <c r="G9" s="60" t="s">
        <v>151</v>
      </c>
      <c r="H9" s="60" t="s">
        <v>174</v>
      </c>
      <c r="I9" s="60" t="s">
        <v>175</v>
      </c>
      <c r="J9" s="62" t="s">
        <v>176</v>
      </c>
      <c r="K9" s="60" t="s">
        <v>177</v>
      </c>
      <c r="L9" s="60" t="s">
        <v>157</v>
      </c>
      <c r="M9" s="60" t="s">
        <v>158</v>
      </c>
      <c r="N9" s="60" t="s">
        <v>159</v>
      </c>
      <c r="O9" s="60" t="s">
        <v>160</v>
      </c>
      <c r="P9" s="60" t="s">
        <v>161</v>
      </c>
      <c r="Q9" s="60" t="s">
        <v>162</v>
      </c>
      <c r="R9" s="60" t="s">
        <v>163</v>
      </c>
      <c r="S9" s="60" t="s">
        <v>164</v>
      </c>
      <c r="T9" s="60" t="s">
        <v>165</v>
      </c>
      <c r="U9" s="60" t="s">
        <v>166</v>
      </c>
      <c r="V9" s="60" t="s">
        <v>167</v>
      </c>
      <c r="W9" s="60" t="s">
        <v>168</v>
      </c>
      <c r="X9" s="53"/>
      <c r="Y9" s="53"/>
      <c r="Z9" s="53"/>
      <c r="AA9" s="53"/>
      <c r="AB9" s="53"/>
      <c r="AC9" s="53"/>
      <c r="AD9" s="53"/>
    </row>
    <row r="10" spans="1:30" s="71" customFormat="1" x14ac:dyDescent="0.15">
      <c r="A10" s="57" t="s">
        <v>323</v>
      </c>
      <c r="B10" s="63" t="s">
        <v>201</v>
      </c>
      <c r="C10" s="58">
        <v>40034</v>
      </c>
      <c r="D10" s="63" t="s">
        <v>181</v>
      </c>
      <c r="E10" s="64" t="str">
        <f t="shared" si="0"/>
        <v>stage_hints_data_c_40034.tmp</v>
      </c>
      <c r="F10" s="63" t="s">
        <v>209</v>
      </c>
      <c r="G10" s="69" t="s">
        <v>182</v>
      </c>
      <c r="H10" s="69" t="s">
        <v>174</v>
      </c>
      <c r="I10" s="70" t="s">
        <v>183</v>
      </c>
      <c r="J10" s="62" t="s">
        <v>184</v>
      </c>
      <c r="K10" s="62" t="s">
        <v>185</v>
      </c>
      <c r="L10" s="96"/>
      <c r="M10" s="96"/>
      <c r="N10" s="96"/>
      <c r="O10" s="96"/>
      <c r="P10" s="96"/>
      <c r="Q10" s="96"/>
      <c r="R10" s="96"/>
      <c r="S10" s="96"/>
      <c r="T10" s="96"/>
      <c r="U10" s="96"/>
      <c r="V10" s="96"/>
      <c r="W10" s="96"/>
      <c r="X10" s="96"/>
      <c r="Y10" s="96"/>
      <c r="Z10" s="96"/>
      <c r="AA10" s="96"/>
      <c r="AB10" s="96"/>
      <c r="AC10" s="96"/>
      <c r="AD10" s="96"/>
    </row>
    <row r="11" spans="1:30" s="71" customFormat="1" x14ac:dyDescent="0.15">
      <c r="A11" s="57" t="s">
        <v>323</v>
      </c>
      <c r="B11" s="63" t="s">
        <v>202</v>
      </c>
      <c r="C11" s="58">
        <v>40034</v>
      </c>
      <c r="D11" s="63" t="s">
        <v>172</v>
      </c>
      <c r="E11" s="64" t="str">
        <f t="shared" ref="E11:E13" si="1">B11&amp;C11&amp;D11</f>
        <v>stage_hints_data_f_40034.tmp</v>
      </c>
      <c r="F11" s="63" t="s">
        <v>210</v>
      </c>
      <c r="G11" s="69" t="s">
        <v>182</v>
      </c>
      <c r="H11" s="69" t="s">
        <v>174</v>
      </c>
      <c r="I11" s="70" t="s">
        <v>183</v>
      </c>
      <c r="J11" s="62" t="s">
        <v>184</v>
      </c>
      <c r="K11" s="62" t="s">
        <v>185</v>
      </c>
      <c r="L11" s="96"/>
      <c r="M11" s="96"/>
      <c r="N11" s="96"/>
      <c r="O11" s="96"/>
      <c r="P11" s="96"/>
      <c r="Q11" s="96"/>
      <c r="R11" s="96"/>
      <c r="S11" s="96"/>
      <c r="T11" s="96"/>
      <c r="U11" s="96"/>
      <c r="V11" s="96"/>
      <c r="W11" s="96"/>
      <c r="X11" s="96"/>
      <c r="Y11" s="96"/>
      <c r="Z11" s="96"/>
      <c r="AA11" s="96"/>
      <c r="AB11" s="96"/>
      <c r="AC11" s="96"/>
      <c r="AD11" s="96"/>
    </row>
    <row r="12" spans="1:30" s="71" customFormat="1" x14ac:dyDescent="0.15">
      <c r="A12" s="57" t="s">
        <v>323</v>
      </c>
      <c r="B12" s="63" t="s">
        <v>203</v>
      </c>
      <c r="C12" s="58">
        <v>40034</v>
      </c>
      <c r="D12" s="63" t="s">
        <v>172</v>
      </c>
      <c r="E12" s="64" t="str">
        <f t="shared" si="1"/>
        <v>stage_hints_i18n_40034.tmp</v>
      </c>
      <c r="F12" s="63" t="s">
        <v>211</v>
      </c>
      <c r="G12" s="70" t="s">
        <v>204</v>
      </c>
      <c r="H12" s="89" t="s">
        <v>205</v>
      </c>
      <c r="I12" s="69" t="s">
        <v>206</v>
      </c>
      <c r="J12" s="97" t="s">
        <v>207</v>
      </c>
      <c r="K12" s="62" t="s">
        <v>208</v>
      </c>
      <c r="L12" s="96"/>
      <c r="M12" s="96"/>
      <c r="N12" s="96"/>
      <c r="O12" s="96"/>
      <c r="P12" s="96"/>
      <c r="Q12" s="96"/>
      <c r="R12" s="96"/>
      <c r="S12" s="96"/>
      <c r="T12" s="96"/>
      <c r="U12" s="96"/>
      <c r="V12" s="96"/>
      <c r="W12" s="96"/>
      <c r="X12" s="96"/>
      <c r="Y12" s="96"/>
      <c r="Z12" s="96"/>
      <c r="AA12" s="96"/>
      <c r="AB12" s="96"/>
      <c r="AC12" s="96"/>
      <c r="AD12" s="96"/>
    </row>
    <row r="13" spans="1:30" s="71" customFormat="1" x14ac:dyDescent="0.15">
      <c r="A13" s="57" t="s">
        <v>323</v>
      </c>
      <c r="B13" s="63" t="s">
        <v>251</v>
      </c>
      <c r="C13" s="58">
        <v>40034</v>
      </c>
      <c r="D13" s="63" t="s">
        <v>232</v>
      </c>
      <c r="E13" s="64" t="str">
        <f t="shared" si="1"/>
        <v>stage_bonuses_40034.tmp</v>
      </c>
      <c r="F13" s="63" t="s">
        <v>231</v>
      </c>
      <c r="G13" s="69" t="s">
        <v>233</v>
      </c>
      <c r="H13" s="69" t="s">
        <v>234</v>
      </c>
      <c r="I13" s="69" t="s">
        <v>235</v>
      </c>
      <c r="J13" s="69" t="s">
        <v>236</v>
      </c>
      <c r="K13" s="69" t="s">
        <v>237</v>
      </c>
      <c r="L13" s="69" t="s">
        <v>238</v>
      </c>
      <c r="M13" s="69" t="s">
        <v>239</v>
      </c>
      <c r="N13" s="69" t="s">
        <v>240</v>
      </c>
      <c r="O13" s="69" t="s">
        <v>241</v>
      </c>
      <c r="P13" s="69" t="s">
        <v>242</v>
      </c>
      <c r="Q13" s="69" t="s">
        <v>243</v>
      </c>
      <c r="R13" s="69" t="s">
        <v>244</v>
      </c>
      <c r="S13" s="69" t="s">
        <v>245</v>
      </c>
      <c r="T13" s="69" t="s">
        <v>246</v>
      </c>
      <c r="U13" s="69" t="s">
        <v>247</v>
      </c>
      <c r="V13" s="69" t="s">
        <v>248</v>
      </c>
      <c r="W13" s="69" t="s">
        <v>249</v>
      </c>
      <c r="X13" s="69" t="s">
        <v>250</v>
      </c>
      <c r="Y13" s="96"/>
      <c r="Z13" s="96"/>
      <c r="AA13" s="96"/>
      <c r="AB13" s="96"/>
      <c r="AC13" s="96"/>
      <c r="AD13" s="96"/>
    </row>
  </sheetData>
  <phoneticPr fontId="5"/>
  <dataValidations count="1">
    <dataValidation type="list" allowBlank="1" showInputMessage="1" showErrorMessage="1" sqref="A2:A13">
      <formula1>"new,old,skip,both"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>
    <tabColor rgb="FF0000FF"/>
    <outlinePr summaryBelow="0" summaryRight="0"/>
  </sheetPr>
  <dimension ref="A1:K9"/>
  <sheetViews>
    <sheetView showGridLines="0" workbookViewId="0">
      <pane ySplit="1" topLeftCell="A2" activePane="bottomLeft" state="frozen"/>
      <selection activeCell="V2" sqref="V2:X34"/>
      <selection pane="bottomLeft" activeCell="L25" sqref="L25"/>
    </sheetView>
  </sheetViews>
  <sheetFormatPr baseColWidth="12" defaultColWidth="13" defaultRowHeight="21" customHeight="1" outlineLevelCol="1" x14ac:dyDescent="0.15"/>
  <cols>
    <col min="1" max="1" width="8.83203125" style="19" bestFit="1" customWidth="1"/>
    <col min="2" max="2" width="5" style="19" bestFit="1" customWidth="1"/>
    <col min="3" max="3" width="7.1640625" style="3" bestFit="1" customWidth="1"/>
    <col min="4" max="5" width="10.33203125" style="3" customWidth="1" outlineLevel="1"/>
    <col min="6" max="6" width="7" style="3" bestFit="1" customWidth="1"/>
    <col min="7" max="7" width="8.83203125" style="19" customWidth="1" outlineLevel="1"/>
    <col min="8" max="8" width="16.1640625" style="3" customWidth="1" outlineLevel="1"/>
    <col min="9" max="9" width="6.5" style="3" bestFit="1" customWidth="1"/>
    <col min="10" max="10" width="11" style="3" bestFit="1" customWidth="1"/>
    <col min="11" max="11" width="11.33203125" style="3" bestFit="1" customWidth="1"/>
    <col min="12" max="16384" width="13" style="3"/>
  </cols>
  <sheetData>
    <row r="1" spans="1:11" ht="21" customHeight="1" x14ac:dyDescent="0.15">
      <c r="A1" s="16" t="s">
        <v>30</v>
      </c>
      <c r="B1" s="16" t="s">
        <v>36</v>
      </c>
      <c r="C1" s="1" t="s">
        <v>0</v>
      </c>
      <c r="D1" s="2" t="s">
        <v>18</v>
      </c>
      <c r="E1" s="15" t="s">
        <v>33</v>
      </c>
      <c r="F1" s="1" t="s">
        <v>1</v>
      </c>
      <c r="G1" s="23" t="s">
        <v>32</v>
      </c>
      <c r="H1" s="15" t="s">
        <v>34</v>
      </c>
      <c r="I1" s="1" t="s">
        <v>13</v>
      </c>
      <c r="J1" s="1" t="s">
        <v>14</v>
      </c>
      <c r="K1" s="1" t="s">
        <v>15</v>
      </c>
    </row>
    <row r="2" spans="1:11" ht="21" customHeight="1" x14ac:dyDescent="0.15">
      <c r="A2" s="16" t="str">
        <f>G2&amp;"-"&amp;I2</f>
        <v>40034_1-1</v>
      </c>
      <c r="B2" s="16" t="str">
        <f>IF(COUNTIF(enemy_habitats!$H:$H,A2),"OK","NG")</f>
        <v>OK</v>
      </c>
      <c r="C2" s="7">
        <v>40034</v>
      </c>
      <c r="D2" s="11" t="str">
        <f ca="1">VLOOKUP($C2,OFFSET([2]quests!$A$1,0,0,COUNTA([2]quests!$A:$A),MATCH(D$1,[2]quests!$1:$1,0)-MATCH($C$1,[2]quests!$1:$1,0)+1),MATCH(D$1,[2]quests!$1:$1,0)-MATCH($C$1,[2]quests!$1:$1,0)+1,FALSE)</f>
        <v>カーリー襲来！</v>
      </c>
      <c r="E2" s="18" t="str">
        <f ca="1">VLOOKUP($C2,OFFSET([2]quests!$A$1,0,0,COUNTA([2]quests!$A:$A),MATCH(E$1,[2]quests!$1:$1,0)-MATCH($C$1,[2]quests!$1:$1,0)+1),MATCH(E$1,[2]quests!$1:$1,0)-MATCH($C$1,[2]quests!$1:$1,0)+1,FALSE)</f>
        <v>降臨34</v>
      </c>
      <c r="F2" s="21">
        <v>1</v>
      </c>
      <c r="G2" s="23" t="str">
        <f>C2&amp;"_"&amp;F2</f>
        <v>40034_1</v>
      </c>
      <c r="H2" s="15" t="str">
        <f ca="1">VLOOKUP($G2,OFFSET([2]stages!$A$1,0,0,COUNTA([2]stages!$A:$A),MATCH(H$1,[2]stages!$2:$2,0)-MATCH($G$1,[2]stages!$2:$2,0)+1),MATCH(H$1,[2]stages!$2:$2,0)-MATCH($G$1,[2]stages!$2:$2,0)+1,FALSE)</f>
        <v>【超絶級】カーリー襲来</v>
      </c>
      <c r="I2" s="21">
        <v>1</v>
      </c>
      <c r="J2" s="12">
        <v>60</v>
      </c>
      <c r="K2" s="12">
        <v>60</v>
      </c>
    </row>
    <row r="3" spans="1:11" ht="21" customHeight="1" x14ac:dyDescent="0.15">
      <c r="A3" s="16" t="str">
        <f>G3&amp;"-"&amp;I3</f>
        <v>40034_1-2</v>
      </c>
      <c r="B3" s="16" t="str">
        <f>IF(COUNTIF(enemy_habitats!$H:$H,A3),"OK","NG")</f>
        <v>OK</v>
      </c>
      <c r="C3" s="7">
        <v>40034</v>
      </c>
      <c r="D3" s="11" t="str">
        <f ca="1">VLOOKUP($C3,OFFSET([2]quests!$A$1,0,0,COUNTA([2]quests!$A:$A),MATCH(D$1,[2]quests!$1:$1,0)-MATCH($C$1,[2]quests!$1:$1,0)+1),MATCH(D$1,[2]quests!$1:$1,0)-MATCH($C$1,[2]quests!$1:$1,0)+1,FALSE)</f>
        <v>カーリー襲来！</v>
      </c>
      <c r="E3" s="18" t="str">
        <f ca="1">VLOOKUP($C3,OFFSET([2]quests!$A$1,0,0,COUNTA([2]quests!$A:$A),MATCH(E$1,[2]quests!$1:$1,0)-MATCH($C$1,[2]quests!$1:$1,0)+1),MATCH(E$1,[2]quests!$1:$1,0)-MATCH($C$1,[2]quests!$1:$1,0)+1,FALSE)</f>
        <v>降臨34</v>
      </c>
      <c r="F3" s="21">
        <v>1</v>
      </c>
      <c r="G3" s="23" t="str">
        <f>C3&amp;"_"&amp;F3</f>
        <v>40034_1</v>
      </c>
      <c r="H3" s="15" t="str">
        <f ca="1">VLOOKUP($G3,OFFSET([2]stages!$A$1,0,0,COUNTA([2]stages!$A:$A),MATCH(H$1,[2]stages!$2:$2,0)-MATCH($G$1,[2]stages!$2:$2,0)+1),MATCH(H$1,[2]stages!$2:$2,0)-MATCH($G$1,[2]stages!$2:$2,0)+1,FALSE)</f>
        <v>【超絶級】カーリー襲来</v>
      </c>
      <c r="I3" s="21">
        <v>2</v>
      </c>
      <c r="J3" s="12">
        <v>60</v>
      </c>
      <c r="K3" s="12">
        <v>60</v>
      </c>
    </row>
    <row r="4" spans="1:11" ht="21" customHeight="1" x14ac:dyDescent="0.15">
      <c r="A4" s="16" t="str">
        <f t="shared" ref="A4:A5" si="0">G4&amp;"-"&amp;I4</f>
        <v>40034_1-3</v>
      </c>
      <c r="B4" s="16" t="str">
        <f>IF(COUNTIF(enemy_habitats!$H:$H,A4),"OK","NG")</f>
        <v>OK</v>
      </c>
      <c r="C4" s="7">
        <v>40034</v>
      </c>
      <c r="D4" s="11" t="str">
        <f ca="1">VLOOKUP($C4,OFFSET([2]quests!$A$1,0,0,COUNTA([2]quests!$A:$A),MATCH(D$1,[2]quests!$1:$1,0)-MATCH($C$1,[2]quests!$1:$1,0)+1),MATCH(D$1,[2]quests!$1:$1,0)-MATCH($C$1,[2]quests!$1:$1,0)+1,FALSE)</f>
        <v>カーリー襲来！</v>
      </c>
      <c r="E4" s="18" t="str">
        <f ca="1">VLOOKUP($C4,OFFSET([2]quests!$A$1,0,0,COUNTA([2]quests!$A:$A),MATCH(E$1,[2]quests!$1:$1,0)-MATCH($C$1,[2]quests!$1:$1,0)+1),MATCH(E$1,[2]quests!$1:$1,0)-MATCH($C$1,[2]quests!$1:$1,0)+1,FALSE)</f>
        <v>降臨34</v>
      </c>
      <c r="F4" s="21">
        <v>1</v>
      </c>
      <c r="G4" s="23" t="str">
        <f t="shared" ref="G4:G5" si="1">C4&amp;"_"&amp;F4</f>
        <v>40034_1</v>
      </c>
      <c r="H4" s="15" t="str">
        <f ca="1">VLOOKUP($G4,OFFSET([2]stages!$A$1,0,0,COUNTA([2]stages!$A:$A),MATCH(H$1,[2]stages!$2:$2,0)-MATCH($G$1,[2]stages!$2:$2,0)+1),MATCH(H$1,[2]stages!$2:$2,0)-MATCH($G$1,[2]stages!$2:$2,0)+1,FALSE)</f>
        <v>【超絶級】カーリー襲来</v>
      </c>
      <c r="I4" s="21">
        <v>3</v>
      </c>
      <c r="J4" s="12">
        <v>60</v>
      </c>
      <c r="K4" s="12">
        <v>60</v>
      </c>
    </row>
    <row r="5" spans="1:11" ht="21" customHeight="1" x14ac:dyDescent="0.15">
      <c r="A5" s="16" t="str">
        <f t="shared" si="0"/>
        <v>40034_1-4</v>
      </c>
      <c r="B5" s="16" t="str">
        <f>IF(COUNTIF(enemy_habitats!$H:$H,A5),"OK","NG")</f>
        <v>OK</v>
      </c>
      <c r="C5" s="7">
        <v>40034</v>
      </c>
      <c r="D5" s="11" t="str">
        <f ca="1">VLOOKUP($C5,OFFSET([2]quests!$A$1,0,0,COUNTA([2]quests!$A:$A),MATCH(D$1,[2]quests!$1:$1,0)-MATCH($C$1,[2]quests!$1:$1,0)+1),MATCH(D$1,[2]quests!$1:$1,0)-MATCH($C$1,[2]quests!$1:$1,0)+1,FALSE)</f>
        <v>カーリー襲来！</v>
      </c>
      <c r="E5" s="18" t="str">
        <f ca="1">VLOOKUP($C5,OFFSET([2]quests!$A$1,0,0,COUNTA([2]quests!$A:$A),MATCH(E$1,[2]quests!$1:$1,0)-MATCH($C$1,[2]quests!$1:$1,0)+1),MATCH(E$1,[2]quests!$1:$1,0)-MATCH($C$1,[2]quests!$1:$1,0)+1,FALSE)</f>
        <v>降臨34</v>
      </c>
      <c r="F5" s="21">
        <v>1</v>
      </c>
      <c r="G5" s="23" t="str">
        <f t="shared" si="1"/>
        <v>40034_1</v>
      </c>
      <c r="H5" s="15" t="str">
        <f ca="1">VLOOKUP($G5,OFFSET([2]stages!$A$1,0,0,COUNTA([2]stages!$A:$A),MATCH(H$1,[2]stages!$2:$2,0)-MATCH($G$1,[2]stages!$2:$2,0)+1),MATCH(H$1,[2]stages!$2:$2,0)-MATCH($G$1,[2]stages!$2:$2,0)+1,FALSE)</f>
        <v>【超絶級】カーリー襲来</v>
      </c>
      <c r="I5" s="21">
        <v>4</v>
      </c>
      <c r="J5" s="12">
        <v>60</v>
      </c>
      <c r="K5" s="12">
        <v>60</v>
      </c>
    </row>
    <row r="6" spans="1:11" ht="21" customHeight="1" x14ac:dyDescent="0.15">
      <c r="A6" s="16" t="str">
        <f>G6&amp;"-"&amp;I6</f>
        <v>40034_2-1</v>
      </c>
      <c r="B6" s="16" t="str">
        <f>IF(COUNTIF(enemy_habitats!$H:$H,A6),"OK","NG")</f>
        <v>OK</v>
      </c>
      <c r="C6" s="7">
        <v>40034</v>
      </c>
      <c r="D6" s="11" t="str">
        <f ca="1">VLOOKUP($C6,OFFSET([2]quests!$A$1,0,0,COUNTA([2]quests!$A:$A),MATCH(D$1,[2]quests!$1:$1,0)-MATCH($C$1,[2]quests!$1:$1,0)+1),MATCH(D$1,[2]quests!$1:$1,0)-MATCH($C$1,[2]quests!$1:$1,0)+1,FALSE)</f>
        <v>カーリー襲来！</v>
      </c>
      <c r="E6" s="18" t="str">
        <f ca="1">VLOOKUP($C6,OFFSET([2]quests!$A$1,0,0,COUNTA([2]quests!$A:$A),MATCH(E$1,[2]quests!$1:$1,0)-MATCH($C$1,[2]quests!$1:$1,0)+1),MATCH(E$1,[2]quests!$1:$1,0)-MATCH($C$1,[2]quests!$1:$1,0)+1,FALSE)</f>
        <v>降臨34</v>
      </c>
      <c r="F6" s="21">
        <v>2</v>
      </c>
      <c r="G6" s="23" t="str">
        <f>C6&amp;"_"&amp;F6</f>
        <v>40034_2</v>
      </c>
      <c r="H6" s="15" t="str">
        <f ca="1">VLOOKUP($G6,OFFSET([2]stages!$A$1,0,0,COUNTA([2]stages!$A:$A),MATCH(H$1,[2]stages!$2:$2,0)-MATCH($G$1,[2]stages!$2:$2,0)+1),MATCH(H$1,[2]stages!$2:$2,0)-MATCH($G$1,[2]stages!$2:$2,0)+1,FALSE)</f>
        <v>【ウィザード級】カーリー襲来</v>
      </c>
      <c r="I6" s="21">
        <v>1</v>
      </c>
      <c r="J6" s="12">
        <v>60</v>
      </c>
      <c r="K6" s="12">
        <v>60</v>
      </c>
    </row>
    <row r="7" spans="1:11" ht="21" customHeight="1" x14ac:dyDescent="0.15">
      <c r="A7" s="16" t="str">
        <f>G7&amp;"-"&amp;I7</f>
        <v>40034_2-2</v>
      </c>
      <c r="B7" s="16" t="str">
        <f>IF(COUNTIF(enemy_habitats!$H:$H,A7),"OK","NG")</f>
        <v>OK</v>
      </c>
      <c r="C7" s="7">
        <v>40034</v>
      </c>
      <c r="D7" s="11" t="str">
        <f ca="1">VLOOKUP($C7,OFFSET([2]quests!$A$1,0,0,COUNTA([2]quests!$A:$A),MATCH(D$1,[2]quests!$1:$1,0)-MATCH($C$1,[2]quests!$1:$1,0)+1),MATCH(D$1,[2]quests!$1:$1,0)-MATCH($C$1,[2]quests!$1:$1,0)+1,FALSE)</f>
        <v>カーリー襲来！</v>
      </c>
      <c r="E7" s="18" t="str">
        <f ca="1">VLOOKUP($C7,OFFSET([2]quests!$A$1,0,0,COUNTA([2]quests!$A:$A),MATCH(E$1,[2]quests!$1:$1,0)-MATCH($C$1,[2]quests!$1:$1,0)+1),MATCH(E$1,[2]quests!$1:$1,0)-MATCH($C$1,[2]quests!$1:$1,0)+1,FALSE)</f>
        <v>降臨34</v>
      </c>
      <c r="F7" s="21">
        <v>2</v>
      </c>
      <c r="G7" s="23" t="str">
        <f>C7&amp;"_"&amp;F7</f>
        <v>40034_2</v>
      </c>
      <c r="H7" s="15" t="str">
        <f ca="1">VLOOKUP($G7,OFFSET([2]stages!$A$1,0,0,COUNTA([2]stages!$A:$A),MATCH(H$1,[2]stages!$2:$2,0)-MATCH($G$1,[2]stages!$2:$2,0)+1),MATCH(H$1,[2]stages!$2:$2,0)-MATCH($G$1,[2]stages!$2:$2,0)+1,FALSE)</f>
        <v>【ウィザード級】カーリー襲来</v>
      </c>
      <c r="I7" s="21">
        <v>2</v>
      </c>
      <c r="J7" s="12">
        <v>60</v>
      </c>
      <c r="K7" s="12">
        <v>60</v>
      </c>
    </row>
    <row r="8" spans="1:11" ht="21" customHeight="1" x14ac:dyDescent="0.15">
      <c r="A8" s="16" t="str">
        <f t="shared" ref="A8:A9" si="2">G8&amp;"-"&amp;I8</f>
        <v>40034_2-3</v>
      </c>
      <c r="B8" s="16" t="str">
        <f>IF(COUNTIF(enemy_habitats!$H:$H,A8),"OK","NG")</f>
        <v>OK</v>
      </c>
      <c r="C8" s="7">
        <v>40034</v>
      </c>
      <c r="D8" s="11" t="str">
        <f ca="1">VLOOKUP($C8,OFFSET([2]quests!$A$1,0,0,COUNTA([2]quests!$A:$A),MATCH(D$1,[2]quests!$1:$1,0)-MATCH($C$1,[2]quests!$1:$1,0)+1),MATCH(D$1,[2]quests!$1:$1,0)-MATCH($C$1,[2]quests!$1:$1,0)+1,FALSE)</f>
        <v>カーリー襲来！</v>
      </c>
      <c r="E8" s="18" t="str">
        <f ca="1">VLOOKUP($C8,OFFSET([2]quests!$A$1,0,0,COUNTA([2]quests!$A:$A),MATCH(E$1,[2]quests!$1:$1,0)-MATCH($C$1,[2]quests!$1:$1,0)+1),MATCH(E$1,[2]quests!$1:$1,0)-MATCH($C$1,[2]quests!$1:$1,0)+1,FALSE)</f>
        <v>降臨34</v>
      </c>
      <c r="F8" s="21">
        <v>2</v>
      </c>
      <c r="G8" s="23" t="str">
        <f t="shared" ref="G8:G9" si="3">C8&amp;"_"&amp;F8</f>
        <v>40034_2</v>
      </c>
      <c r="H8" s="15" t="str">
        <f ca="1">VLOOKUP($G8,OFFSET([2]stages!$A$1,0,0,COUNTA([2]stages!$A:$A),MATCH(H$1,[2]stages!$2:$2,0)-MATCH($G$1,[2]stages!$2:$2,0)+1),MATCH(H$1,[2]stages!$2:$2,0)-MATCH($G$1,[2]stages!$2:$2,0)+1,FALSE)</f>
        <v>【ウィザード級】カーリー襲来</v>
      </c>
      <c r="I8" s="21">
        <v>3</v>
      </c>
      <c r="J8" s="12">
        <v>60</v>
      </c>
      <c r="K8" s="12">
        <v>60</v>
      </c>
    </row>
    <row r="9" spans="1:11" ht="21" customHeight="1" x14ac:dyDescent="0.15">
      <c r="A9" s="16" t="str">
        <f t="shared" si="2"/>
        <v>40034_2-4</v>
      </c>
      <c r="B9" s="16" t="str">
        <f>IF(COUNTIF(enemy_habitats!$H:$H,A9),"OK","NG")</f>
        <v>OK</v>
      </c>
      <c r="C9" s="7">
        <v>40034</v>
      </c>
      <c r="D9" s="11" t="str">
        <f ca="1">VLOOKUP($C9,OFFSET([2]quests!$A$1,0,0,COUNTA([2]quests!$A:$A),MATCH(D$1,[2]quests!$1:$1,0)-MATCH($C$1,[2]quests!$1:$1,0)+1),MATCH(D$1,[2]quests!$1:$1,0)-MATCH($C$1,[2]quests!$1:$1,0)+1,FALSE)</f>
        <v>カーリー襲来！</v>
      </c>
      <c r="E9" s="18" t="str">
        <f ca="1">VLOOKUP($C9,OFFSET([2]quests!$A$1,0,0,COUNTA([2]quests!$A:$A),MATCH(E$1,[2]quests!$1:$1,0)-MATCH($C$1,[2]quests!$1:$1,0)+1),MATCH(E$1,[2]quests!$1:$1,0)-MATCH($C$1,[2]quests!$1:$1,0)+1,FALSE)</f>
        <v>降臨34</v>
      </c>
      <c r="F9" s="21">
        <v>2</v>
      </c>
      <c r="G9" s="23" t="str">
        <f t="shared" si="3"/>
        <v>40034_2</v>
      </c>
      <c r="H9" s="15" t="str">
        <f ca="1">VLOOKUP($G9,OFFSET([2]stages!$A$1,0,0,COUNTA([2]stages!$A:$A),MATCH(H$1,[2]stages!$2:$2,0)-MATCH($G$1,[2]stages!$2:$2,0)+1),MATCH(H$1,[2]stages!$2:$2,0)-MATCH($G$1,[2]stages!$2:$2,0)+1,FALSE)</f>
        <v>【ウィザード級】カーリー襲来</v>
      </c>
      <c r="I9" s="21">
        <v>4</v>
      </c>
      <c r="J9" s="12">
        <v>60</v>
      </c>
      <c r="K9" s="12">
        <v>60</v>
      </c>
    </row>
  </sheetData>
  <sheetProtection selectLockedCells="1" selectUnlockedCells="1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 enableFormatConditionsCalculation="0">
    <tabColor rgb="FF0000FF"/>
    <outlinePr summaryBelow="0" summaryRight="0"/>
  </sheetPr>
  <dimension ref="A1:AP11"/>
  <sheetViews>
    <sheetView showGridLines="0" zoomScale="75" zoomScaleNormal="75" zoomScalePageLayoutView="75" workbookViewId="0">
      <pane xSplit="17" ySplit="1" topLeftCell="R2" activePane="bottomRight" state="frozen"/>
      <selection pane="topRight" activeCell="N1" sqref="N1"/>
      <selection pane="bottomLeft" activeCell="A2" sqref="A2"/>
      <selection pane="bottomRight" activeCell="L8" sqref="L8"/>
    </sheetView>
  </sheetViews>
  <sheetFormatPr baseColWidth="12" defaultColWidth="13" defaultRowHeight="21" customHeight="1" outlineLevelCol="1" x14ac:dyDescent="0.15"/>
  <cols>
    <col min="1" max="1" width="15.83203125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3.5" style="9" bestFit="1" customWidth="1" collapsed="1"/>
    <col min="13" max="13" width="8.83203125" style="3" hidden="1" customWidth="1" outlineLevel="1"/>
    <col min="14" max="14" width="8.6640625" style="3" hidden="1" customWidth="1" outlineLevel="1"/>
    <col min="15" max="15" width="12" style="3" hidden="1" customWidth="1" outlineLevel="1"/>
    <col min="16" max="16" width="21" style="3" hidden="1" customWidth="1" outlineLevel="1"/>
    <col min="17" max="17" width="8" style="3" hidden="1" customWidth="1" outlineLevel="1"/>
    <col min="18" max="18" width="8.33203125" style="3" bestFit="1" customWidth="1"/>
    <col min="19" max="19" width="14.83203125" style="3" bestFit="1" customWidth="1"/>
    <col min="20" max="20" width="14.83203125" style="100" customWidth="1"/>
    <col min="21" max="21" width="17.5" style="3" bestFit="1" customWidth="1"/>
    <col min="22" max="22" width="17.5" style="3" customWidth="1"/>
    <col min="23" max="23" width="18.33203125" style="3" bestFit="1" customWidth="1"/>
    <col min="24" max="24" width="10" style="3" customWidth="1"/>
    <col min="25" max="25" width="12.1640625" style="3" customWidth="1" outlineLevel="1"/>
    <col min="26" max="26" width="11.33203125" style="3" bestFit="1" customWidth="1"/>
    <col min="27" max="27" width="11.6640625" style="3" bestFit="1" customWidth="1"/>
    <col min="28" max="28" width="10.6640625" style="3" bestFit="1" customWidth="1"/>
    <col min="29" max="29" width="9.33203125" style="3" bestFit="1" customWidth="1"/>
    <col min="30" max="30" width="13" style="3" bestFit="1" customWidth="1"/>
    <col min="31" max="31" width="25.5" style="13" customWidth="1" outlineLevel="1"/>
    <col min="32" max="32" width="8" style="14" bestFit="1" customWidth="1" outlineLevel="1"/>
    <col min="33" max="33" width="12" style="14" bestFit="1" customWidth="1" outlineLevel="1"/>
    <col min="34" max="34" width="15" style="10" bestFit="1" customWidth="1" collapsed="1"/>
    <col min="35" max="36" width="14.83203125" style="3" bestFit="1" customWidth="1"/>
    <col min="37" max="37" width="6.6640625" style="3" bestFit="1" customWidth="1"/>
    <col min="38" max="38" width="9.33203125" style="3" bestFit="1" customWidth="1"/>
    <col min="39" max="39" width="10.33203125" style="3" bestFit="1" customWidth="1"/>
    <col min="40" max="40" width="7.6640625" style="3" bestFit="1" customWidth="1"/>
    <col min="41" max="41" width="4" style="3" bestFit="1" customWidth="1"/>
    <col min="42" max="16384" width="13" style="3"/>
  </cols>
  <sheetData>
    <row r="1" spans="1:42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20</v>
      </c>
      <c r="F1" s="30" t="s">
        <v>20</v>
      </c>
      <c r="G1" s="28" t="s">
        <v>19</v>
      </c>
      <c r="H1" s="29" t="s">
        <v>35</v>
      </c>
      <c r="I1" s="29" t="s">
        <v>14</v>
      </c>
      <c r="J1" s="29" t="s">
        <v>15</v>
      </c>
      <c r="K1" s="36" t="s">
        <v>54</v>
      </c>
      <c r="L1" s="37" t="s">
        <v>2</v>
      </c>
      <c r="M1" s="31" t="s">
        <v>21</v>
      </c>
      <c r="N1" s="29" t="s">
        <v>24</v>
      </c>
      <c r="O1" s="29" t="s">
        <v>23</v>
      </c>
      <c r="P1" s="32" t="s">
        <v>26</v>
      </c>
      <c r="Q1" s="30" t="s">
        <v>25</v>
      </c>
      <c r="R1" s="28" t="s">
        <v>3</v>
      </c>
      <c r="S1" s="26" t="s">
        <v>48</v>
      </c>
      <c r="T1" s="98" t="s">
        <v>252</v>
      </c>
      <c r="U1" s="26" t="s">
        <v>50</v>
      </c>
      <c r="V1" s="98" t="s">
        <v>253</v>
      </c>
      <c r="W1" s="26" t="s">
        <v>52</v>
      </c>
      <c r="X1" s="29" t="s">
        <v>31</v>
      </c>
      <c r="Y1" s="28" t="s">
        <v>4</v>
      </c>
      <c r="Z1" s="28" t="s">
        <v>5</v>
      </c>
      <c r="AA1" s="28" t="s">
        <v>6</v>
      </c>
      <c r="AB1" s="28" t="s">
        <v>7</v>
      </c>
      <c r="AC1" s="28" t="s">
        <v>8</v>
      </c>
      <c r="AD1" s="33" t="s">
        <v>9</v>
      </c>
      <c r="AE1" s="34" t="s">
        <v>16</v>
      </c>
      <c r="AF1" s="34" t="s">
        <v>17</v>
      </c>
      <c r="AG1" s="34" t="s">
        <v>27</v>
      </c>
      <c r="AH1" s="33" t="s">
        <v>10</v>
      </c>
      <c r="AI1" s="28" t="s">
        <v>11</v>
      </c>
      <c r="AJ1" s="28" t="s">
        <v>12</v>
      </c>
      <c r="AK1" s="28" t="s">
        <v>38</v>
      </c>
      <c r="AL1" s="28" t="s">
        <v>40</v>
      </c>
      <c r="AM1" s="28" t="s">
        <v>42</v>
      </c>
      <c r="AN1" s="28" t="s">
        <v>44</v>
      </c>
      <c r="AO1" s="28" t="s">
        <v>46</v>
      </c>
      <c r="AP1" s="36" t="s">
        <v>180</v>
      </c>
    </row>
    <row r="2" spans="1:42" ht="21" customHeight="1" x14ac:dyDescent="0.15">
      <c r="A2" s="16" t="str">
        <f>B2&amp;"_"&amp;C2&amp;"-"&amp;G2&amp;"/"&amp;L2&amp;"&lt;lv"&amp;R2&amp;"&gt;s"&amp;AC2</f>
        <v>40034_1-1/648&lt;lv55&gt;s2</v>
      </c>
      <c r="B2" s="22">
        <v>40034</v>
      </c>
      <c r="C2" s="21">
        <v>1</v>
      </c>
      <c r="D2" s="2" t="str">
        <f>B2&amp;"_"&amp;C2</f>
        <v>40034_1</v>
      </c>
      <c r="E2" s="4" t="str">
        <f ca="1">VLOOKUP($B2,OFFSET([2]quests!$A$1,0,0,COUNTA([2]quests!$A:$A),MATCH(E$1,[2]quests!$1:$1,0)-MATCH($B$1,[2]quests!$1:$1,0)+1),MATCH(E$1,[2]quests!$1:$1,0)-MATCH($B$1,[2]quests!$1:$1,0)+1,FALSE)</f>
        <v>カーリー襲来！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【超絶級】カーリー襲来</v>
      </c>
      <c r="G2" s="21">
        <v>1</v>
      </c>
      <c r="H2" s="15" t="str">
        <f>B2&amp;"_"&amp;C2&amp;"-"&amp;G2</f>
        <v>40034_1-1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 t="s">
        <v>53</v>
      </c>
      <c r="L2" s="20">
        <v>648</v>
      </c>
      <c r="M2" s="17" t="str">
        <f ca="1">VLOOKUP($L2,OFFSET([3]enemies!$A$1,0,0,COUNTA([3]enemies!$A:$A),MATCH(M$1,[3]enemies!$1:$1,0)-MATCH($L$1,[3]enemies!$1:$1,0)+1),MATCH(M$1,[3]enemies!$1:$1,0)-MATCH($L$1,[3]enemies!$1:$1,0)+1,FALSE)</f>
        <v>パールヴァティ</v>
      </c>
      <c r="N2" s="17" t="str">
        <f ca="1">VLOOKUP($L2,OFFSET([3]enemies!$A$1,0,0,COUNTA([3]enemies!$A:$A),MATCH(N$1,[3]enemies!$1:$1,0)-MATCH($L$1,[3]enemies!$1:$1,0)+1),MATCH(N$1,[3]enemies!$1:$1,0)-MATCH($L$1,[3]enemies!$1:$1,0)+1,FALSE)</f>
        <v>blue</v>
      </c>
      <c r="O2" s="17" t="str">
        <f ca="1">VLOOKUP($L2,OFFSET([4]characters!$A$1,0,0,COUNTA([4]characters!$A:$A),MATCH(O$1,[4]characters!$1:$1,0)-MATCH($L$1,[4]characters!$1:$1,0)+1),MATCH(O$1,[4]characters!$1:$1,0)-MATCH($L$1,[4]characters!$1:$1,0)+1,FALSE)</f>
        <v>DropWizS</v>
      </c>
      <c r="P2" s="17" t="str">
        <f ca="1">VLOOKUP($L2,OFFSET([3]enemies!$A$1,0,0,COUNTA([3]enemies!$A:$A),MATCH(P$1,[3]enemies!$1:$1,0)-MATCH($L$1,[3]enemies!$1:$1,0)+1),MATCH(P$1,[3]enemies!$1:$1,0)-MATCH($L$1,[3]enemies!$1:$1,0)+1,FALSE)</f>
        <v>god</v>
      </c>
      <c r="Q2" s="17">
        <f ca="1">VLOOKUP($L2,OFFSET([3]enemies!$A$1,0,0,COUNTA([3]enemies!$A:$A),MATCH(Q$1,[3]enemies!$1:$1,0)-MATCH($L$1,[3]enemies!$1:$1,0)+1),MATCH(Q$1,[3]enemies!$1:$1,0)-MATCH($L$1,[3]enemies!$1:$1,0)+1,FALSE)</f>
        <v>30</v>
      </c>
      <c r="R2" s="5">
        <v>55</v>
      </c>
      <c r="S2" s="25">
        <v>50</v>
      </c>
      <c r="T2" s="99">
        <f ca="1">ROUND(VLOOKUP(R2,[3]enemy_base_stats!$A:$F,2,FALSE) *INDIRECT("[EnemyMasterData.xlsm]enemies!Y"&amp;(L2+1))*  INDIRECT("[EnemyMasterData.xlsm]enemies!J"&amp;(L2+1))* INDIRECT("[EnemyMasterData.xlsm]enemies!O"&amp;(L2+1))* INDIRECT("[EnemyMasterData.xlsm]enemies!E"&amp;(L2+1))* INDIRECT("[EnemyMasterData.xlsm]enemies!S"&amp;(L2+1))* INDIRECT("[EnemyMasterData.xlsm]enemies!AD"&amp;(L2+1))*[4]ステータス!$B$2,0)*S2</f>
        <v>3525600</v>
      </c>
      <c r="U2" s="25">
        <v>1.1000000000000001</v>
      </c>
      <c r="V2" s="99">
        <f ca="1">ROUND(VLOOKUP(R2,[3]enemy_base_stats!$A:$F,3,FALSE) *INDIRECT("[EnemyMasterData.xlsm]enemies!Z"&amp;(L2+1))*  INDIRECT("[EnemyMasterData.xlsm]enemies!K"&amp;(L2+1))* INDIRECT("[EnemyMasterData.xlsm]enemies!P"&amp;(L2+1))* INDIRECT("[EnemyMasterData.xlsm]enemies!F"&amp;(L2+1))* INDIRECT("[EnemyMasterData.xlsm]enemies!T"&amp;(L2+1))* INDIRECT("[EnemyMasterData.xlsm]enemies!AE"&amp;(L2+1))*[4]ステータス!$C$2,0)*U2</f>
        <v>8378.7000000000007</v>
      </c>
      <c r="W2" s="5">
        <v>0</v>
      </c>
      <c r="X2" s="4" t="e">
        <f ca="1">VLOOKUP($Y2,OFFSET([5]enemy_skill_sets!$B$1,0,0,COUNTA([5]enemy_skill_sets!$B:$B),MATCH(M$1,[5]enemy_skill_sets!$1:$1,0)-MATCH($Y$1,[5]enemy_skill_sets!$1:$1,0)+2),MATCH(M$1,[5]enemy_skill_sets!$1:$1,0)-MATCH($Y$1,[5]enemy_skill_sets!$1:$1,0)+2,FALSE)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2" s="4">
        <v>40034000</v>
      </c>
      <c r="Z2" s="6">
        <v>1</v>
      </c>
      <c r="AA2" s="6">
        <v>100</v>
      </c>
      <c r="AB2" s="6">
        <v>0</v>
      </c>
      <c r="AC2" s="17">
        <v>2</v>
      </c>
      <c r="AD2" s="24">
        <f>L2</f>
        <v>648</v>
      </c>
      <c r="AE2" s="4" t="str">
        <f ca="1">VLOOKUP($AD2,OFFSET([4]characters!$A$1,0,0,COUNTA([4]characters!$A:$A),MATCH(AE$1,[4]characters!$1:$1,0)-MATCH("character_id",[4]characters!$1:$1,0)+1),MATCH(AE$1,[4]characters!$1:$1,0)-MATCH("character_id",[4]characters!$1:$1,0)+1,FALSE)</f>
        <v>パールヴァティ</v>
      </c>
      <c r="AF2" s="4">
        <f ca="1">VLOOKUP($AD2,OFFSET([4]characters!$A$1,0,0,COUNTA([4]characters!$A:$A),MATCH(AF$1,[4]characters!$1:$1,0)-MATCH("character_id",[4]characters!$1:$1,0)+1),MATCH(AF$1,[4]characters!$1:$1,0)-MATCH("character_id",[4]characters!$1:$1,0)+1,FALSE)</f>
        <v>4</v>
      </c>
      <c r="AG2" s="4" t="str">
        <f ca="1">VLOOKUP($AD2,OFFSET([4]characters!$A$1,0,0,COUNTA([4]characters!$A:$A),MATCH(AG$1,[4]characters!$1:$1,0)-MATCH("character_id",[4]characters!$1:$1,0)+1),MATCH(AG$1,[4]characters!$1:$1,0)-MATCH("character_id",[4]characters!$1:$1,0)+1,FALSE)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2" s="7">
        <v>1</v>
      </c>
      <c r="AI2" s="24">
        <f ca="1">AF2</f>
        <v>4</v>
      </c>
      <c r="AJ2" s="8">
        <v>0</v>
      </c>
      <c r="AK2" s="7">
        <v>0</v>
      </c>
      <c r="AL2" s="7">
        <v>0</v>
      </c>
      <c r="AM2" s="7">
        <v>0</v>
      </c>
      <c r="AN2" s="7">
        <v>0</v>
      </c>
      <c r="AO2" s="7">
        <v>1</v>
      </c>
      <c r="AP2" s="65">
        <v>1</v>
      </c>
    </row>
    <row r="3" spans="1:42" ht="21" customHeight="1" x14ac:dyDescent="0.15">
      <c r="A3" s="16" t="str">
        <f t="shared" ref="A3:A11" si="0">B3&amp;"_"&amp;C3&amp;"-"&amp;G3&amp;"/"&amp;L3&amp;"&lt;lv"&amp;R3&amp;"&gt;s"&amp;AC3</f>
        <v>40034_1-1/1145&lt;lv55&gt;s2</v>
      </c>
      <c r="B3" s="22">
        <v>40034</v>
      </c>
      <c r="C3" s="21">
        <v>1</v>
      </c>
      <c r="D3" s="2" t="str">
        <f t="shared" ref="D3:D11" si="1">B3&amp;"_"&amp;C3</f>
        <v>40034_1</v>
      </c>
      <c r="E3" s="4" t="str">
        <f ca="1">VLOOKUP($B3,OFFSET([2]quests!$A$1,0,0,COUNTA([2]quests!$A:$A),MATCH(E$1,[2]quests!$1:$1,0)-MATCH($B$1,[2]quests!$1:$1,0)+1),MATCH(E$1,[2]quests!$1:$1,0)-MATCH($B$1,[2]quests!$1:$1,0)+1,FALSE)</f>
        <v>カーリー襲来！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【超絶級】カーリー襲来</v>
      </c>
      <c r="G3" s="21">
        <v>1</v>
      </c>
      <c r="H3" s="15" t="str">
        <f t="shared" ref="H3:H11" si="2">B3&amp;"_"&amp;C3&amp;"-"&amp;G3</f>
        <v>40034_1-1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1</v>
      </c>
      <c r="L3" s="20">
        <v>1145</v>
      </c>
      <c r="M3" s="17" t="str">
        <f ca="1">VLOOKUP($L3,OFFSET([3]enemies!$A$1,0,0,COUNTA([3]enemies!$A:$A),MATCH(M$1,[3]enemies!$1:$1,0)-MATCH($L$1,[3]enemies!$1:$1,0)+1),MATCH(M$1,[3]enemies!$1:$1,0)-MATCH($L$1,[3]enemies!$1:$1,0)+1,FALSE)</f>
        <v>ヴリトラ</v>
      </c>
      <c r="N3" s="17" t="str">
        <f ca="1">VLOOKUP($L3,OFFSET([3]enemies!$A$1,0,0,COUNTA([3]enemies!$A:$A),MATCH(N$1,[3]enemies!$1:$1,0)-MATCH($L$1,[3]enemies!$1:$1,0)+1),MATCH(N$1,[3]enemies!$1:$1,0)-MATCH($L$1,[3]enemies!$1:$1,0)+1,FALSE)</f>
        <v>yellow</v>
      </c>
      <c r="O3" s="17" t="str">
        <f ca="1">VLOOKUP($L3,OFFSET([4]characters!$A$1,0,0,COUNTA([4]characters!$A:$A),MATCH(O$1,[4]characters!$1:$1,0)-MATCH($L$1,[4]characters!$1:$1,0)+1),MATCH(O$1,[4]characters!$1:$1,0)-MATCH($L$1,[4]characters!$1:$1,0)+1,FALSE)</f>
        <v>Drop2N</v>
      </c>
      <c r="P3" s="17" t="str">
        <f ca="1">VLOOKUP($L3,OFFSET([3]enemies!$A$1,0,0,COUNTA([3]enemies!$A:$A),MATCH(P$1,[3]enemies!$1:$1,0)-MATCH($L$1,[3]enemies!$1:$1,0)+1),MATCH(P$1,[3]enemies!$1:$1,0)-MATCH($L$1,[3]enemies!$1:$1,0)+1,FALSE)</f>
        <v>dragon</v>
      </c>
      <c r="Q3" s="17">
        <f ca="1">VLOOKUP($L3,OFFSET([3]enemies!$A$1,0,0,COUNTA([3]enemies!$A:$A),MATCH(Q$1,[3]enemies!$1:$1,0)-MATCH($L$1,[3]enemies!$1:$1,0)+1),MATCH(Q$1,[3]enemies!$1:$1,0)-MATCH($L$1,[3]enemies!$1:$1,0)+1,FALSE)</f>
        <v>30</v>
      </c>
      <c r="R3" s="5">
        <v>55</v>
      </c>
      <c r="S3" s="25">
        <v>3</v>
      </c>
      <c r="T3" s="99">
        <f ca="1">ROUND(VLOOKUP(R3,[3]enemy_base_stats!$A:$F,2,FALSE) *INDIRECT("[EnemyMasterData.xlsm]enemies!Y"&amp;(L3+1))*  INDIRECT("[EnemyMasterData.xlsm]enemies!J"&amp;(L3+1))* INDIRECT("[EnemyMasterData.xlsm]enemies!O"&amp;(L3+1))* INDIRECT("[EnemyMasterData.xlsm]enemies!E"&amp;(L3+1))* INDIRECT("[EnemyMasterData.xlsm]enemies!S"&amp;(L3+1))* INDIRECT("[EnemyMasterData.xlsm]enemies!AD"&amp;(L3+1))*[4]ステータス!$B$2,0)*S3</f>
        <v>360084</v>
      </c>
      <c r="U3" s="25">
        <v>0.8</v>
      </c>
      <c r="V3" s="99">
        <f ca="1">ROUND(VLOOKUP(R3,[3]enemy_base_stats!$A:$F,3,FALSE) *INDIRECT("[EnemyMasterData.xlsm]enemies!Z"&amp;(L3+1))*  INDIRECT("[EnemyMasterData.xlsm]enemies!K"&amp;(L3+1))* INDIRECT("[EnemyMasterData.xlsm]enemies!P"&amp;(L3+1))* INDIRECT("[EnemyMasterData.xlsm]enemies!F"&amp;(L3+1))* INDIRECT("[EnemyMasterData.xlsm]enemies!T"&amp;(L3+1))* INDIRECT("[EnemyMasterData.xlsm]enemies!AE"&amp;(L3+1))*[4]ステータス!$C$2,0)*U3</f>
        <v>4328</v>
      </c>
      <c r="W3" s="5">
        <v>0</v>
      </c>
      <c r="X3" s="4" t="e">
        <f ca="1">VLOOKUP($Y3,OFFSET([5]enemy_skill_sets!$B$1,0,0,COUNTA([5]enemy_skill_sets!$B:$B),MATCH(M$1,[5]enemy_skill_sets!$1:$1,0)-MATCH($Y$1,[5]enemy_skill_sets!$1:$1,0)+2),MATCH(M$1,[5]enemy_skill_sets!$1:$1,0)-MATCH($Y$1,[5]enemy_skill_sets!$1:$1,0)+2,FALSE)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3" s="4">
        <v>40034001</v>
      </c>
      <c r="Z3" s="6">
        <v>1</v>
      </c>
      <c r="AA3" s="6">
        <v>100</v>
      </c>
      <c r="AB3" s="6">
        <v>1</v>
      </c>
      <c r="AC3" s="17">
        <v>2</v>
      </c>
      <c r="AD3" s="24">
        <f t="shared" ref="AD3:AD11" si="3">L3</f>
        <v>1145</v>
      </c>
      <c r="AE3" s="4" t="str">
        <f ca="1">VLOOKUP($AD3,OFFSET([4]characters!$A$1,0,0,COUNTA([4]characters!$A:$A),MATCH(AE$1,[4]characters!$1:$1,0)-MATCH("character_id",[4]characters!$1:$1,0)+1),MATCH(AE$1,[4]characters!$1:$1,0)-MATCH("character_id",[4]characters!$1:$1,0)+1,FALSE)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3" s="4">
        <f ca="1">VLOOKUP($AD3,OFFSET([4]characters!$A$1,0,0,COUNTA([4]characters!$A:$A),MATCH(AF$1,[4]characters!$1:$1,0)-MATCH("character_id",[4]characters!$1:$1,0)+1),MATCH(AF$1,[4]characters!$1:$1,0)-MATCH("character_id",[4]characters!$1:$1,0)+1,FALSE)</f>
        <v>4</v>
      </c>
      <c r="AG3" s="4" t="str">
        <f ca="1">VLOOKUP($AD3,OFFSET([4]characters!$A$1,0,0,COUNTA([4]characters!$A:$A),MATCH(AG$1,[4]characters!$1:$1,0)-MATCH("character_id",[4]characters!$1:$1,0)+1),MATCH(AG$1,[4]characters!$1:$1,0)-MATCH("character_id",[4]characters!$1:$1,0)+1,FALSE)</f>
        <v>Drop2N</v>
      </c>
      <c r="AH3" s="7">
        <v>1</v>
      </c>
      <c r="AI3" s="24">
        <f t="shared" ref="AI3:AI11" ca="1" si="4">AF3</f>
        <v>4</v>
      </c>
      <c r="AJ3" s="8">
        <v>0</v>
      </c>
      <c r="AK3" s="7">
        <v>0</v>
      </c>
      <c r="AL3" s="7">
        <v>0</v>
      </c>
      <c r="AM3" s="7">
        <v>0</v>
      </c>
      <c r="AN3" s="7">
        <v>0</v>
      </c>
      <c r="AO3" s="7">
        <v>1</v>
      </c>
      <c r="AP3" s="65">
        <v>1</v>
      </c>
    </row>
    <row r="4" spans="1:42" ht="21" customHeight="1" x14ac:dyDescent="0.15">
      <c r="A4" s="16" t="str">
        <f t="shared" si="0"/>
        <v>40034_1-2/1147&lt;lv55&gt;s1</v>
      </c>
      <c r="B4" s="22">
        <v>40034</v>
      </c>
      <c r="C4" s="21">
        <v>1</v>
      </c>
      <c r="D4" s="2" t="str">
        <f t="shared" si="1"/>
        <v>40034_1</v>
      </c>
      <c r="E4" s="4" t="str">
        <f ca="1">VLOOKUP($B4,OFFSET([2]quests!$A$1,0,0,COUNTA([2]quests!$A:$A),MATCH(E$1,[2]quests!$1:$1,0)-MATCH($B$1,[2]quests!$1:$1,0)+1),MATCH(E$1,[2]quests!$1:$1,0)-MATCH($B$1,[2]quests!$1:$1,0)+1,FALSE)</f>
        <v>カーリー襲来！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【超絶級】カーリー襲来</v>
      </c>
      <c r="G4" s="21">
        <v>2</v>
      </c>
      <c r="H4" s="15" t="str">
        <f t="shared" si="2"/>
        <v>40034_1-2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 t="s">
        <v>53</v>
      </c>
      <c r="L4" s="20">
        <v>1147</v>
      </c>
      <c r="M4" s="17" t="str">
        <f ca="1">VLOOKUP($L4,OFFSET([3]enemies!$A$1,0,0,COUNTA([3]enemies!$A:$A),MATCH(M$1,[3]enemies!$1:$1,0)-MATCH($L$1,[3]enemies!$1:$1,0)+1),MATCH(M$1,[3]enemies!$1:$1,0)-MATCH($L$1,[3]enemies!$1:$1,0)+1,FALSE)</f>
        <v>カーリー</v>
      </c>
      <c r="N4" s="17" t="str">
        <f ca="1">VLOOKUP($L4,OFFSET([3]enemies!$A$1,0,0,COUNTA([3]enemies!$A:$A),MATCH(N$1,[3]enemies!$1:$1,0)-MATCH($L$1,[3]enemies!$1:$1,0)+1),MATCH(N$1,[3]enemies!$1:$1,0)-MATCH($L$1,[3]enemies!$1:$1,0)+1,FALSE)</f>
        <v>red</v>
      </c>
      <c r="O4" s="17" t="str">
        <f ca="1">VLOOKUP($L4,OFFSET([4]characters!$A$1,0,0,COUNTA([4]characters!$A:$A),MATCH(O$1,[4]characters!$1:$1,0)-MATCH($L$1,[4]characters!$1:$1,0)+1),MATCH(O$1,[4]characters!$1:$1,0)-MATCH($L$1,[4]characters!$1:$1,0)+1,FALSE)</f>
        <v>DropWizS</v>
      </c>
      <c r="P4" s="17" t="str">
        <f ca="1">VLOOKUP($L4,OFFSET([3]enemies!$A$1,0,0,COUNTA([3]enemies!$A:$A),MATCH(P$1,[3]enemies!$1:$1,0)-MATCH($L$1,[3]enemies!$1:$1,0)+1),MATCH(P$1,[3]enemies!$1:$1,0)-MATCH($L$1,[3]enemies!$1:$1,0)+1,FALSE)</f>
        <v>god</v>
      </c>
      <c r="Q4" s="17">
        <f ca="1">VLOOKUP($L4,OFFSET([3]enemies!$A$1,0,0,COUNTA([3]enemies!$A:$A),MATCH(Q$1,[3]enemies!$1:$1,0)-MATCH($L$1,[3]enemies!$1:$1,0)+1),MATCH(Q$1,[3]enemies!$1:$1,0)-MATCH($L$1,[3]enemies!$1:$1,0)+1,FALSE)</f>
        <v>60</v>
      </c>
      <c r="R4" s="5">
        <v>55</v>
      </c>
      <c r="S4" s="25">
        <v>3.5</v>
      </c>
      <c r="T4" s="99">
        <f ca="1">ROUND(VLOOKUP(R4,[3]enemy_base_stats!$A:$F,2,FALSE) *INDIRECT("[EnemyMasterData.xlsm]enemies!Y"&amp;(L4+1))*  INDIRECT("[EnemyMasterData.xlsm]enemies!J"&amp;(L4+1))* INDIRECT("[EnemyMasterData.xlsm]enemies!O"&amp;(L4+1))* INDIRECT("[EnemyMasterData.xlsm]enemies!E"&amp;(L4+1))* INDIRECT("[EnemyMasterData.xlsm]enemies!S"&amp;(L4+1))* INDIRECT("[EnemyMasterData.xlsm]enemies!AD"&amp;(L4+1))*[4]ステータス!$B$2,0)*S4</f>
        <v>290454.5</v>
      </c>
      <c r="U4" s="25">
        <v>0.7</v>
      </c>
      <c r="V4" s="99">
        <f ca="1">ROUND(VLOOKUP(R4,[3]enemy_base_stats!$A:$F,3,FALSE) *INDIRECT("[EnemyMasterData.xlsm]enemies!Z"&amp;(L4+1))*  INDIRECT("[EnemyMasterData.xlsm]enemies!K"&amp;(L4+1))* INDIRECT("[EnemyMasterData.xlsm]enemies!P"&amp;(L4+1))* INDIRECT("[EnemyMasterData.xlsm]enemies!F"&amp;(L4+1))* INDIRECT("[EnemyMasterData.xlsm]enemies!T"&amp;(L4+1))* INDIRECT("[EnemyMasterData.xlsm]enemies!AE"&amp;(L4+1))*[4]ステータス!$C$2,0)*U4</f>
        <v>4043.8999999999996</v>
      </c>
      <c r="W4" s="5">
        <v>0</v>
      </c>
      <c r="X4" s="4" t="e">
        <f ca="1">VLOOKUP($Y4,OFFSET([5]enemy_skill_sets!$B$1,0,0,COUNTA([5]enemy_skill_sets!$B:$B),MATCH(M$1,[5]enemy_skill_sets!$1:$1,0)-MATCH($Y$1,[5]enemy_skill_sets!$1:$1,0)+2),MATCH(M$1,[5]enemy_skill_sets!$1:$1,0)-MATCH($Y$1,[5]enemy_skill_sets!$1:$1,0)+2,FALSE)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4" s="4">
        <v>40034011</v>
      </c>
      <c r="Z4" s="6">
        <v>1</v>
      </c>
      <c r="AA4" s="6">
        <v>100</v>
      </c>
      <c r="AB4" s="6">
        <v>0</v>
      </c>
      <c r="AC4" s="17">
        <v>1</v>
      </c>
      <c r="AD4" s="24">
        <f t="shared" si="3"/>
        <v>1147</v>
      </c>
      <c r="AE4" s="4" t="str">
        <f ca="1">VLOOKUP($AD4,OFFSET([4]characters!$A$1,0,0,COUNTA([4]characters!$A:$A),MATCH(AE$1,[4]characters!$1:$1,0)-MATCH("character_id",[4]characters!$1:$1,0)+1),MATCH(AE$1,[4]characters!$1:$1,0)-MATCH("character_id",[4]characters!$1:$1,0)+1,FALSE)</f>
        <v>カーリー</v>
      </c>
      <c r="AF4" s="4">
        <f ca="1">VLOOKUP($AD4,OFFSET([4]characters!$A$1,0,0,COUNTA([4]characters!$A:$A),MATCH(AF$1,[4]characters!$1:$1,0)-MATCH("character_id",[4]characters!$1:$1,0)+1),MATCH(AF$1,[4]characters!$1:$1,0)-MATCH("character_id",[4]characters!$1:$1,0)+1,FALSE)</f>
        <v>5</v>
      </c>
      <c r="AG4" s="4" t="str">
        <f ca="1">VLOOKUP($AD4,OFFSET([4]characters!$A$1,0,0,COUNTA([4]characters!$A:$A),MATCH(AG$1,[4]characters!$1:$1,0)-MATCH("character_id",[4]characters!$1:$1,0)+1),MATCH(AG$1,[4]characters!$1:$1,0)-MATCH("character_id",[4]characters!$1:$1,0)+1,FALSE)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4" s="7">
        <v>1</v>
      </c>
      <c r="AI4" s="24">
        <f t="shared" ca="1" si="4"/>
        <v>5</v>
      </c>
      <c r="AJ4" s="8">
        <v>0</v>
      </c>
      <c r="AK4" s="7">
        <v>0</v>
      </c>
      <c r="AL4" s="7">
        <v>0</v>
      </c>
      <c r="AM4" s="7">
        <v>0</v>
      </c>
      <c r="AN4" s="7">
        <v>0</v>
      </c>
      <c r="AO4" s="7">
        <v>1</v>
      </c>
      <c r="AP4" s="65">
        <v>1</v>
      </c>
    </row>
    <row r="5" spans="1:42" ht="21" customHeight="1" x14ac:dyDescent="0.15">
      <c r="A5" s="16" t="str">
        <f t="shared" ca="1" si="0"/>
        <v>40034_1-3/30&lt;lv55&gt;s2</v>
      </c>
      <c r="B5" s="22">
        <v>40034</v>
      </c>
      <c r="C5" s="21">
        <v>1</v>
      </c>
      <c r="D5" s="2" t="str">
        <f t="shared" si="1"/>
        <v>40034_1</v>
      </c>
      <c r="E5" s="4" t="str">
        <f ca="1">VLOOKUP($B5,OFFSET([2]quests!$A$1,0,0,COUNTA([2]quests!$A:$A),MATCH(E$1,[2]quests!$1:$1,0)-MATCH($B$1,[2]quests!$1:$1,0)+1),MATCH(E$1,[2]quests!$1:$1,0)-MATCH($B$1,[2]quests!$1:$1,0)+1,FALSE)</f>
        <v>カーリー襲来！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【超絶級】カーリー襲来</v>
      </c>
      <c r="G5" s="21">
        <v>3</v>
      </c>
      <c r="H5" s="15" t="str">
        <f t="shared" si="2"/>
        <v>40034_1-3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2</v>
      </c>
      <c r="L5" s="20">
        <v>30</v>
      </c>
      <c r="M5" s="17" t="str">
        <f ca="1">VLOOKUP($L5,OFFSET([3]enemies!$A$1,0,0,COUNTA([3]enemies!$A:$A),MATCH(M$1,[3]enemies!$1:$1,0)-MATCH($L$1,[3]enemies!$1:$1,0)+1),MATCH(M$1,[3]enemies!$1:$1,0)-MATCH($L$1,[3]enemies!$1:$1,0)+1,FALSE)</f>
        <v>護衛機人 スケアクロウ</v>
      </c>
      <c r="N5" s="17" t="str">
        <f ca="1">VLOOKUP($L5,OFFSET([3]enemies!$A$1,0,0,COUNTA([3]enemies!$A:$A),MATCH(N$1,[3]enemies!$1:$1,0)-MATCH($L$1,[3]enemies!$1:$1,0)+1),MATCH(N$1,[3]enemies!$1:$1,0)-MATCH($L$1,[3]enemies!$1:$1,0)+1,FALSE)</f>
        <v>blue</v>
      </c>
      <c r="O5" s="17" t="str">
        <f ca="1">VLOOKUP($L5,OFFSET([4]characters!$A$1,0,0,COUNTA([4]characters!$A:$A),MATCH(O$1,[4]characters!$1:$1,0)-MATCH($L$1,[4]characters!$1:$1,0)+1),MATCH(O$1,[4]characters!$1:$1,0)-MATCH($L$1,[4]characters!$1:$1,0)+1,FALSE)</f>
        <v>Drop1N</v>
      </c>
      <c r="P5" s="17" t="str">
        <f ca="1">VLOOKUP($L5,OFFSET([3]enemies!$A$1,0,0,COUNTA([3]enemies!$A:$A),MATCH(P$1,[3]enemies!$1:$1,0)-MATCH($L$1,[3]enemies!$1:$1,0)+1),MATCH(P$1,[3]enemies!$1:$1,0)-MATCH($L$1,[3]enemies!$1:$1,0)+1,FALSE)</f>
        <v>machine</v>
      </c>
      <c r="Q5" s="17">
        <f ca="1">VLOOKUP($L5,OFFSET([3]enemies!$A$1,0,0,COUNTA([3]enemies!$A:$A),MATCH(Q$1,[3]enemies!$1:$1,0)-MATCH($L$1,[3]enemies!$1:$1,0)+1),MATCH(Q$1,[3]enemies!$1:$1,0)-MATCH($L$1,[3]enemies!$1:$1,0)+1,FALSE)</f>
        <v>15</v>
      </c>
      <c r="R5" s="5">
        <v>55</v>
      </c>
      <c r="S5" s="25">
        <v>4.5</v>
      </c>
      <c r="T5" s="99">
        <f ca="1">ROUND(VLOOKUP(R5,[3]enemy_base_stats!$A:$F,2,FALSE) *INDIRECT("[EnemyMasterData.xlsm]enemies!Y"&amp;(L5+1))*  INDIRECT("[EnemyMasterData.xlsm]enemies!J"&amp;(L5+1))* INDIRECT("[EnemyMasterData.xlsm]enemies!O"&amp;(L5+1))* INDIRECT("[EnemyMasterData.xlsm]enemies!E"&amp;(L5+1))* INDIRECT("[EnemyMasterData.xlsm]enemies!S"&amp;(L5+1))* INDIRECT("[EnemyMasterData.xlsm]enemies!AD"&amp;(L5+1))*[4]ステータス!$B$2,0)*S5</f>
        <v>40680</v>
      </c>
      <c r="U5" s="25">
        <v>0.9</v>
      </c>
      <c r="V5" s="99">
        <f ca="1">ROUND(VLOOKUP(R5,[3]enemy_base_stats!$A:$F,3,FALSE) *INDIRECT("[EnemyMasterData.xlsm]enemies!Z"&amp;(L5+1))*  INDIRECT("[EnemyMasterData.xlsm]enemies!K"&amp;(L5+1))* INDIRECT("[EnemyMasterData.xlsm]enemies!P"&amp;(L5+1))* INDIRECT("[EnemyMasterData.xlsm]enemies!F"&amp;(L5+1))* INDIRECT("[EnemyMasterData.xlsm]enemies!T"&amp;(L5+1))* INDIRECT("[EnemyMasterData.xlsm]enemies!AE"&amp;(L5+1))*[4]ステータス!$C$2,0)*U5</f>
        <v>2331.9</v>
      </c>
      <c r="W5" s="5">
        <v>0</v>
      </c>
      <c r="X5" s="4" t="e">
        <f ca="1">VLOOKUP($Y5,OFFSET([5]enemy_skill_sets!$B$1,0,0,COUNTA([5]enemy_skill_sets!$B:$B),MATCH(M$1,[5]enemy_skill_sets!$1:$1,0)-MATCH($Y$1,[5]enemy_skill_sets!$1:$1,0)+2),MATCH(M$1,[5]enemy_skill_sets!$1:$1,0)-MATCH($Y$1,[5]enemy_skill_sets!$1:$1,0)+2,FALSE)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5" s="4">
        <v>40034004</v>
      </c>
      <c r="Z5" s="6">
        <v>1</v>
      </c>
      <c r="AA5" s="6">
        <v>100</v>
      </c>
      <c r="AB5" s="6">
        <v>0</v>
      </c>
      <c r="AC5" s="17">
        <f ca="1">VLOOKUP($L5,OFFSET([3]enemies!$A$1,0,0,COUNTA([3]enemies!$A:$A),MATCH(AC$1,[3]enemies!$1:$1,0)-MATCH($L$1,[3]enemies!$1:$1,0)+1),MATCH(AC$1,[3]enemies!$1:$1,0)-MATCH($L$1,[3]enemies!$1:$1,0)+1,FALSE)</f>
        <v>2</v>
      </c>
      <c r="AD5" s="24">
        <f t="shared" si="3"/>
        <v>30</v>
      </c>
      <c r="AE5" s="4" t="str">
        <f ca="1">VLOOKUP($AD5,OFFSET([4]characters!$A$1,0,0,COUNTA([4]characters!$A:$A),MATCH(AE$1,[4]characters!$1:$1,0)-MATCH("character_id",[4]characters!$1:$1,0)+1),MATCH(AE$1,[4]characters!$1:$1,0)-MATCH("character_id",[4]characters!$1:$1,0)+1,FALSE)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5" s="4">
        <f ca="1">VLOOKUP($AD5,OFFSET([4]characters!$A$1,0,0,COUNTA([4]characters!$A:$A),MATCH(AF$1,[4]characters!$1:$1,0)-MATCH("character_id",[4]characters!$1:$1,0)+1),MATCH(AF$1,[4]characters!$1:$1,0)-MATCH("character_id",[4]characters!$1:$1,0)+1,FALSE)</f>
        <v>2</v>
      </c>
      <c r="AG5" s="4" t="str">
        <f ca="1">VLOOKUP($AD5,OFFSET([4]characters!$A$1,0,0,COUNTA([4]characters!$A:$A),MATCH(AG$1,[4]characters!$1:$1,0)-MATCH("character_id",[4]characters!$1:$1,0)+1),MATCH(AG$1,[4]characters!$1:$1,0)-MATCH("character_id",[4]characters!$1:$1,0)+1,FALSE)</f>
        <v>Drop1N</v>
      </c>
      <c r="AH5" s="7">
        <v>1</v>
      </c>
      <c r="AI5" s="24">
        <f t="shared" ca="1" si="4"/>
        <v>2</v>
      </c>
      <c r="AJ5" s="8">
        <v>0</v>
      </c>
      <c r="AK5" s="7">
        <v>0</v>
      </c>
      <c r="AL5" s="7">
        <v>0</v>
      </c>
      <c r="AM5" s="7">
        <v>0</v>
      </c>
      <c r="AN5" s="7">
        <v>0</v>
      </c>
      <c r="AO5" s="7">
        <v>1</v>
      </c>
      <c r="AP5" s="65">
        <v>1</v>
      </c>
    </row>
    <row r="6" spans="1:42" ht="21" customHeight="1" x14ac:dyDescent="0.15">
      <c r="A6" s="16" t="str">
        <f t="shared" si="0"/>
        <v>40034_1-4/1147&lt;lv55&gt;s2</v>
      </c>
      <c r="B6" s="22">
        <v>40034</v>
      </c>
      <c r="C6" s="21">
        <v>1</v>
      </c>
      <c r="D6" s="2" t="str">
        <f t="shared" si="1"/>
        <v>40034_1</v>
      </c>
      <c r="E6" s="4" t="str">
        <f ca="1">VLOOKUP($B6,OFFSET([2]quests!$A$1,0,0,COUNTA([2]quests!$A:$A),MATCH(E$1,[2]quests!$1:$1,0)-MATCH($B$1,[2]quests!$1:$1,0)+1),MATCH(E$1,[2]quests!$1:$1,0)-MATCH($B$1,[2]quests!$1:$1,0)+1,FALSE)</f>
        <v>カーリー襲来！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【超絶級】カーリー襲来</v>
      </c>
      <c r="G6" s="21">
        <v>4</v>
      </c>
      <c r="H6" s="15" t="str">
        <f t="shared" si="2"/>
        <v>40034_1-4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3</v>
      </c>
      <c r="L6" s="20">
        <v>1147</v>
      </c>
      <c r="M6" s="17" t="str">
        <f ca="1">VLOOKUP($L6,OFFSET([3]enemies!$A$1,0,0,COUNTA([3]enemies!$A:$A),MATCH(M$1,[3]enemies!$1:$1,0)-MATCH($L$1,[3]enemies!$1:$1,0)+1),MATCH(M$1,[3]enemies!$1:$1,0)-MATCH($L$1,[3]enemies!$1:$1,0)+1,FALSE)</f>
        <v>カーリー</v>
      </c>
      <c r="N6" s="17" t="str">
        <f ca="1">VLOOKUP($L6,OFFSET([3]enemies!$A$1,0,0,COUNTA([3]enemies!$A:$A),MATCH(N$1,[3]enemies!$1:$1,0)-MATCH($L$1,[3]enemies!$1:$1,0)+1),MATCH(N$1,[3]enemies!$1:$1,0)-MATCH($L$1,[3]enemies!$1:$1,0)+1,FALSE)</f>
        <v>red</v>
      </c>
      <c r="O6" s="17" t="str">
        <f ca="1">VLOOKUP($L6,OFFSET([4]characters!$A$1,0,0,COUNTA([4]characters!$A:$A),MATCH(O$1,[4]characters!$1:$1,0)-MATCH($L$1,[4]characters!$1:$1,0)+1),MATCH(O$1,[4]characters!$1:$1,0)-MATCH($L$1,[4]characters!$1:$1,0)+1,FALSE)</f>
        <v>DropWizS</v>
      </c>
      <c r="P6" s="17" t="str">
        <f ca="1">VLOOKUP($L6,OFFSET([3]enemies!$A$1,0,0,COUNTA([3]enemies!$A:$A),MATCH(P$1,[3]enemies!$1:$1,0)-MATCH($L$1,[3]enemies!$1:$1,0)+1),MATCH(P$1,[3]enemies!$1:$1,0)-MATCH($L$1,[3]enemies!$1:$1,0)+1,FALSE)</f>
        <v>god</v>
      </c>
      <c r="Q6" s="17">
        <f ca="1">VLOOKUP($L6,OFFSET([3]enemies!$A$1,0,0,COUNTA([3]enemies!$A:$A),MATCH(Q$1,[3]enemies!$1:$1,0)-MATCH($L$1,[3]enemies!$1:$1,0)+1),MATCH(Q$1,[3]enemies!$1:$1,0)-MATCH($L$1,[3]enemies!$1:$1,0)+1,FALSE)</f>
        <v>60</v>
      </c>
      <c r="R6" s="5">
        <v>55</v>
      </c>
      <c r="S6" s="25">
        <v>4.5</v>
      </c>
      <c r="T6" s="99">
        <f ca="1">ROUND(VLOOKUP(R6,[3]enemy_base_stats!$A:$F,2,FALSE) *INDIRECT("[EnemyMasterData.xlsm]enemies!Y"&amp;(L6+1))*  INDIRECT("[EnemyMasterData.xlsm]enemies!J"&amp;(L6+1))* INDIRECT("[EnemyMasterData.xlsm]enemies!O"&amp;(L6+1))* INDIRECT("[EnemyMasterData.xlsm]enemies!E"&amp;(L6+1))* INDIRECT("[EnemyMasterData.xlsm]enemies!S"&amp;(L6+1))* INDIRECT("[EnemyMasterData.xlsm]enemies!AD"&amp;(L6+1))*[4]ステータス!$B$2,0)*S6</f>
        <v>373441.5</v>
      </c>
      <c r="U6" s="25">
        <v>0.9</v>
      </c>
      <c r="V6" s="99">
        <f ca="1">ROUND(VLOOKUP(R6,[3]enemy_base_stats!$A:$F,3,FALSE) *INDIRECT("[EnemyMasterData.xlsm]enemies!Z"&amp;(L6+1))*  INDIRECT("[EnemyMasterData.xlsm]enemies!K"&amp;(L6+1))* INDIRECT("[EnemyMasterData.xlsm]enemies!P"&amp;(L6+1))* INDIRECT("[EnemyMasterData.xlsm]enemies!F"&amp;(L6+1))* INDIRECT("[EnemyMasterData.xlsm]enemies!T"&amp;(L6+1))* INDIRECT("[EnemyMasterData.xlsm]enemies!AE"&amp;(L6+1))*[4]ステータス!$C$2,0)*U6</f>
        <v>5199.3</v>
      </c>
      <c r="W6" s="5">
        <v>0</v>
      </c>
      <c r="X6" s="4" t="e">
        <f ca="1">VLOOKUP($Y6,OFFSET([5]enemy_skill_sets!$B$1,0,0,COUNTA([5]enemy_skill_sets!$B:$B),MATCH(M$1,[5]enemy_skill_sets!$1:$1,0)-MATCH($Y$1,[5]enemy_skill_sets!$1:$1,0)+2),MATCH(M$1,[5]enemy_skill_sets!$1:$1,0)-MATCH($Y$1,[5]enemy_skill_sets!$1:$1,0)+2,FALSE)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6" s="4">
        <v>40034009</v>
      </c>
      <c r="Z6" s="6">
        <v>1</v>
      </c>
      <c r="AA6" s="6">
        <v>100</v>
      </c>
      <c r="AB6" s="6">
        <v>1</v>
      </c>
      <c r="AC6" s="17">
        <v>2</v>
      </c>
      <c r="AD6" s="24">
        <f t="shared" si="3"/>
        <v>1147</v>
      </c>
      <c r="AE6" s="4" t="str">
        <f ca="1">VLOOKUP($AD6,OFFSET([4]characters!$A$1,0,0,COUNTA([4]characters!$A:$A),MATCH(AE$1,[4]characters!$1:$1,0)-MATCH("character_id",[4]characters!$1:$1,0)+1),MATCH(AE$1,[4]characters!$1:$1,0)-MATCH("character_id",[4]characters!$1:$1,0)+1,FALSE)</f>
        <v>カーリー</v>
      </c>
      <c r="AF6" s="4">
        <f ca="1">VLOOKUP($AD6,OFFSET([4]characters!$A$1,0,0,COUNTA([4]characters!$A:$A),MATCH(AF$1,[4]characters!$1:$1,0)-MATCH("character_id",[4]characters!$1:$1,0)+1),MATCH(AF$1,[4]characters!$1:$1,0)-MATCH("character_id",[4]characters!$1:$1,0)+1,FALSE)</f>
        <v>5</v>
      </c>
      <c r="AG6" s="4" t="str">
        <f ca="1">VLOOKUP($AD6,OFFSET([4]characters!$A$1,0,0,COUNTA([4]characters!$A:$A),MATCH(AG$1,[4]characters!$1:$1,0)-MATCH("character_id",[4]characters!$1:$1,0)+1),MATCH(AG$1,[4]characters!$1:$1,0)-MATCH("character_id",[4]characters!$1:$1,0)+1,FALSE)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6" s="7">
        <v>1</v>
      </c>
      <c r="AI6" s="24">
        <f t="shared" ca="1" si="4"/>
        <v>5</v>
      </c>
      <c r="AJ6" s="8">
        <v>15</v>
      </c>
      <c r="AK6" s="7">
        <v>0</v>
      </c>
      <c r="AL6" s="7">
        <v>0</v>
      </c>
      <c r="AM6" s="7">
        <v>0</v>
      </c>
      <c r="AN6" s="7">
        <v>0</v>
      </c>
      <c r="AO6" s="7">
        <v>1</v>
      </c>
      <c r="AP6" s="65">
        <v>1</v>
      </c>
    </row>
    <row r="7" spans="1:42" ht="21" customHeight="1" x14ac:dyDescent="0.15">
      <c r="A7" s="16" t="str">
        <f t="shared" si="0"/>
        <v>40034_2-1/648&lt;lv65&gt;s2</v>
      </c>
      <c r="B7" s="22">
        <v>40034</v>
      </c>
      <c r="C7" s="21">
        <v>2</v>
      </c>
      <c r="D7" s="2" t="str">
        <f t="shared" si="1"/>
        <v>40034_2</v>
      </c>
      <c r="E7" s="4" t="str">
        <f ca="1">VLOOKUP($B7,OFFSET([2]quests!$A$1,0,0,COUNTA([2]quests!$A:$A),MATCH(E$1,[2]quests!$1:$1,0)-MATCH($B$1,[2]quests!$1:$1,0)+1),MATCH(E$1,[2]quests!$1:$1,0)-MATCH($B$1,[2]quests!$1:$1,0)+1,FALSE)</f>
        <v>カーリー襲来！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【ウィザード級】カーリー襲来</v>
      </c>
      <c r="G7" s="21">
        <v>1</v>
      </c>
      <c r="H7" s="15" t="str">
        <f t="shared" si="2"/>
        <v>40034_2-1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 t="s">
        <v>53</v>
      </c>
      <c r="L7" s="20">
        <v>648</v>
      </c>
      <c r="M7" s="17" t="str">
        <f ca="1">VLOOKUP($L7,OFFSET([3]enemies!$A$1,0,0,COUNTA([3]enemies!$A:$A),MATCH(M$1,[3]enemies!$1:$1,0)-MATCH($L$1,[3]enemies!$1:$1,0)+1),MATCH(M$1,[3]enemies!$1:$1,0)-MATCH($L$1,[3]enemies!$1:$1,0)+1,FALSE)</f>
        <v>パールヴァティ</v>
      </c>
      <c r="N7" s="17" t="str">
        <f ca="1">VLOOKUP($L7,OFFSET([3]enemies!$A$1,0,0,COUNTA([3]enemies!$A:$A),MATCH(N$1,[3]enemies!$1:$1,0)-MATCH($L$1,[3]enemies!$1:$1,0)+1),MATCH(N$1,[3]enemies!$1:$1,0)-MATCH($L$1,[3]enemies!$1:$1,0)+1,FALSE)</f>
        <v>blue</v>
      </c>
      <c r="O7" s="17" t="str">
        <f ca="1">VLOOKUP($L7,OFFSET([4]characters!$A$1,0,0,COUNTA([4]characters!$A:$A),MATCH(O$1,[4]characters!$1:$1,0)-MATCH($L$1,[4]characters!$1:$1,0)+1),MATCH(O$1,[4]characters!$1:$1,0)-MATCH($L$1,[4]characters!$1:$1,0)+1,FALSE)</f>
        <v>DropWizS</v>
      </c>
      <c r="P7" s="17" t="str">
        <f ca="1">VLOOKUP($L7,OFFSET([3]enemies!$A$1,0,0,COUNTA([3]enemies!$A:$A),MATCH(P$1,[3]enemies!$1:$1,0)-MATCH($L$1,[3]enemies!$1:$1,0)+1),MATCH(P$1,[3]enemies!$1:$1,0)-MATCH($L$1,[3]enemies!$1:$1,0)+1,FALSE)</f>
        <v>god</v>
      </c>
      <c r="Q7" s="17">
        <f ca="1">VLOOKUP($L7,OFFSET([3]enemies!$A$1,0,0,COUNTA([3]enemies!$A:$A),MATCH(Q$1,[3]enemies!$1:$1,0)-MATCH($L$1,[3]enemies!$1:$1,0)+1),MATCH(Q$1,[3]enemies!$1:$1,0)-MATCH($L$1,[3]enemies!$1:$1,0)+1,FALSE)</f>
        <v>30</v>
      </c>
      <c r="R7" s="5">
        <v>65</v>
      </c>
      <c r="S7" s="25">
        <v>50</v>
      </c>
      <c r="T7" s="99">
        <f ca="1">ROUND(VLOOKUP(R7,[3]enemy_base_stats!$A:$F,2,FALSE) *INDIRECT("[EnemyMasterData.xlsm]enemies!Y"&amp;(L7+1))*  INDIRECT("[EnemyMasterData.xlsm]enemies!J"&amp;(L7+1))* INDIRECT("[EnemyMasterData.xlsm]enemies!O"&amp;(L7+1))* INDIRECT("[EnemyMasterData.xlsm]enemies!E"&amp;(L7+1))* INDIRECT("[EnemyMasterData.xlsm]enemies!S"&amp;(L7+1))* INDIRECT("[EnemyMasterData.xlsm]enemies!AD"&amp;(L7+1))*[4]ステータス!$B$2,0)*S7</f>
        <v>4149600</v>
      </c>
      <c r="U7" s="25">
        <v>1.1000000000000001</v>
      </c>
      <c r="V7" s="99">
        <f ca="1">ROUND(VLOOKUP(R7,[3]enemy_base_stats!$A:$F,3,FALSE) *INDIRECT("[EnemyMasterData.xlsm]enemies!Z"&amp;(L7+1))*  INDIRECT("[EnemyMasterData.xlsm]enemies!K"&amp;(L7+1))* INDIRECT("[EnemyMasterData.xlsm]enemies!P"&amp;(L7+1))* INDIRECT("[EnemyMasterData.xlsm]enemies!F"&amp;(L7+1))* INDIRECT("[EnemyMasterData.xlsm]enemies!T"&amp;(L7+1))* INDIRECT("[EnemyMasterData.xlsm]enemies!AE"&amp;(L7+1))*[4]ステータス!$C$2,0)*U7</f>
        <v>9861.5</v>
      </c>
      <c r="W7" s="5">
        <v>0</v>
      </c>
      <c r="X7" s="4" t="e">
        <f ca="1">VLOOKUP($Y7,OFFSET([5]enemy_skill_sets!$B$1,0,0,COUNTA([5]enemy_skill_sets!$B:$B),MATCH(M$1,[5]enemy_skill_sets!$1:$1,0)-MATCH($Y$1,[5]enemy_skill_sets!$1:$1,0)+2),MATCH(M$1,[5]enemy_skill_sets!$1:$1,0)-MATCH($Y$1,[5]enemy_skill_sets!$1:$1,0)+2,FALSE)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7" s="4">
        <v>40034000</v>
      </c>
      <c r="Z7" s="6">
        <v>1</v>
      </c>
      <c r="AA7" s="6">
        <v>100</v>
      </c>
      <c r="AB7" s="6">
        <v>0</v>
      </c>
      <c r="AC7" s="17">
        <v>2</v>
      </c>
      <c r="AD7" s="24">
        <f t="shared" si="3"/>
        <v>648</v>
      </c>
      <c r="AE7" s="4" t="str">
        <f ca="1">VLOOKUP($AD7,OFFSET([4]characters!$A$1,0,0,COUNTA([4]characters!$A:$A),MATCH(AE$1,[4]characters!$1:$1,0)-MATCH("character_id",[4]characters!$1:$1,0)+1),MATCH(AE$1,[4]characters!$1:$1,0)-MATCH("character_id",[4]characters!$1:$1,0)+1,FALSE)</f>
        <v>パールヴァティ</v>
      </c>
      <c r="AF7" s="4">
        <f ca="1">VLOOKUP($AD7,OFFSET([4]characters!$A$1,0,0,COUNTA([4]characters!$A:$A),MATCH(AF$1,[4]characters!$1:$1,0)-MATCH("character_id",[4]characters!$1:$1,0)+1),MATCH(AF$1,[4]characters!$1:$1,0)-MATCH("character_id",[4]characters!$1:$1,0)+1,FALSE)</f>
        <v>4</v>
      </c>
      <c r="AG7" s="4" t="str">
        <f ca="1">VLOOKUP($AD7,OFFSET([4]characters!$A$1,0,0,COUNTA([4]characters!$A:$A),MATCH(AG$1,[4]characters!$1:$1,0)-MATCH("character_id",[4]characters!$1:$1,0)+1),MATCH(AG$1,[4]characters!$1:$1,0)-MATCH("character_id",[4]characters!$1:$1,0)+1,FALSE)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7" s="7">
        <v>1</v>
      </c>
      <c r="AI7" s="24">
        <f t="shared" ca="1" si="4"/>
        <v>4</v>
      </c>
      <c r="AJ7" s="8">
        <v>0</v>
      </c>
      <c r="AK7" s="7">
        <v>0</v>
      </c>
      <c r="AL7" s="7">
        <v>0</v>
      </c>
      <c r="AM7" s="7">
        <v>0</v>
      </c>
      <c r="AN7" s="7">
        <v>0</v>
      </c>
      <c r="AO7" s="7">
        <v>1</v>
      </c>
      <c r="AP7" s="65">
        <v>1</v>
      </c>
    </row>
    <row r="8" spans="1:42" ht="21" customHeight="1" x14ac:dyDescent="0.15">
      <c r="A8" s="16" t="str">
        <f t="shared" si="0"/>
        <v>40034_2-1/1145&lt;lv65&gt;s2</v>
      </c>
      <c r="B8" s="22">
        <v>40034</v>
      </c>
      <c r="C8" s="21">
        <v>2</v>
      </c>
      <c r="D8" s="2" t="str">
        <f t="shared" si="1"/>
        <v>40034_2</v>
      </c>
      <c r="E8" s="4" t="str">
        <f ca="1">VLOOKUP($B8,OFFSET([2]quests!$A$1,0,0,COUNTA([2]quests!$A:$A),MATCH(E$1,[2]quests!$1:$1,0)-MATCH($B$1,[2]quests!$1:$1,0)+1),MATCH(E$1,[2]quests!$1:$1,0)-MATCH($B$1,[2]quests!$1:$1,0)+1,FALSE)</f>
        <v>カーリー襲来！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【ウィザード級】カーリー襲来</v>
      </c>
      <c r="G8" s="21">
        <v>1</v>
      </c>
      <c r="H8" s="15" t="str">
        <f t="shared" si="2"/>
        <v>40034_2-1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4</v>
      </c>
      <c r="L8" s="20">
        <v>1145</v>
      </c>
      <c r="M8" s="17" t="str">
        <f ca="1">VLOOKUP($L8,OFFSET([3]enemies!$A$1,0,0,COUNTA([3]enemies!$A:$A),MATCH(M$1,[3]enemies!$1:$1,0)-MATCH($L$1,[3]enemies!$1:$1,0)+1),MATCH(M$1,[3]enemies!$1:$1,0)-MATCH($L$1,[3]enemies!$1:$1,0)+1,FALSE)</f>
        <v>ヴリトラ</v>
      </c>
      <c r="N8" s="17" t="str">
        <f ca="1">VLOOKUP($L8,OFFSET([3]enemies!$A$1,0,0,COUNTA([3]enemies!$A:$A),MATCH(N$1,[3]enemies!$1:$1,0)-MATCH($L$1,[3]enemies!$1:$1,0)+1),MATCH(N$1,[3]enemies!$1:$1,0)-MATCH($L$1,[3]enemies!$1:$1,0)+1,FALSE)</f>
        <v>yellow</v>
      </c>
      <c r="O8" s="17" t="str">
        <f ca="1">VLOOKUP($L8,OFFSET([4]characters!$A$1,0,0,COUNTA([4]characters!$A:$A),MATCH(O$1,[4]characters!$1:$1,0)-MATCH($L$1,[4]characters!$1:$1,0)+1),MATCH(O$1,[4]characters!$1:$1,0)-MATCH($L$1,[4]characters!$1:$1,0)+1,FALSE)</f>
        <v>Drop2N</v>
      </c>
      <c r="P8" s="17" t="str">
        <f ca="1">VLOOKUP($L8,OFFSET([3]enemies!$A$1,0,0,COUNTA([3]enemies!$A:$A),MATCH(P$1,[3]enemies!$1:$1,0)-MATCH($L$1,[3]enemies!$1:$1,0)+1),MATCH(P$1,[3]enemies!$1:$1,0)-MATCH($L$1,[3]enemies!$1:$1,0)+1,FALSE)</f>
        <v>dragon</v>
      </c>
      <c r="Q8" s="17">
        <f ca="1">VLOOKUP($L8,OFFSET([3]enemies!$A$1,0,0,COUNTA([3]enemies!$A:$A),MATCH(Q$1,[3]enemies!$1:$1,0)-MATCH($L$1,[3]enemies!$1:$1,0)+1),MATCH(Q$1,[3]enemies!$1:$1,0)-MATCH($L$1,[3]enemies!$1:$1,0)+1,FALSE)</f>
        <v>30</v>
      </c>
      <c r="R8" s="5">
        <v>65</v>
      </c>
      <c r="S8" s="25">
        <v>3</v>
      </c>
      <c r="T8" s="99">
        <f ca="1">ROUND(VLOOKUP(R8,[3]enemy_base_stats!$A:$F,2,FALSE) *INDIRECT("[EnemyMasterData.xlsm]enemies!Y"&amp;(L8+1))*  INDIRECT("[EnemyMasterData.xlsm]enemies!J"&amp;(L8+1))* INDIRECT("[EnemyMasterData.xlsm]enemies!O"&amp;(L8+1))* INDIRECT("[EnemyMasterData.xlsm]enemies!E"&amp;(L8+1))* INDIRECT("[EnemyMasterData.xlsm]enemies!S"&amp;(L8+1))* INDIRECT("[EnemyMasterData.xlsm]enemies!AD"&amp;(L8+1))*[4]ステータス!$B$2,0)*S8</f>
        <v>423816</v>
      </c>
      <c r="U8" s="25">
        <v>0.9</v>
      </c>
      <c r="V8" s="99">
        <f ca="1">ROUND(VLOOKUP(R8,[3]enemy_base_stats!$A:$F,3,FALSE) *INDIRECT("[EnemyMasterData.xlsm]enemies!Z"&amp;(L8+1))*  INDIRECT("[EnemyMasterData.xlsm]enemies!K"&amp;(L8+1))* INDIRECT("[EnemyMasterData.xlsm]enemies!P"&amp;(L8+1))* INDIRECT("[EnemyMasterData.xlsm]enemies!F"&amp;(L8+1))* INDIRECT("[EnemyMasterData.xlsm]enemies!T"&amp;(L8+1))* INDIRECT("[EnemyMasterData.xlsm]enemies!AE"&amp;(L8+1))*[4]ステータス!$C$2,0)*U8</f>
        <v>5731.2</v>
      </c>
      <c r="W8" s="5">
        <v>0</v>
      </c>
      <c r="X8" s="4" t="e">
        <f ca="1">VLOOKUP($Y8,OFFSET([5]enemy_skill_sets!$B$1,0,0,COUNTA([5]enemy_skill_sets!$B:$B),MATCH(M$1,[5]enemy_skill_sets!$1:$1,0)-MATCH($Y$1,[5]enemy_skill_sets!$1:$1,0)+2),MATCH(M$1,[5]enemy_skill_sets!$1:$1,0)-MATCH($Y$1,[5]enemy_skill_sets!$1:$1,0)+2,FALSE)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8" s="4">
        <v>40034001</v>
      </c>
      <c r="Z8" s="6">
        <v>1</v>
      </c>
      <c r="AA8" s="6">
        <v>100</v>
      </c>
      <c r="AB8" s="6">
        <v>1</v>
      </c>
      <c r="AC8" s="17">
        <v>2</v>
      </c>
      <c r="AD8" s="24">
        <f t="shared" si="3"/>
        <v>1145</v>
      </c>
      <c r="AE8" s="4" t="str">
        <f ca="1">VLOOKUP($AD8,OFFSET([4]characters!$A$1,0,0,COUNTA([4]characters!$A:$A),MATCH(AE$1,[4]characters!$1:$1,0)-MATCH("character_id",[4]characters!$1:$1,0)+1),MATCH(AE$1,[4]characters!$1:$1,0)-MATCH("character_id",[4]characters!$1:$1,0)+1,FALSE)</f>
        <v>ヴリトラ</v>
      </c>
      <c r="AF8" s="4">
        <f ca="1">VLOOKUP($AD8,OFFSET([4]characters!$A$1,0,0,COUNTA([4]characters!$A:$A),MATCH(AF$1,[4]characters!$1:$1,0)-MATCH("character_id",[4]characters!$1:$1,0)+1),MATCH(AF$1,[4]characters!$1:$1,0)-MATCH("character_id",[4]characters!$1:$1,0)+1,FALSE)</f>
        <v>4</v>
      </c>
      <c r="AG8" s="4" t="str">
        <f ca="1">VLOOKUP($AD8,OFFSET([4]characters!$A$1,0,0,COUNTA([4]characters!$A:$A),MATCH(AG$1,[4]characters!$1:$1,0)-MATCH("character_id",[4]characters!$1:$1,0)+1),MATCH(AG$1,[4]characters!$1:$1,0)-MATCH("character_id",[4]characters!$1:$1,0)+1,FALSE)</f>
        <v>Drop2N</v>
      </c>
      <c r="AH8" s="7">
        <v>1</v>
      </c>
      <c r="AI8" s="24">
        <f t="shared" ca="1" si="4"/>
        <v>4</v>
      </c>
      <c r="AJ8" s="8">
        <v>0</v>
      </c>
      <c r="AK8" s="7">
        <v>0</v>
      </c>
      <c r="AL8" s="7">
        <v>0</v>
      </c>
      <c r="AM8" s="7">
        <v>0</v>
      </c>
      <c r="AN8" s="7">
        <v>0</v>
      </c>
      <c r="AO8" s="7">
        <v>1</v>
      </c>
      <c r="AP8" s="65">
        <v>1</v>
      </c>
    </row>
    <row r="9" spans="1:42" ht="21" customHeight="1" x14ac:dyDescent="0.15">
      <c r="A9" s="16" t="str">
        <f t="shared" si="0"/>
        <v>40034_2-2/1147&lt;lv65&gt;s1</v>
      </c>
      <c r="B9" s="22">
        <v>40034</v>
      </c>
      <c r="C9" s="21">
        <v>2</v>
      </c>
      <c r="D9" s="2" t="str">
        <f t="shared" si="1"/>
        <v>40034_2</v>
      </c>
      <c r="E9" s="4" t="str">
        <f ca="1">VLOOKUP($B9,OFFSET([2]quests!$A$1,0,0,COUNTA([2]quests!$A:$A),MATCH(E$1,[2]quests!$1:$1,0)-MATCH($B$1,[2]quests!$1:$1,0)+1),MATCH(E$1,[2]quests!$1:$1,0)-MATCH($B$1,[2]quests!$1:$1,0)+1,FALSE)</f>
        <v>カーリー襲来！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【ウィザード級】カーリー襲来</v>
      </c>
      <c r="G9" s="21">
        <v>2</v>
      </c>
      <c r="H9" s="15" t="str">
        <f t="shared" si="2"/>
        <v>40034_2-2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 t="s">
        <v>53</v>
      </c>
      <c r="L9" s="20">
        <v>1147</v>
      </c>
      <c r="M9" s="17" t="str">
        <f ca="1">VLOOKUP($L9,OFFSET([3]enemies!$A$1,0,0,COUNTA([3]enemies!$A:$A),MATCH(M$1,[3]enemies!$1:$1,0)-MATCH($L$1,[3]enemies!$1:$1,0)+1),MATCH(M$1,[3]enemies!$1:$1,0)-MATCH($L$1,[3]enemies!$1:$1,0)+1,FALSE)</f>
        <v>カーリー</v>
      </c>
      <c r="N9" s="17" t="str">
        <f ca="1">VLOOKUP($L9,OFFSET([3]enemies!$A$1,0,0,COUNTA([3]enemies!$A:$A),MATCH(N$1,[3]enemies!$1:$1,0)-MATCH($L$1,[3]enemies!$1:$1,0)+1),MATCH(N$1,[3]enemies!$1:$1,0)-MATCH($L$1,[3]enemies!$1:$1,0)+1,FALSE)</f>
        <v>red</v>
      </c>
      <c r="O9" s="17" t="str">
        <f ca="1">VLOOKUP($L9,OFFSET([4]characters!$A$1,0,0,COUNTA([4]characters!$A:$A),MATCH(O$1,[4]characters!$1:$1,0)-MATCH($L$1,[4]characters!$1:$1,0)+1),MATCH(O$1,[4]characters!$1:$1,0)-MATCH($L$1,[4]characters!$1:$1,0)+1,FALSE)</f>
        <v>DropWizS</v>
      </c>
      <c r="P9" s="17" t="str">
        <f ca="1">VLOOKUP($L9,OFFSET([3]enemies!$A$1,0,0,COUNTA([3]enemies!$A:$A),MATCH(P$1,[3]enemies!$1:$1,0)-MATCH($L$1,[3]enemies!$1:$1,0)+1),MATCH(P$1,[3]enemies!$1:$1,0)-MATCH($L$1,[3]enemies!$1:$1,0)+1,FALSE)</f>
        <v>god</v>
      </c>
      <c r="Q9" s="17">
        <f ca="1">VLOOKUP($L9,OFFSET([3]enemies!$A$1,0,0,COUNTA([3]enemies!$A:$A),MATCH(Q$1,[3]enemies!$1:$1,0)-MATCH($L$1,[3]enemies!$1:$1,0)+1),MATCH(Q$1,[3]enemies!$1:$1,0)-MATCH($L$1,[3]enemies!$1:$1,0)+1,FALSE)</f>
        <v>60</v>
      </c>
      <c r="R9" s="5">
        <v>65</v>
      </c>
      <c r="S9" s="25">
        <v>3.5</v>
      </c>
      <c r="T9" s="99">
        <f ca="1">ROUND(VLOOKUP(R9,[3]enemy_base_stats!$A:$F,2,FALSE) *INDIRECT("[EnemyMasterData.xlsm]enemies!Y"&amp;(L9+1))*  INDIRECT("[EnemyMasterData.xlsm]enemies!J"&amp;(L9+1))* INDIRECT("[EnemyMasterData.xlsm]enemies!O"&amp;(L9+1))* INDIRECT("[EnemyMasterData.xlsm]enemies!E"&amp;(L9+1))* INDIRECT("[EnemyMasterData.xlsm]enemies!S"&amp;(L9+1))* INDIRECT("[EnemyMasterData.xlsm]enemies!AD"&amp;(L9+1))*[4]ステータス!$B$2,0)*S9</f>
        <v>341862.5</v>
      </c>
      <c r="U9" s="25">
        <v>0.8</v>
      </c>
      <c r="V9" s="99">
        <f ca="1">ROUND(VLOOKUP(R9,[3]enemy_base_stats!$A:$F,3,FALSE) *INDIRECT("[EnemyMasterData.xlsm]enemies!Z"&amp;(L9+1))*  INDIRECT("[EnemyMasterData.xlsm]enemies!K"&amp;(L9+1))* INDIRECT("[EnemyMasterData.xlsm]enemies!P"&amp;(L9+1))* INDIRECT("[EnemyMasterData.xlsm]enemies!F"&amp;(L9+1))* INDIRECT("[EnemyMasterData.xlsm]enemies!T"&amp;(L9+1))* INDIRECT("[EnemyMasterData.xlsm]enemies!AE"&amp;(L9+1))*[4]ステータス!$C$2,0)*U9</f>
        <v>5440</v>
      </c>
      <c r="W9" s="5">
        <v>0</v>
      </c>
      <c r="X9" s="4" t="e">
        <f ca="1">VLOOKUP($Y9,OFFSET([5]enemy_skill_sets!$B$1,0,0,COUNTA([5]enemy_skill_sets!$B:$B),MATCH(M$1,[5]enemy_skill_sets!$1:$1,0)-MATCH($Y$1,[5]enemy_skill_sets!$1:$1,0)+2),MATCH(M$1,[5]enemy_skill_sets!$1:$1,0)-MATCH($Y$1,[5]enemy_skill_sets!$1:$1,0)+2,FALSE)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9" s="4">
        <v>40034003</v>
      </c>
      <c r="Z9" s="6">
        <v>1</v>
      </c>
      <c r="AA9" s="6">
        <v>100</v>
      </c>
      <c r="AB9" s="6">
        <v>0</v>
      </c>
      <c r="AC9" s="17">
        <v>1</v>
      </c>
      <c r="AD9" s="24">
        <f t="shared" si="3"/>
        <v>1147</v>
      </c>
      <c r="AE9" s="4" t="str">
        <f ca="1">VLOOKUP($AD9,OFFSET([4]characters!$A$1,0,0,COUNTA([4]characters!$A:$A),MATCH(AE$1,[4]characters!$1:$1,0)-MATCH("character_id",[4]characters!$1:$1,0)+1),MATCH(AE$1,[4]characters!$1:$1,0)-MATCH("character_id",[4]characters!$1:$1,0)+1,FALSE)</f>
        <v>カーリー</v>
      </c>
      <c r="AF9" s="4">
        <f ca="1">VLOOKUP($AD9,OFFSET([4]characters!$A$1,0,0,COUNTA([4]characters!$A:$A),MATCH(AF$1,[4]characters!$1:$1,0)-MATCH("character_id",[4]characters!$1:$1,0)+1),MATCH(AF$1,[4]characters!$1:$1,0)-MATCH("character_id",[4]characters!$1:$1,0)+1,FALSE)</f>
        <v>5</v>
      </c>
      <c r="AG9" s="4" t="str">
        <f ca="1">VLOOKUP($AD9,OFFSET([4]characters!$A$1,0,0,COUNTA([4]characters!$A:$A),MATCH(AG$1,[4]characters!$1:$1,0)-MATCH("character_id",[4]characters!$1:$1,0)+1),MATCH(AG$1,[4]characters!$1:$1,0)-MATCH("character_id",[4]characters!$1:$1,0)+1,FALSE)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9" s="7">
        <v>1</v>
      </c>
      <c r="AI9" s="24">
        <f t="shared" ca="1" si="4"/>
        <v>5</v>
      </c>
      <c r="AJ9" s="8">
        <v>0</v>
      </c>
      <c r="AK9" s="7">
        <v>0</v>
      </c>
      <c r="AL9" s="7">
        <v>0</v>
      </c>
      <c r="AM9" s="7">
        <v>0</v>
      </c>
      <c r="AN9" s="7">
        <v>0</v>
      </c>
      <c r="AO9" s="7">
        <v>1</v>
      </c>
      <c r="AP9" s="65">
        <v>1</v>
      </c>
    </row>
    <row r="10" spans="1:42" ht="21" customHeight="1" x14ac:dyDescent="0.15">
      <c r="A10" s="16" t="str">
        <f t="shared" ca="1" si="0"/>
        <v>40034_2-3/30&lt;lv65&gt;s2</v>
      </c>
      <c r="B10" s="22">
        <v>40034</v>
      </c>
      <c r="C10" s="21">
        <v>2</v>
      </c>
      <c r="D10" s="2" t="str">
        <f t="shared" si="1"/>
        <v>40034_2</v>
      </c>
      <c r="E10" s="4" t="str">
        <f ca="1">VLOOKUP($B10,OFFSET([2]quests!$A$1,0,0,COUNTA([2]quests!$A:$A),MATCH(E$1,[2]quests!$1:$1,0)-MATCH($B$1,[2]quests!$1:$1,0)+1),MATCH(E$1,[2]quests!$1:$1,0)-MATCH($B$1,[2]quests!$1:$1,0)+1,FALSE)</f>
        <v>カーリー襲来！</v>
      </c>
      <c r="F10" s="4" t="str">
        <f ca="1">VLOOKUP($D10,OFFSET([2]stages!$A$1,0,0,COUNTA([2]stages!$A:$A),MATCH(F$1,[2]stages!$2:$2,0)-MATCH($D$1,[2]stages!$2:$2,0)+1),MATCH(F$1,[2]stages!$2:$2,0)-MATCH($D$1,[2]stages!$2:$2,0)+1,FALSE)</f>
        <v>【ウィザード級】カーリー襲来</v>
      </c>
      <c r="G10" s="21">
        <v>3</v>
      </c>
      <c r="H10" s="15" t="str">
        <f t="shared" si="2"/>
        <v>40034_2-3</v>
      </c>
      <c r="I10" s="4">
        <f ca="1">VLOOKUP($H10,OFFSET(floors!$A$1,0,0,COUNTA(floors!$A:$A),MATCH(I$1,floors!$1:$1,0)-MATCH($H$1,floors!$1:$1,0)+1),MATCH(I$1,floors!$1:$1,0)-MATCH($H$1,floors!$1:$1,0)+1,FALSE)</f>
        <v>60</v>
      </c>
      <c r="J10" s="4">
        <f ca="1">VLOOKUP($H10,OFFSET(floors!$A$1,0,0,COUNTA(floors!$A:$A),MATCH(J$1,floors!$1:$1,0)-MATCH($H$1,floors!$1:$1,0)+1),MATCH(J$1,floors!$1:$1,0)-MATCH($H$1,floors!$1:$1,0)+1,FALSE)</f>
        <v>60</v>
      </c>
      <c r="K10" s="38">
        <v>5</v>
      </c>
      <c r="L10" s="20">
        <v>30</v>
      </c>
      <c r="M10" s="17" t="str">
        <f ca="1">VLOOKUP($L10,OFFSET([3]enemies!$A$1,0,0,COUNTA([3]enemies!$A:$A),MATCH(M$1,[3]enemies!$1:$1,0)-MATCH($L$1,[3]enemies!$1:$1,0)+1),MATCH(M$1,[3]enemies!$1:$1,0)-MATCH($L$1,[3]enemies!$1:$1,0)+1,FALSE)</f>
        <v>護衛機人 スケアクロウ</v>
      </c>
      <c r="N10" s="17" t="str">
        <f ca="1">VLOOKUP($L10,OFFSET([3]enemies!$A$1,0,0,COUNTA([3]enemies!$A:$A),MATCH(N$1,[3]enemies!$1:$1,0)-MATCH($L$1,[3]enemies!$1:$1,0)+1),MATCH(N$1,[3]enemies!$1:$1,0)-MATCH($L$1,[3]enemies!$1:$1,0)+1,FALSE)</f>
        <v>blue</v>
      </c>
      <c r="O10" s="17" t="str">
        <f ca="1">VLOOKUP($L10,OFFSET([4]characters!$A$1,0,0,COUNTA([4]characters!$A:$A),MATCH(O$1,[4]characters!$1:$1,0)-MATCH($L$1,[4]characters!$1:$1,0)+1),MATCH(O$1,[4]characters!$1:$1,0)-MATCH($L$1,[4]characters!$1:$1,0)+1,FALSE)</f>
        <v>Drop1N</v>
      </c>
      <c r="P10" s="17" t="str">
        <f ca="1">VLOOKUP($L10,OFFSET([3]enemies!$A$1,0,0,COUNTA([3]enemies!$A:$A),MATCH(P$1,[3]enemies!$1:$1,0)-MATCH($L$1,[3]enemies!$1:$1,0)+1),MATCH(P$1,[3]enemies!$1:$1,0)-MATCH($L$1,[3]enemies!$1:$1,0)+1,FALSE)</f>
        <v>machine</v>
      </c>
      <c r="Q10" s="17">
        <f ca="1">VLOOKUP($L10,OFFSET([3]enemies!$A$1,0,0,COUNTA([3]enemies!$A:$A),MATCH(Q$1,[3]enemies!$1:$1,0)-MATCH($L$1,[3]enemies!$1:$1,0)+1),MATCH(Q$1,[3]enemies!$1:$1,0)-MATCH($L$1,[3]enemies!$1:$1,0)+1,FALSE)</f>
        <v>15</v>
      </c>
      <c r="R10" s="5">
        <v>65</v>
      </c>
      <c r="S10" s="25">
        <v>4.5</v>
      </c>
      <c r="T10" s="99">
        <f ca="1">ROUND(VLOOKUP(R10,[3]enemy_base_stats!$A:$F,2,FALSE) *INDIRECT("[EnemyMasterData.xlsm]enemies!Y"&amp;(L10+1))*  INDIRECT("[EnemyMasterData.xlsm]enemies!J"&amp;(L10+1))* INDIRECT("[EnemyMasterData.xlsm]enemies!O"&amp;(L10+1))* INDIRECT("[EnemyMasterData.xlsm]enemies!E"&amp;(L10+1))* INDIRECT("[EnemyMasterData.xlsm]enemies!S"&amp;(L10+1))* INDIRECT("[EnemyMasterData.xlsm]enemies!AD"&amp;(L10+1))*[4]ステータス!$B$2,0)*S10</f>
        <v>47880</v>
      </c>
      <c r="U10" s="25">
        <v>0.9</v>
      </c>
      <c r="V10" s="99">
        <f ca="1">ROUND(VLOOKUP(R10,[3]enemy_base_stats!$A:$F,3,FALSE) *INDIRECT("[EnemyMasterData.xlsm]enemies!Z"&amp;(L10+1))*  INDIRECT("[EnemyMasterData.xlsm]enemies!K"&amp;(L10+1))* INDIRECT("[EnemyMasterData.xlsm]enemies!P"&amp;(L10+1))* INDIRECT("[EnemyMasterData.xlsm]enemies!F"&amp;(L10+1))* INDIRECT("[EnemyMasterData.xlsm]enemies!T"&amp;(L10+1))* INDIRECT("[EnemyMasterData.xlsm]enemies!AE"&amp;(L10+1))*[4]ステータス!$C$2,0)*U10</f>
        <v>2745</v>
      </c>
      <c r="W10" s="5">
        <v>0</v>
      </c>
      <c r="X10" s="4" t="e">
        <f ca="1">VLOOKUP($Y10,OFFSET([5]enemy_skill_sets!$B$1,0,0,COUNTA([5]enemy_skill_sets!$B:$B),MATCH(M$1,[5]enemy_skill_sets!$1:$1,0)-MATCH($Y$1,[5]enemy_skill_sets!$1:$1,0)+2),MATCH(M$1,[5]enemy_skill_sets!$1:$1,0)-MATCH($Y$1,[5]enemy_skill_sets!$1:$1,0)+2,FALSE)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0" s="4">
        <v>40034004</v>
      </c>
      <c r="Z10" s="6">
        <v>1</v>
      </c>
      <c r="AA10" s="6">
        <v>100</v>
      </c>
      <c r="AB10" s="6">
        <v>0</v>
      </c>
      <c r="AC10" s="17">
        <f ca="1">VLOOKUP($L10,OFFSET([3]enemies!$A$1,0,0,COUNTA([3]enemies!$A:$A),MATCH(AC$1,[3]enemies!$1:$1,0)-MATCH($L$1,[3]enemies!$1:$1,0)+1),MATCH(AC$1,[3]enemies!$1:$1,0)-MATCH($L$1,[3]enemies!$1:$1,0)+1,FALSE)</f>
        <v>2</v>
      </c>
      <c r="AD10" s="24">
        <f t="shared" si="3"/>
        <v>30</v>
      </c>
      <c r="AE10" s="4" t="str">
        <f ca="1">VLOOKUP($AD10,OFFSET([4]characters!$A$1,0,0,COUNTA([4]characters!$A:$A),MATCH(AE$1,[4]characters!$1:$1,0)-MATCH("character_id",[4]characters!$1:$1,0)+1),MATCH(AE$1,[4]characters!$1:$1,0)-MATCH("character_id",[4]characters!$1:$1,0)+1,FALSE)</f>
        <v>護衛機人 スケアクロウ</v>
      </c>
      <c r="AF10" s="4">
        <f ca="1">VLOOKUP($AD10,OFFSET([4]characters!$A$1,0,0,COUNTA([4]characters!$A:$A),MATCH(AF$1,[4]characters!$1:$1,0)-MATCH("character_id",[4]characters!$1:$1,0)+1),MATCH(AF$1,[4]characters!$1:$1,0)-MATCH("character_id",[4]characters!$1:$1,0)+1,FALSE)</f>
        <v>2</v>
      </c>
      <c r="AG10" s="4" t="str">
        <f ca="1">VLOOKUP($AD10,OFFSET([4]characters!$A$1,0,0,COUNTA([4]characters!$A:$A),MATCH(AG$1,[4]characters!$1:$1,0)-MATCH("character_id",[4]characters!$1:$1,0)+1),MATCH(AG$1,[4]characters!$1:$1,0)-MATCH("character_id",[4]characters!$1:$1,0)+1,FALSE)</f>
        <v>Drop1N</v>
      </c>
      <c r="AH10" s="7">
        <v>1</v>
      </c>
      <c r="AI10" s="24">
        <f t="shared" ca="1" si="4"/>
        <v>2</v>
      </c>
      <c r="AJ10" s="8">
        <v>0</v>
      </c>
      <c r="AK10" s="7">
        <v>0</v>
      </c>
      <c r="AL10" s="7">
        <v>0</v>
      </c>
      <c r="AM10" s="7">
        <v>0</v>
      </c>
      <c r="AN10" s="7">
        <v>0</v>
      </c>
      <c r="AO10" s="7">
        <v>1</v>
      </c>
      <c r="AP10" s="65">
        <v>1</v>
      </c>
    </row>
    <row r="11" spans="1:42" ht="21" customHeight="1" x14ac:dyDescent="0.15">
      <c r="A11" s="16" t="str">
        <f t="shared" si="0"/>
        <v>40034_2-4/1147&lt;lv65&gt;s2</v>
      </c>
      <c r="B11" s="22">
        <v>40034</v>
      </c>
      <c r="C11" s="21">
        <v>2</v>
      </c>
      <c r="D11" s="2" t="str">
        <f t="shared" si="1"/>
        <v>40034_2</v>
      </c>
      <c r="E11" s="4" t="str">
        <f ca="1">VLOOKUP($B11,OFFSET([2]quests!$A$1,0,0,COUNTA([2]quests!$A:$A),MATCH(E$1,[2]quests!$1:$1,0)-MATCH($B$1,[2]quests!$1:$1,0)+1),MATCH(E$1,[2]quests!$1:$1,0)-MATCH($B$1,[2]quests!$1:$1,0)+1,FALSE)</f>
        <v>カーリー襲来！</v>
      </c>
      <c r="F11" s="4" t="str">
        <f ca="1">VLOOKUP($D11,OFFSET([2]stages!$A$1,0,0,COUNTA([2]stages!$A:$A),MATCH(F$1,[2]stages!$2:$2,0)-MATCH($D$1,[2]stages!$2:$2,0)+1),MATCH(F$1,[2]stages!$2:$2,0)-MATCH($D$1,[2]stages!$2:$2,0)+1,FALSE)</f>
        <v>【ウィザード級】カーリー襲来</v>
      </c>
      <c r="G11" s="21">
        <v>4</v>
      </c>
      <c r="H11" s="15" t="str">
        <f t="shared" si="2"/>
        <v>40034_2-4</v>
      </c>
      <c r="I11" s="4">
        <f ca="1">VLOOKUP($H11,OFFSET(floors!$A$1,0,0,COUNTA(floors!$A:$A),MATCH(I$1,floors!$1:$1,0)-MATCH($H$1,floors!$1:$1,0)+1),MATCH(I$1,floors!$1:$1,0)-MATCH($H$1,floors!$1:$1,0)+1,FALSE)</f>
        <v>60</v>
      </c>
      <c r="J11" s="4">
        <f ca="1">VLOOKUP($H11,OFFSET(floors!$A$1,0,0,COUNTA(floors!$A:$A),MATCH(J$1,floors!$1:$1,0)-MATCH($H$1,floors!$1:$1,0)+1),MATCH(J$1,floors!$1:$1,0)-MATCH($H$1,floors!$1:$1,0)+1,FALSE)</f>
        <v>60</v>
      </c>
      <c r="K11" s="38">
        <v>6</v>
      </c>
      <c r="L11" s="20">
        <v>1147</v>
      </c>
      <c r="M11" s="17" t="str">
        <f ca="1">VLOOKUP($L11,OFFSET([3]enemies!$A$1,0,0,COUNTA([3]enemies!$A:$A),MATCH(M$1,[3]enemies!$1:$1,0)-MATCH($L$1,[3]enemies!$1:$1,0)+1),MATCH(M$1,[3]enemies!$1:$1,0)-MATCH($L$1,[3]enemies!$1:$1,0)+1,FALSE)</f>
        <v>カーリー</v>
      </c>
      <c r="N11" s="17" t="str">
        <f ca="1">VLOOKUP($L11,OFFSET([3]enemies!$A$1,0,0,COUNTA([3]enemies!$A:$A),MATCH(N$1,[3]enemies!$1:$1,0)-MATCH($L$1,[3]enemies!$1:$1,0)+1),MATCH(N$1,[3]enemies!$1:$1,0)-MATCH($L$1,[3]enemies!$1:$1,0)+1,FALSE)</f>
        <v>red</v>
      </c>
      <c r="O11" s="17" t="str">
        <f ca="1">VLOOKUP($L11,OFFSET([4]characters!$A$1,0,0,COUNTA([4]characters!$A:$A),MATCH(O$1,[4]characters!$1:$1,0)-MATCH($L$1,[4]characters!$1:$1,0)+1),MATCH(O$1,[4]characters!$1:$1,0)-MATCH($L$1,[4]characters!$1:$1,0)+1,FALSE)</f>
        <v>DropWizS</v>
      </c>
      <c r="P11" s="17" t="str">
        <f ca="1">VLOOKUP($L11,OFFSET([3]enemies!$A$1,0,0,COUNTA([3]enemies!$A:$A),MATCH(P$1,[3]enemies!$1:$1,0)-MATCH($L$1,[3]enemies!$1:$1,0)+1),MATCH(P$1,[3]enemies!$1:$1,0)-MATCH($L$1,[3]enemies!$1:$1,0)+1,FALSE)</f>
        <v>god</v>
      </c>
      <c r="Q11" s="17">
        <f ca="1">VLOOKUP($L11,OFFSET([3]enemies!$A$1,0,0,COUNTA([3]enemies!$A:$A),MATCH(Q$1,[3]enemies!$1:$1,0)-MATCH($L$1,[3]enemies!$1:$1,0)+1),MATCH(Q$1,[3]enemies!$1:$1,0)-MATCH($L$1,[3]enemies!$1:$1,0)+1,FALSE)</f>
        <v>60</v>
      </c>
      <c r="R11" s="5">
        <v>65</v>
      </c>
      <c r="S11" s="25">
        <v>4.5</v>
      </c>
      <c r="T11" s="99">
        <f ca="1">ROUND(VLOOKUP(R11,[3]enemy_base_stats!$A:$F,2,FALSE) *INDIRECT("[EnemyMasterData.xlsm]enemies!Y"&amp;(L11+1))*  INDIRECT("[EnemyMasterData.xlsm]enemies!J"&amp;(L11+1))* INDIRECT("[EnemyMasterData.xlsm]enemies!O"&amp;(L11+1))* INDIRECT("[EnemyMasterData.xlsm]enemies!E"&amp;(L11+1))* INDIRECT("[EnemyMasterData.xlsm]enemies!S"&amp;(L11+1))* INDIRECT("[EnemyMasterData.xlsm]enemies!AD"&amp;(L11+1))*[4]ステータス!$B$2,0)*S11</f>
        <v>439537.5</v>
      </c>
      <c r="U11" s="25">
        <v>1</v>
      </c>
      <c r="V11" s="99">
        <f ca="1">ROUND(VLOOKUP(R11,[3]enemy_base_stats!$A:$F,3,FALSE) *INDIRECT("[EnemyMasterData.xlsm]enemies!Z"&amp;(L11+1))*  INDIRECT("[EnemyMasterData.xlsm]enemies!K"&amp;(L11+1))* INDIRECT("[EnemyMasterData.xlsm]enemies!P"&amp;(L11+1))* INDIRECT("[EnemyMasterData.xlsm]enemies!F"&amp;(L11+1))* INDIRECT("[EnemyMasterData.xlsm]enemies!T"&amp;(L11+1))* INDIRECT("[EnemyMasterData.xlsm]enemies!AE"&amp;(L11+1))*[4]ステータス!$C$2,0)*U11</f>
        <v>6800</v>
      </c>
      <c r="W11" s="5">
        <v>0</v>
      </c>
      <c r="X11" s="4" t="e">
        <f ca="1">VLOOKUP($Y11,OFFSET([5]enemy_skill_sets!$B$1,0,0,COUNTA([5]enemy_skill_sets!$B:$B),MATCH(M$1,[5]enemy_skill_sets!$1:$1,0)-MATCH($Y$1,[5]enemy_skill_sets!$1:$1,0)+2),MATCH(M$1,[5]enemy_skill_sets!$1:$1,0)-MATCH($Y$1,[5]enemy_skill_sets!$1:$1,0)+2,FALSE)</f>
        <v>#N/A</v>
      </c>
      <c r="Y11" s="4">
        <v>40034007</v>
      </c>
      <c r="Z11" s="6">
        <v>1</v>
      </c>
      <c r="AA11" s="6">
        <v>100</v>
      </c>
      <c r="AB11" s="6">
        <v>1</v>
      </c>
      <c r="AC11" s="17">
        <v>2</v>
      </c>
      <c r="AD11" s="24">
        <f t="shared" si="3"/>
        <v>1147</v>
      </c>
      <c r="AE11" s="4" t="str">
        <f ca="1">VLOOKUP($AD11,OFFSET([4]characters!$A$1,0,0,COUNTA([4]characters!$A:$A),MATCH(AE$1,[4]characters!$1:$1,0)-MATCH("character_id",[4]characters!$1:$1,0)+1),MATCH(AE$1,[4]characters!$1:$1,0)-MATCH("character_id",[4]characters!$1:$1,0)+1,FALSE)</f>
        <v>カーリー</v>
      </c>
      <c r="AF11" s="4">
        <f ca="1">VLOOKUP($AD11,OFFSET([4]characters!$A$1,0,0,COUNTA([4]characters!$A:$A),MATCH(AF$1,[4]characters!$1:$1,0)-MATCH("character_id",[4]characters!$1:$1,0)+1),MATCH(AF$1,[4]characters!$1:$1,0)-MATCH("character_id",[4]characters!$1:$1,0)+1,FALSE)</f>
        <v>5</v>
      </c>
      <c r="AG11" s="4" t="str">
        <f ca="1">VLOOKUP($AD11,OFFSET([4]characters!$A$1,0,0,COUNTA([4]characters!$A:$A),MATCH(AG$1,[4]characters!$1:$1,0)-MATCH("character_id",[4]characters!$1:$1,0)+1),MATCH(AG$1,[4]characters!$1:$1,0)-MATCH("character_id",[4]characters!$1:$1,0)+1,FALSE)</f>
        <v>DropWizS</v>
      </c>
      <c r="AH11" s="7">
        <v>1</v>
      </c>
      <c r="AI11" s="24">
        <f t="shared" ca="1" si="4"/>
        <v>5</v>
      </c>
      <c r="AJ11" s="8">
        <v>30</v>
      </c>
      <c r="AK11" s="7">
        <v>0</v>
      </c>
      <c r="AL11" s="7">
        <v>0</v>
      </c>
      <c r="AM11" s="7">
        <v>0</v>
      </c>
      <c r="AN11" s="7">
        <v>0</v>
      </c>
      <c r="AO11" s="7">
        <v>1</v>
      </c>
      <c r="AP11" s="65">
        <v>1</v>
      </c>
    </row>
  </sheetData>
  <sheetProtection selectLockedCells="1" selectUnlockedCells="1"/>
  <autoFilter ref="B1:AJ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enableFormatConditionsCalculation="0">
    <tabColor rgb="FF0000FF"/>
    <outlinePr summaryBelow="0" summaryRight="0"/>
  </sheetPr>
  <dimension ref="A1:AA9"/>
  <sheetViews>
    <sheetView showGridLines="0" zoomScale="75" zoomScaleNormal="75" zoomScalePageLayoutView="75" workbookViewId="0">
      <pane xSplit="18" ySplit="1" topLeftCell="S2" activePane="bottomRight" state="frozen"/>
      <selection activeCell="E25" sqref="E25"/>
      <selection pane="topRight" activeCell="E25" sqref="E25"/>
      <selection pane="bottomLeft" activeCell="E25" sqref="E25"/>
      <selection pane="bottomRight" activeCell="S6" sqref="S6"/>
    </sheetView>
  </sheetViews>
  <sheetFormatPr baseColWidth="12" defaultColWidth="13" defaultRowHeight="21" customHeight="1" outlineLevelCol="1" x14ac:dyDescent="0.15"/>
  <cols>
    <col min="1" max="1" width="17" style="19" bestFit="1" customWidth="1"/>
    <col min="2" max="2" width="10.83203125" style="3" bestFit="1" customWidth="1"/>
    <col min="3" max="3" width="10.6640625" style="3" bestFit="1" customWidth="1" collapsed="1"/>
    <col min="4" max="4" width="13" style="14" hidden="1" customWidth="1" outlineLevel="1"/>
    <col min="5" max="5" width="11.6640625" style="3" hidden="1" customWidth="1" outlineLevel="1"/>
    <col min="6" max="6" width="16.1640625" style="3" hidden="1" customWidth="1" outlineLevel="1"/>
    <col min="7" max="7" width="10" style="3" bestFit="1" customWidth="1" collapsed="1"/>
    <col min="8" max="10" width="12.33203125" style="3" hidden="1" customWidth="1" outlineLevel="1"/>
    <col min="11" max="11" width="12.33203125" style="3" customWidth="1"/>
    <col min="12" max="12" width="11" style="3" bestFit="1" customWidth="1"/>
    <col min="13" max="13" width="13.5" style="9" bestFit="1" customWidth="1"/>
    <col min="14" max="14" width="20.6640625" style="3" customWidth="1" outlineLevel="1"/>
    <col min="15" max="15" width="8.6640625" style="3" customWidth="1" outlineLevel="1"/>
    <col min="16" max="16" width="12" style="3" customWidth="1" outlineLevel="1"/>
    <col min="17" max="17" width="21" style="3" customWidth="1" outlineLevel="1"/>
    <col min="18" max="18" width="8" style="3" customWidth="1" outlineLevel="1"/>
    <col min="19" max="19" width="8.33203125" style="3" bestFit="1" customWidth="1"/>
    <col min="20" max="20" width="14.83203125" style="3" bestFit="1" customWidth="1"/>
    <col min="21" max="21" width="14.83203125" style="3" customWidth="1"/>
    <col min="22" max="22" width="17.5" style="3" bestFit="1" customWidth="1"/>
    <col min="23" max="23" width="17.5" style="3" customWidth="1"/>
    <col min="24" max="24" width="18.33203125" style="3" bestFit="1" customWidth="1"/>
    <col min="25" max="25" width="16.6640625" style="3" customWidth="1"/>
    <col min="26" max="26" width="10" style="3" bestFit="1" customWidth="1" outlineLevel="1"/>
    <col min="27" max="27" width="9.33203125" style="3" bestFit="1" customWidth="1"/>
    <col min="28" max="16384" width="13" style="3"/>
  </cols>
  <sheetData>
    <row r="1" spans="1:27" s="35" customFormat="1" ht="21" customHeight="1" x14ac:dyDescent="0.15">
      <c r="A1" s="27" t="s">
        <v>29</v>
      </c>
      <c r="B1" s="28" t="s">
        <v>0</v>
      </c>
      <c r="C1" s="28" t="s">
        <v>1</v>
      </c>
      <c r="D1" s="29" t="s">
        <v>28</v>
      </c>
      <c r="E1" s="30" t="s">
        <v>16</v>
      </c>
      <c r="F1" s="30" t="s">
        <v>16</v>
      </c>
      <c r="G1" s="28" t="s">
        <v>19</v>
      </c>
      <c r="H1" s="29" t="s">
        <v>30</v>
      </c>
      <c r="I1" s="29" t="s">
        <v>14</v>
      </c>
      <c r="J1" s="29" t="s">
        <v>15</v>
      </c>
      <c r="K1" s="36" t="s">
        <v>54</v>
      </c>
      <c r="L1" s="36" t="s">
        <v>55</v>
      </c>
      <c r="M1" s="37" t="s">
        <v>2</v>
      </c>
      <c r="N1" s="31" t="s">
        <v>16</v>
      </c>
      <c r="O1" s="29" t="s">
        <v>24</v>
      </c>
      <c r="P1" s="29" t="s">
        <v>23</v>
      </c>
      <c r="Q1" s="32" t="s">
        <v>26</v>
      </c>
      <c r="R1" s="30" t="s">
        <v>25</v>
      </c>
      <c r="S1" s="28" t="s">
        <v>3</v>
      </c>
      <c r="T1" s="26" t="s">
        <v>48</v>
      </c>
      <c r="U1" s="98" t="s">
        <v>252</v>
      </c>
      <c r="V1" s="26" t="s">
        <v>50</v>
      </c>
      <c r="W1" s="98" t="s">
        <v>253</v>
      </c>
      <c r="X1" s="26" t="s">
        <v>52</v>
      </c>
      <c r="Y1" s="28" t="s">
        <v>130</v>
      </c>
      <c r="Z1" s="29" t="s">
        <v>129</v>
      </c>
      <c r="AA1" s="28" t="s">
        <v>8</v>
      </c>
    </row>
    <row r="2" spans="1:27" ht="21" customHeight="1" x14ac:dyDescent="0.15">
      <c r="A2" s="16" t="str">
        <f>B2&amp;"_"&amp;C2&amp;"-"&amp;G2&amp;"/"&amp;M2&amp;"&lt;lv"&amp;S2&amp;"&gt;sq"&amp;K2&amp;"st"&amp;L2</f>
        <v>40034_1-1/1145&lt;lv55&gt;sq1st2</v>
      </c>
      <c r="B2" s="22">
        <v>40034</v>
      </c>
      <c r="C2" s="21">
        <v>1</v>
      </c>
      <c r="D2" s="2" t="str">
        <f>B2&amp;"_"&amp;C2</f>
        <v>40034_1</v>
      </c>
      <c r="E2" s="4" t="str">
        <f ca="1">VLOOKUP($B2,OFFSET([2]quests!$A$1,0,0,COUNTA([2]quests!$A:$A),MATCH(E$1,[2]quests!$1:$1,0)-MATCH($B$1,[2]quests!$1:$1,0)+1),MATCH(E$1,[2]quests!$1:$1,0)-MATCH($B$1,[2]quests!$1:$1,0)+1,FALSE)</f>
        <v>カーリー襲来！</v>
      </c>
      <c r="F2" s="4" t="str">
        <f ca="1">VLOOKUP($D2,OFFSET([2]stages!$A$1,0,0,COUNTA([2]stages!$A:$A),MATCH(F$1,[2]stages!$2:$2,0)-MATCH($D$1,[2]stages!$2:$2,0)+1),MATCH(F$1,[2]stages!$2:$2,0)-MATCH($D$1,[2]stages!$2:$2,0)+1,FALSE)</f>
        <v>【超絶級】カーリー襲来</v>
      </c>
      <c r="G2" s="21">
        <v>1</v>
      </c>
      <c r="H2" s="15" t="str">
        <f>B2&amp;"_"&amp;C2&amp;"-"&amp;G2</f>
        <v>40034_1-1</v>
      </c>
      <c r="I2" s="4">
        <f ca="1">VLOOKUP($H2,OFFSET(floors!$A$1,0,0,COUNTA(floors!$A:$A),MATCH(I$1,floors!$1:$1,0)-MATCH($H$1,floors!$1:$1,0)+1),MATCH(I$1,floors!$1:$1,0)-MATCH($H$1,floors!$1:$1,0)+1,FALSE)</f>
        <v>60</v>
      </c>
      <c r="J2" s="4">
        <f ca="1">VLOOKUP($H2,OFFSET(floors!$A$1,0,0,COUNTA(floors!$A:$A),MATCH(J$1,floors!$1:$1,0)-MATCH($H$1,floors!$1:$1,0)+1),MATCH(J$1,floors!$1:$1,0)-MATCH($H$1,floors!$1:$1,0)+1,FALSE)</f>
        <v>60</v>
      </c>
      <c r="K2" s="38">
        <v>1</v>
      </c>
      <c r="L2" s="38">
        <v>2</v>
      </c>
      <c r="M2" s="20">
        <v>1145</v>
      </c>
      <c r="N2" s="17" t="str">
        <f ca="1">VLOOKUP($M2,OFFSET([3]enemies!$A$1,0,0,COUNTA([3]enemies!$A:$A),MATCH(N$1,[3]enemies!$1:$1,0)-MATCH($M$1,[3]enemies!$1:$1,0)+1),MATCH(N$1,[3]enemies!$1:$1,0)-MATCH($M$1,[3]enemies!$1:$1,0)+1,FALSE)</f>
        <v>ヴリトラ</v>
      </c>
      <c r="O2" s="17" t="str">
        <f ca="1">VLOOKUP($M2,OFFSET([3]enemies!$A$1,0,0,COUNTA([3]enemies!$A:$A),MATCH(O$1,[3]enemies!$1:$1,0)-MATCH($M$1,[3]enemies!$1:$1,0)+1),MATCH(O$1,[3]enemies!$1:$1,0)-MATCH($M$1,[3]enemies!$1:$1,0)+1,FALSE)</f>
        <v>yellow</v>
      </c>
      <c r="P2" s="17" t="str">
        <f ca="1">VLOOKUP($M2,OFFSET([4]characters!$A$1,0,0,COUNTA([4]characters!$A:$A),MATCH(P$1,[4]characters!$1:$1,0)-MATCH($M$1,[4]characters!$1:$1,0)+1),MATCH(P$1,[4]characters!$1:$1,0)-MATCH($M$1,[4]characters!$1:$1,0)+1,FALSE)</f>
        <v>Drop2N</v>
      </c>
      <c r="Q2" s="17" t="str">
        <f ca="1">VLOOKUP($M2,OFFSET([3]enemies!$A$1,0,0,COUNTA([3]enemies!$A:$A),MATCH(Q$1,[3]enemies!$1:$1,0)-MATCH($M$1,[3]enemies!$1:$1,0)+1),MATCH(Q$1,[3]enemies!$1:$1,0)-MATCH($M$1,[3]enemies!$1:$1,0)+1,FALSE)</f>
        <v>dragon</v>
      </c>
      <c r="R2" s="17">
        <f ca="1">VLOOKUP($M2,OFFSET([3]enemies!$A$1,0,0,COUNTA([3]enemies!$A:$A),MATCH(R$1,[3]enemies!$1:$1,0)-MATCH($M$1,[3]enemies!$1:$1,0)+1),MATCH(R$1,[3]enemies!$1:$1,0)-MATCH($M$1,[3]enemies!$1:$1,0)+1,FALSE)</f>
        <v>30</v>
      </c>
      <c r="S2" s="5">
        <v>55</v>
      </c>
      <c r="T2" s="25">
        <v>2.4</v>
      </c>
      <c r="U2" s="99">
        <f ca="1">ROUND(VLOOKUP(S2,[3]enemy_base_stats!$A:$F,2,FALSE) *INDIRECT("[EnemyMasterData.xlsm]enemies!Y"&amp;(M2+1))*  INDIRECT("[EnemyMasterData.xlsm]enemies!J"&amp;(M2+1))* INDIRECT("[EnemyMasterData.xlsm]enemies!O"&amp;(M2+1))* INDIRECT("[EnemyMasterData.xlsm]enemies!E"&amp;(M2+1))* INDIRECT("[EnemyMasterData.xlsm]enemies!S"&amp;(M2+1))* INDIRECT("[EnemyMasterData.xlsm]enemies!AD"&amp;(M2+1))*[4]ステータス!$B$2,0)*T2</f>
        <v>288067.20000000001</v>
      </c>
      <c r="V2" s="25">
        <v>0.85</v>
      </c>
      <c r="W2" s="99">
        <f ca="1">ROUND(VLOOKUP(S2,[3]enemy_base_stats!$A:$F,3,FALSE) *INDIRECT("[EnemyMasterData.xlsm]enemies!Z"&amp;(M2+1))*  INDIRECT("[EnemyMasterData.xlsm]enemies!K"&amp;(M2+1))* INDIRECT("[EnemyMasterData.xlsm]enemies!P"&amp;(M2+1))* INDIRECT("[EnemyMasterData.xlsm]enemies!F"&amp;(M2+1))* INDIRECT("[EnemyMasterData.xlsm]enemies!T"&amp;(M2+1))* INDIRECT("[EnemyMasterData.xlsm]enemies!AE"&amp;(M2+1))*[4]ステータス!$C$2,0)*V2</f>
        <v>4598.5</v>
      </c>
      <c r="X2" s="5">
        <v>0</v>
      </c>
      <c r="Y2" s="4" t="e">
        <f ca="1">VLOOKUP($Z2,OFFSET([5]enemy_skill_sets!$B$1,0,0,COUNTA([5]enemy_skill_sets!$B:$B),MATCH(N$1,[5]enemy_skill_sets!$1:$1,0)-MATCH($Z$1,[5]enemy_skill_sets!$1:$1,0)+2),MATCH(N$1,[5]enemy_skill_sets!$1:$1,0)-MATCH($Z$1,[5]enemy_skill_sets!$1:$1,0)+2,FALSE)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2" s="4">
        <v>40034002</v>
      </c>
      <c r="AA2" s="66">
        <v>2</v>
      </c>
    </row>
    <row r="3" spans="1:27" ht="21" customHeight="1" x14ac:dyDescent="0.15">
      <c r="A3" s="16" t="str">
        <f t="shared" ref="A3:A9" si="0">B3&amp;"_"&amp;C3&amp;"-"&amp;G3&amp;"/"&amp;M3&amp;"&lt;lv"&amp;S3&amp;"&gt;sq"&amp;K3&amp;"st"&amp;L3</f>
        <v>40034_1-3/649&lt;lv55&gt;sq2st2</v>
      </c>
      <c r="B3" s="22">
        <v>40034</v>
      </c>
      <c r="C3" s="21">
        <v>1</v>
      </c>
      <c r="D3" s="2" t="str">
        <f t="shared" ref="D3:D9" si="1">B3&amp;"_"&amp;C3</f>
        <v>40034_1</v>
      </c>
      <c r="E3" s="4" t="str">
        <f ca="1">VLOOKUP($B3,OFFSET([2]quests!$A$1,0,0,COUNTA([2]quests!$A:$A),MATCH(E$1,[2]quests!$1:$1,0)-MATCH($B$1,[2]quests!$1:$1,0)+1),MATCH(E$1,[2]quests!$1:$1,0)-MATCH($B$1,[2]quests!$1:$1,0)+1,FALSE)</f>
        <v>カーリー襲来！</v>
      </c>
      <c r="F3" s="4" t="str">
        <f ca="1">VLOOKUP($D3,OFFSET([2]stages!$A$1,0,0,COUNTA([2]stages!$A:$A),MATCH(F$1,[2]stages!$2:$2,0)-MATCH($D$1,[2]stages!$2:$2,0)+1),MATCH(F$1,[2]stages!$2:$2,0)-MATCH($D$1,[2]stages!$2:$2,0)+1,FALSE)</f>
        <v>【超絶級】カーリー襲来</v>
      </c>
      <c r="G3" s="21">
        <v>3</v>
      </c>
      <c r="H3" s="15" t="str">
        <f t="shared" ref="H3:H9" si="2">B3&amp;"_"&amp;C3&amp;"-"&amp;G3</f>
        <v>40034_1-3</v>
      </c>
      <c r="I3" s="4">
        <f ca="1">VLOOKUP($H3,OFFSET(floors!$A$1,0,0,COUNTA(floors!$A:$A),MATCH(I$1,floors!$1:$1,0)-MATCH($H$1,floors!$1:$1,0)+1),MATCH(I$1,floors!$1:$1,0)-MATCH($H$1,floors!$1:$1,0)+1,FALSE)</f>
        <v>60</v>
      </c>
      <c r="J3" s="4">
        <f ca="1">VLOOKUP($H3,OFFSET(floors!$A$1,0,0,COUNTA(floors!$A:$A),MATCH(J$1,floors!$1:$1,0)-MATCH($H$1,floors!$1:$1,0)+1),MATCH(J$1,floors!$1:$1,0)-MATCH($H$1,floors!$1:$1,0)+1,FALSE)</f>
        <v>60</v>
      </c>
      <c r="K3" s="38">
        <v>2</v>
      </c>
      <c r="L3" s="38">
        <v>2</v>
      </c>
      <c r="M3" s="20">
        <v>649</v>
      </c>
      <c r="N3" s="17" t="str">
        <f ca="1">VLOOKUP($M3,OFFSET([3]enemies!$A$1,0,0,COUNTA([3]enemies!$A:$A),MATCH(N$1,[3]enemies!$1:$1,0)-MATCH($M$1,[3]enemies!$1:$1,0)+1),MATCH(N$1,[3]enemies!$1:$1,0)-MATCH($M$1,[3]enemies!$1:$1,0)+1,FALSE)</f>
        <v>寄咲く一輪華 パールヴァティ</v>
      </c>
      <c r="O3" s="17" t="str">
        <f ca="1">VLOOKUP($M3,OFFSET([3]enemies!$A$1,0,0,COUNTA([3]enemies!$A:$A),MATCH(O$1,[3]enemies!$1:$1,0)-MATCH($M$1,[3]enemies!$1:$1,0)+1),MATCH(O$1,[3]enemies!$1:$1,0)-MATCH($M$1,[3]enemies!$1:$1,0)+1,FALSE)</f>
        <v>blue</v>
      </c>
      <c r="P3" s="17" t="str">
        <f ca="1">VLOOKUP($M3,OFFSET([4]characters!$A$1,0,0,COUNTA([4]characters!$A:$A),MATCH(P$1,[4]characters!$1:$1,0)-MATCH($M$1,[4]characters!$1:$1,0)+1),MATCH(P$1,[4]characters!$1:$1,0)-MATCH($M$1,[4]characters!$1:$1,0)+1,FALSE)</f>
        <v>DropWizS</v>
      </c>
      <c r="Q3" s="17" t="str">
        <f ca="1">VLOOKUP($M3,OFFSET([3]enemies!$A$1,0,0,COUNTA([3]enemies!$A:$A),MATCH(Q$1,[3]enemies!$1:$1,0)-MATCH($M$1,[3]enemies!$1:$1,0)+1),MATCH(Q$1,[3]enemies!$1:$1,0)-MATCH($M$1,[3]enemies!$1:$1,0)+1,FALSE)</f>
        <v>god</v>
      </c>
      <c r="R3" s="17">
        <f ca="1">VLOOKUP($M3,OFFSET([3]enemies!$A$1,0,0,COUNTA([3]enemies!$A:$A),MATCH(R$1,[3]enemies!$1:$1,0)-MATCH($M$1,[3]enemies!$1:$1,0)+1),MATCH(R$1,[3]enemies!$1:$1,0)-MATCH($M$1,[3]enemies!$1:$1,0)+1,FALSE)</f>
        <v>60</v>
      </c>
      <c r="S3" s="5">
        <v>55</v>
      </c>
      <c r="T3" s="25">
        <v>2.7</v>
      </c>
      <c r="U3" s="99">
        <f ca="1">ROUND(VLOOKUP(S3,[3]enemy_base_stats!$A:$F,2,FALSE) *INDIRECT("[EnemyMasterData.xlsm]enemies!Y"&amp;(M3+1))*  INDIRECT("[EnemyMasterData.xlsm]enemies!J"&amp;(M3+1))* INDIRECT("[EnemyMasterData.xlsm]enemies!O"&amp;(M3+1))* INDIRECT("[EnemyMasterData.xlsm]enemies!E"&amp;(M3+1))* INDIRECT("[EnemyMasterData.xlsm]enemies!S"&amp;(M3+1))* INDIRECT("[EnemyMasterData.xlsm]enemies!AD"&amp;(M3+1))*[4]ステータス!$B$2,0)*T3</f>
        <v>248961.6</v>
      </c>
      <c r="V3" s="25">
        <v>1</v>
      </c>
      <c r="W3" s="99">
        <f ca="1">ROUND(VLOOKUP(S3,[3]enemy_base_stats!$A:$F,3,FALSE) *INDIRECT("[EnemyMasterData.xlsm]enemies!Z"&amp;(M3+1))*  INDIRECT("[EnemyMasterData.xlsm]enemies!K"&amp;(M3+1))* INDIRECT("[EnemyMasterData.xlsm]enemies!P"&amp;(M3+1))* INDIRECT("[EnemyMasterData.xlsm]enemies!F"&amp;(M3+1))* INDIRECT("[EnemyMasterData.xlsm]enemies!T"&amp;(M3+1))* INDIRECT("[EnemyMasterData.xlsm]enemies!AE"&amp;(M3+1))*[4]ステータス!$C$2,0)*V3</f>
        <v>8203</v>
      </c>
      <c r="X3" s="5">
        <v>0</v>
      </c>
      <c r="Y3" s="4" t="e">
        <f ca="1">VLOOKUP($Z3,OFFSET([5]enemy_skill_sets!$B$1,0,0,COUNTA([5]enemy_skill_sets!$B:$B),MATCH(N$1,[5]enemy_skill_sets!$1:$1,0)-MATCH($Z$1,[5]enemy_skill_sets!$1:$1,0)+2),MATCH(N$1,[5]enemy_skill_sets!$1:$1,0)-MATCH($Z$1,[5]enemy_skill_sets!$1:$1,0)+2,FALSE)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3" s="4">
        <v>40034005</v>
      </c>
      <c r="AA3" s="66">
        <v>2</v>
      </c>
    </row>
    <row r="4" spans="1:27" ht="21" customHeight="1" x14ac:dyDescent="0.15">
      <c r="A4" s="16" t="str">
        <f t="shared" si="0"/>
        <v>40034_1-3/1156&lt;lv55&gt;sq2st3</v>
      </c>
      <c r="B4" s="22">
        <v>40034</v>
      </c>
      <c r="C4" s="21">
        <v>1</v>
      </c>
      <c r="D4" s="2" t="str">
        <f t="shared" si="1"/>
        <v>40034_1</v>
      </c>
      <c r="E4" s="4" t="str">
        <f ca="1">VLOOKUP($B4,OFFSET([2]quests!$A$1,0,0,COUNTA([2]quests!$A:$A),MATCH(E$1,[2]quests!$1:$1,0)-MATCH($B$1,[2]quests!$1:$1,0)+1),MATCH(E$1,[2]quests!$1:$1,0)-MATCH($B$1,[2]quests!$1:$1,0)+1,FALSE)</f>
        <v>カーリー襲来！</v>
      </c>
      <c r="F4" s="4" t="str">
        <f ca="1">VLOOKUP($D4,OFFSET([2]stages!$A$1,0,0,COUNTA([2]stages!$A:$A),MATCH(F$1,[2]stages!$2:$2,0)-MATCH($D$1,[2]stages!$2:$2,0)+1),MATCH(F$1,[2]stages!$2:$2,0)-MATCH($D$1,[2]stages!$2:$2,0)+1,FALSE)</f>
        <v>【超絶級】カーリー襲来</v>
      </c>
      <c r="G4" s="21">
        <v>3</v>
      </c>
      <c r="H4" s="15" t="str">
        <f t="shared" si="2"/>
        <v>40034_1-3</v>
      </c>
      <c r="I4" s="4">
        <f ca="1">VLOOKUP($H4,OFFSET(floors!$A$1,0,0,COUNTA(floors!$A:$A),MATCH(I$1,floors!$1:$1,0)-MATCH($H$1,floors!$1:$1,0)+1),MATCH(I$1,floors!$1:$1,0)-MATCH($H$1,floors!$1:$1,0)+1,FALSE)</f>
        <v>60</v>
      </c>
      <c r="J4" s="4">
        <f ca="1">VLOOKUP($H4,OFFSET(floors!$A$1,0,0,COUNTA(floors!$A:$A),MATCH(J$1,floors!$1:$1,0)-MATCH($H$1,floors!$1:$1,0)+1),MATCH(J$1,floors!$1:$1,0)-MATCH($H$1,floors!$1:$1,0)+1,FALSE)</f>
        <v>60</v>
      </c>
      <c r="K4" s="38">
        <v>2</v>
      </c>
      <c r="L4" s="38">
        <v>3</v>
      </c>
      <c r="M4" s="20">
        <v>1156</v>
      </c>
      <c r="N4" s="17" t="str">
        <f ca="1">VLOOKUP($M4,OFFSET([3]enemies!$A$1,0,0,COUNTA([3]enemies!$A:$A),MATCH(N$1,[3]enemies!$1:$1,0)-MATCH($M$1,[3]enemies!$1:$1,0)+1),MATCH(N$1,[3]enemies!$1:$1,0)-MATCH($M$1,[3]enemies!$1:$1,0)+1,FALSE)</f>
        <v>麗逆の武操神 ドゥルガー</v>
      </c>
      <c r="O4" s="17" t="str">
        <f ca="1">VLOOKUP($M4,OFFSET([3]enemies!$A$1,0,0,COUNTA([3]enemies!$A:$A),MATCH(O$1,[3]enemies!$1:$1,0)-MATCH($M$1,[3]enemies!$1:$1,0)+1),MATCH(O$1,[3]enemies!$1:$1,0)-MATCH($M$1,[3]enemies!$1:$1,0)+1,FALSE)</f>
        <v>blue</v>
      </c>
      <c r="P4" s="17" t="str">
        <f ca="1">VLOOKUP($M4,OFFSET([4]characters!$A$1,0,0,COUNTA([4]characters!$A:$A),MATCH(P$1,[4]characters!$1:$1,0)-MATCH($M$1,[4]characters!$1:$1,0)+1),MATCH(P$1,[4]characters!$1:$1,0)-MATCH($M$1,[4]characters!$1:$1,0)+1,FALSE)</f>
        <v>PremiumSS</v>
      </c>
      <c r="Q4" s="17" t="str">
        <f ca="1">VLOOKUP($M4,OFFSET([3]enemies!$A$1,0,0,COUNTA([3]enemies!$A:$A),MATCH(Q$1,[3]enemies!$1:$1,0)-MATCH($M$1,[3]enemies!$1:$1,0)+1),MATCH(Q$1,[3]enemies!$1:$1,0)-MATCH($M$1,[3]enemies!$1:$1,0)+1,FALSE)</f>
        <v>god</v>
      </c>
      <c r="R4" s="17">
        <f ca="1">VLOOKUP($M4,OFFSET([3]enemies!$A$1,0,0,COUNTA([3]enemies!$A:$A),MATCH(R$1,[3]enemies!$1:$1,0)-MATCH($M$1,[3]enemies!$1:$1,0)+1),MATCH(R$1,[3]enemies!$1:$1,0)-MATCH($M$1,[3]enemies!$1:$1,0)+1,FALSE)</f>
        <v>60</v>
      </c>
      <c r="S4" s="5">
        <v>55</v>
      </c>
      <c r="T4" s="25">
        <v>4</v>
      </c>
      <c r="U4" s="99">
        <f ca="1">ROUND(VLOOKUP(S4,[3]enemy_base_stats!$A:$F,2,FALSE) *INDIRECT("[EnemyMasterData.xlsm]enemies!Y"&amp;(M4+1))*  INDIRECT("[EnemyMasterData.xlsm]enemies!J"&amp;(M4+1))* INDIRECT("[EnemyMasterData.xlsm]enemies!O"&amp;(M4+1))* INDIRECT("[EnemyMasterData.xlsm]enemies!E"&amp;(M4+1))* INDIRECT("[EnemyMasterData.xlsm]enemies!S"&amp;(M4+1))* INDIRECT("[EnemyMasterData.xlsm]enemies!AD"&amp;(M4+1))*[4]ステータス!$B$2,0)*T4</f>
        <v>368832</v>
      </c>
      <c r="V4" s="25">
        <v>1.2</v>
      </c>
      <c r="W4" s="99">
        <f ca="1">ROUND(VLOOKUP(S4,[3]enemy_base_stats!$A:$F,3,FALSE) *INDIRECT("[EnemyMasterData.xlsm]enemies!Z"&amp;(M4+1))*  INDIRECT("[EnemyMasterData.xlsm]enemies!K"&amp;(M4+1))* INDIRECT("[EnemyMasterData.xlsm]enemies!P"&amp;(M4+1))* INDIRECT("[EnemyMasterData.xlsm]enemies!F"&amp;(M4+1))* INDIRECT("[EnemyMasterData.xlsm]enemies!T"&amp;(M4+1))* INDIRECT("[EnemyMasterData.xlsm]enemies!AE"&amp;(M4+1))*[4]ステータス!$C$2,0)*V4</f>
        <v>7400.4</v>
      </c>
      <c r="X4" s="5">
        <v>0</v>
      </c>
      <c r="Y4" s="4" t="e">
        <f ca="1">VLOOKUP($Z4,OFFSET([5]enemy_skill_sets!$B$1,0,0,COUNTA([5]enemy_skill_sets!$B:$B),MATCH(N$1,[5]enemy_skill_sets!$1:$1,0)-MATCH($Z$1,[5]enemy_skill_sets!$1:$1,0)+2),MATCH(N$1,[5]enemy_skill_sets!$1:$1,0)-MATCH($Z$1,[5]enemy_skill_sets!$1:$1,0)+2,FALSE)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4" s="4">
        <v>40034006</v>
      </c>
      <c r="AA4" s="66">
        <v>2</v>
      </c>
    </row>
    <row r="5" spans="1:27" ht="21" customHeight="1" x14ac:dyDescent="0.15">
      <c r="A5" s="16" t="str">
        <f t="shared" si="0"/>
        <v>40034_1-4/1148&lt;lv55&gt;sq3st2</v>
      </c>
      <c r="B5" s="22">
        <v>40034</v>
      </c>
      <c r="C5" s="21">
        <v>1</v>
      </c>
      <c r="D5" s="2" t="str">
        <f t="shared" si="1"/>
        <v>40034_1</v>
      </c>
      <c r="E5" s="4" t="str">
        <f ca="1">VLOOKUP($B5,OFFSET([2]quests!$A$1,0,0,COUNTA([2]quests!$A:$A),MATCH(E$1,[2]quests!$1:$1,0)-MATCH($B$1,[2]quests!$1:$1,0)+1),MATCH(E$1,[2]quests!$1:$1,0)-MATCH($B$1,[2]quests!$1:$1,0)+1,FALSE)</f>
        <v>カーリー襲来！</v>
      </c>
      <c r="F5" s="4" t="str">
        <f ca="1">VLOOKUP($D5,OFFSET([2]stages!$A$1,0,0,COUNTA([2]stages!$A:$A),MATCH(F$1,[2]stages!$2:$2,0)-MATCH($D$1,[2]stages!$2:$2,0)+1),MATCH(F$1,[2]stages!$2:$2,0)-MATCH($D$1,[2]stages!$2:$2,0)+1,FALSE)</f>
        <v>【超絶級】カーリー襲来</v>
      </c>
      <c r="G5" s="21">
        <v>4</v>
      </c>
      <c r="H5" s="15" t="str">
        <f t="shared" si="2"/>
        <v>40034_1-4</v>
      </c>
      <c r="I5" s="4">
        <f ca="1">VLOOKUP($H5,OFFSET(floors!$A$1,0,0,COUNTA(floors!$A:$A),MATCH(I$1,floors!$1:$1,0)-MATCH($H$1,floors!$1:$1,0)+1),MATCH(I$1,floors!$1:$1,0)-MATCH($H$1,floors!$1:$1,0)+1,FALSE)</f>
        <v>60</v>
      </c>
      <c r="J5" s="4">
        <f ca="1">VLOOKUP($H5,OFFSET(floors!$A$1,0,0,COUNTA(floors!$A:$A),MATCH(J$1,floors!$1:$1,0)-MATCH($H$1,floors!$1:$1,0)+1),MATCH(J$1,floors!$1:$1,0)-MATCH($H$1,floors!$1:$1,0)+1,FALSE)</f>
        <v>60</v>
      </c>
      <c r="K5" s="38">
        <v>3</v>
      </c>
      <c r="L5" s="38">
        <v>2</v>
      </c>
      <c r="M5" s="20">
        <v>1148</v>
      </c>
      <c r="N5" s="17" t="str">
        <f ca="1">VLOOKUP($M5,OFFSET([3]enemies!$A$1,0,0,COUNTA([3]enemies!$A:$A),MATCH(N$1,[3]enemies!$1:$1,0)-MATCH($M$1,[3]enemies!$1:$1,0)+1),MATCH(N$1,[3]enemies!$1:$1,0)-MATCH($M$1,[3]enemies!$1:$1,0)+1,FALSE)</f>
        <v>嫉神の黎き滅意 カーリー</v>
      </c>
      <c r="O5" s="17" t="str">
        <f ca="1">VLOOKUP($M5,OFFSET([3]enemies!$A$1,0,0,COUNTA([3]enemies!$A:$A),MATCH(O$1,[3]enemies!$1:$1,0)-MATCH($M$1,[3]enemies!$1:$1,0)+1),MATCH(O$1,[3]enemies!$1:$1,0)-MATCH($M$1,[3]enemies!$1:$1,0)+1,FALSE)</f>
        <v>red</v>
      </c>
      <c r="P5" s="17" t="str">
        <f ca="1">VLOOKUP($M5,OFFSET([4]characters!$A$1,0,0,COUNTA([4]characters!$A:$A),MATCH(P$1,[4]characters!$1:$1,0)-MATCH($M$1,[4]characters!$1:$1,0)+1),MATCH(P$1,[4]characters!$1:$1,0)-MATCH($M$1,[4]characters!$1:$1,0)+1,FALSE)</f>
        <v>DropWizS</v>
      </c>
      <c r="Q5" s="17" t="str">
        <f ca="1">VLOOKUP($M5,OFFSET([3]enemies!$A$1,0,0,COUNTA([3]enemies!$A:$A),MATCH(Q$1,[3]enemies!$1:$1,0)-MATCH($M$1,[3]enemies!$1:$1,0)+1),MATCH(Q$1,[3]enemies!$1:$1,0)-MATCH($M$1,[3]enemies!$1:$1,0)+1,FALSE)</f>
        <v>god</v>
      </c>
      <c r="R5" s="17">
        <f ca="1">VLOOKUP($M5,OFFSET([3]enemies!$A$1,0,0,COUNTA([3]enemies!$A:$A),MATCH(R$1,[3]enemies!$1:$1,0)-MATCH($M$1,[3]enemies!$1:$1,0)+1),MATCH(R$1,[3]enemies!$1:$1,0)-MATCH($M$1,[3]enemies!$1:$1,0)+1,FALSE)</f>
        <v>60</v>
      </c>
      <c r="S5" s="5">
        <v>55</v>
      </c>
      <c r="T5" s="25">
        <v>6.3</v>
      </c>
      <c r="U5" s="99">
        <f ca="1">ROUND(VLOOKUP(S5,[3]enemy_base_stats!$A:$F,2,FALSE) *INDIRECT("[EnemyMasterData.xlsm]enemies!Y"&amp;(M5+1))*  INDIRECT("[EnemyMasterData.xlsm]enemies!J"&amp;(M5+1))* INDIRECT("[EnemyMasterData.xlsm]enemies!O"&amp;(M5+1))* INDIRECT("[EnemyMasterData.xlsm]enemies!E"&amp;(M5+1))* INDIRECT("[EnemyMasterData.xlsm]enemies!S"&amp;(M5+1))* INDIRECT("[EnemyMasterData.xlsm]enemies!AD"&amp;(M5+1))*[4]ステータス!$B$2,0)*T5</f>
        <v>522818.1</v>
      </c>
      <c r="V5" s="25">
        <v>1.1000000000000001</v>
      </c>
      <c r="W5" s="99">
        <f ca="1">ROUND(VLOOKUP(S5,[3]enemy_base_stats!$A:$F,3,FALSE) *INDIRECT("[EnemyMasterData.xlsm]enemies!Z"&amp;(M5+1))*  INDIRECT("[EnemyMasterData.xlsm]enemies!K"&amp;(M5+1))* INDIRECT("[EnemyMasterData.xlsm]enemies!P"&amp;(M5+1))* INDIRECT("[EnemyMasterData.xlsm]enemies!F"&amp;(M5+1))* INDIRECT("[EnemyMasterData.xlsm]enemies!T"&amp;(M5+1))* INDIRECT("[EnemyMasterData.xlsm]enemies!AE"&amp;(M5+1))*[4]ステータス!$C$2,0)*V5</f>
        <v>6354.7000000000007</v>
      </c>
      <c r="X5" s="5">
        <v>0</v>
      </c>
      <c r="Y5" s="4" t="e">
        <f ca="1">VLOOKUP($Z5,OFFSET([5]enemy_skill_sets!$B$1,0,0,COUNTA([5]enemy_skill_sets!$B:$B),MATCH(N$1,[5]enemy_skill_sets!$1:$1,0)-MATCH($Z$1,[5]enemy_skill_sets!$1:$1,0)+2),MATCH(N$1,[5]enemy_skill_sets!$1:$1,0)-MATCH($Z$1,[5]enemy_skill_sets!$1:$1,0)+2,FALSE)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5" s="4">
        <v>40034010</v>
      </c>
      <c r="AA5" s="66">
        <v>1</v>
      </c>
    </row>
    <row r="6" spans="1:27" ht="21" customHeight="1" x14ac:dyDescent="0.15">
      <c r="A6" s="16" t="str">
        <f t="shared" si="0"/>
        <v>40034_2-1/1145&lt;lv65&gt;sq4st2</v>
      </c>
      <c r="B6" s="22">
        <v>40034</v>
      </c>
      <c r="C6" s="21">
        <v>2</v>
      </c>
      <c r="D6" s="2" t="str">
        <f t="shared" si="1"/>
        <v>40034_2</v>
      </c>
      <c r="E6" s="4" t="str">
        <f ca="1">VLOOKUP($B6,OFFSET([2]quests!$A$1,0,0,COUNTA([2]quests!$A:$A),MATCH(E$1,[2]quests!$1:$1,0)-MATCH($B$1,[2]quests!$1:$1,0)+1),MATCH(E$1,[2]quests!$1:$1,0)-MATCH($B$1,[2]quests!$1:$1,0)+1,FALSE)</f>
        <v>カーリー襲来！</v>
      </c>
      <c r="F6" s="4" t="str">
        <f ca="1">VLOOKUP($D6,OFFSET([2]stages!$A$1,0,0,COUNTA([2]stages!$A:$A),MATCH(F$1,[2]stages!$2:$2,0)-MATCH($D$1,[2]stages!$2:$2,0)+1),MATCH(F$1,[2]stages!$2:$2,0)-MATCH($D$1,[2]stages!$2:$2,0)+1,FALSE)</f>
        <v>【ウィザード級】カーリー襲来</v>
      </c>
      <c r="G6" s="21">
        <v>1</v>
      </c>
      <c r="H6" s="15" t="str">
        <f t="shared" si="2"/>
        <v>40034_2-1</v>
      </c>
      <c r="I6" s="4">
        <f ca="1">VLOOKUP($H6,OFFSET(floors!$A$1,0,0,COUNTA(floors!$A:$A),MATCH(I$1,floors!$1:$1,0)-MATCH($H$1,floors!$1:$1,0)+1),MATCH(I$1,floors!$1:$1,0)-MATCH($H$1,floors!$1:$1,0)+1,FALSE)</f>
        <v>60</v>
      </c>
      <c r="J6" s="4">
        <f ca="1">VLOOKUP($H6,OFFSET(floors!$A$1,0,0,COUNTA(floors!$A:$A),MATCH(J$1,floors!$1:$1,0)-MATCH($H$1,floors!$1:$1,0)+1),MATCH(J$1,floors!$1:$1,0)-MATCH($H$1,floors!$1:$1,0)+1,FALSE)</f>
        <v>60</v>
      </c>
      <c r="K6" s="38">
        <v>4</v>
      </c>
      <c r="L6" s="38">
        <v>2</v>
      </c>
      <c r="M6" s="20">
        <v>1145</v>
      </c>
      <c r="N6" s="17" t="str">
        <f ca="1">VLOOKUP($M6,OFFSET([3]enemies!$A$1,0,0,COUNTA([3]enemies!$A:$A),MATCH(N$1,[3]enemies!$1:$1,0)-MATCH($M$1,[3]enemies!$1:$1,0)+1),MATCH(N$1,[3]enemies!$1:$1,0)-MATCH($M$1,[3]enemies!$1:$1,0)+1,FALSE)</f>
        <v>ヴリトラ</v>
      </c>
      <c r="O6" s="17" t="str">
        <f ca="1">VLOOKUP($M6,OFFSET([3]enemies!$A$1,0,0,COUNTA([3]enemies!$A:$A),MATCH(O$1,[3]enemies!$1:$1,0)-MATCH($M$1,[3]enemies!$1:$1,0)+1),MATCH(O$1,[3]enemies!$1:$1,0)-MATCH($M$1,[3]enemies!$1:$1,0)+1,FALSE)</f>
        <v>yellow</v>
      </c>
      <c r="P6" s="17" t="str">
        <f ca="1">VLOOKUP($M6,OFFSET([4]characters!$A$1,0,0,COUNTA([4]characters!$A:$A),MATCH(P$1,[4]characters!$1:$1,0)-MATCH($M$1,[4]characters!$1:$1,0)+1),MATCH(P$1,[4]characters!$1:$1,0)-MATCH($M$1,[4]characters!$1:$1,0)+1,FALSE)</f>
        <v>Drop2N</v>
      </c>
      <c r="Q6" s="17" t="str">
        <f ca="1">VLOOKUP($M6,OFFSET([3]enemies!$A$1,0,0,COUNTA([3]enemies!$A:$A),MATCH(Q$1,[3]enemies!$1:$1,0)-MATCH($M$1,[3]enemies!$1:$1,0)+1),MATCH(Q$1,[3]enemies!$1:$1,0)-MATCH($M$1,[3]enemies!$1:$1,0)+1,FALSE)</f>
        <v>dragon</v>
      </c>
      <c r="R6" s="17">
        <f ca="1">VLOOKUP($M6,OFFSET([3]enemies!$A$1,0,0,COUNTA([3]enemies!$A:$A),MATCH(R$1,[3]enemies!$1:$1,0)-MATCH($M$1,[3]enemies!$1:$1,0)+1),MATCH(R$1,[3]enemies!$1:$1,0)-MATCH($M$1,[3]enemies!$1:$1,0)+1,FALSE)</f>
        <v>30</v>
      </c>
      <c r="S6" s="5">
        <v>65</v>
      </c>
      <c r="T6" s="25">
        <v>2.4</v>
      </c>
      <c r="U6" s="99">
        <f ca="1">ROUND(VLOOKUP(S6,[3]enemy_base_stats!$A:$F,2,FALSE) *INDIRECT("[EnemyMasterData.xlsm]enemies!Y"&amp;(M6+1))*  INDIRECT("[EnemyMasterData.xlsm]enemies!J"&amp;(M6+1))* INDIRECT("[EnemyMasterData.xlsm]enemies!O"&amp;(M6+1))* INDIRECT("[EnemyMasterData.xlsm]enemies!E"&amp;(M6+1))* INDIRECT("[EnemyMasterData.xlsm]enemies!S"&amp;(M6+1))* INDIRECT("[EnemyMasterData.xlsm]enemies!AD"&amp;(M6+1))*[4]ステータス!$B$2,0)*T6</f>
        <v>339052.79999999999</v>
      </c>
      <c r="V6" s="25">
        <v>0.9</v>
      </c>
      <c r="W6" s="99">
        <f ca="1">ROUND(VLOOKUP(S6,[3]enemy_base_stats!$A:$F,3,FALSE) *INDIRECT("[EnemyMasterData.xlsm]enemies!Z"&amp;(M6+1))*  INDIRECT("[EnemyMasterData.xlsm]enemies!K"&amp;(M6+1))* INDIRECT("[EnemyMasterData.xlsm]enemies!P"&amp;(M6+1))* INDIRECT("[EnemyMasterData.xlsm]enemies!F"&amp;(M6+1))* INDIRECT("[EnemyMasterData.xlsm]enemies!T"&amp;(M6+1))* INDIRECT("[EnemyMasterData.xlsm]enemies!AE"&amp;(M6+1))*[4]ステータス!$C$2,0)*V6</f>
        <v>5731.2</v>
      </c>
      <c r="X6" s="5">
        <v>0</v>
      </c>
      <c r="Y6" s="4" t="e">
        <f ca="1">VLOOKUP($Z6,OFFSET([5]enemy_skill_sets!$B$1,0,0,COUNTA([5]enemy_skill_sets!$B:$B),MATCH(N$1,[5]enemy_skill_sets!$1:$1,0)-MATCH($Z$1,[5]enemy_skill_sets!$1:$1,0)+2),MATCH(N$1,[5]enemy_skill_sets!$1:$1,0)-MATCH($Z$1,[5]enemy_skill_sets!$1:$1,0)+2,FALSE)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6" s="4">
        <v>40034002</v>
      </c>
      <c r="AA6" s="66">
        <v>2</v>
      </c>
    </row>
    <row r="7" spans="1:27" ht="21" customHeight="1" x14ac:dyDescent="0.15">
      <c r="A7" s="16" t="str">
        <f t="shared" si="0"/>
        <v>40034_2-3/649&lt;lv65&gt;sq5st2</v>
      </c>
      <c r="B7" s="22">
        <v>40034</v>
      </c>
      <c r="C7" s="21">
        <v>2</v>
      </c>
      <c r="D7" s="2" t="str">
        <f t="shared" si="1"/>
        <v>40034_2</v>
      </c>
      <c r="E7" s="4" t="str">
        <f ca="1">VLOOKUP($B7,OFFSET([2]quests!$A$1,0,0,COUNTA([2]quests!$A:$A),MATCH(E$1,[2]quests!$1:$1,0)-MATCH($B$1,[2]quests!$1:$1,0)+1),MATCH(E$1,[2]quests!$1:$1,0)-MATCH($B$1,[2]quests!$1:$1,0)+1,FALSE)</f>
        <v>カーリー襲来！</v>
      </c>
      <c r="F7" s="4" t="str">
        <f ca="1">VLOOKUP($D7,OFFSET([2]stages!$A$1,0,0,COUNTA([2]stages!$A:$A),MATCH(F$1,[2]stages!$2:$2,0)-MATCH($D$1,[2]stages!$2:$2,0)+1),MATCH(F$1,[2]stages!$2:$2,0)-MATCH($D$1,[2]stages!$2:$2,0)+1,FALSE)</f>
        <v>【ウィザード級】カーリー襲来</v>
      </c>
      <c r="G7" s="21">
        <v>3</v>
      </c>
      <c r="H7" s="15" t="str">
        <f t="shared" si="2"/>
        <v>40034_2-3</v>
      </c>
      <c r="I7" s="4">
        <f ca="1">VLOOKUP($H7,OFFSET(floors!$A$1,0,0,COUNTA(floors!$A:$A),MATCH(I$1,floors!$1:$1,0)-MATCH($H$1,floors!$1:$1,0)+1),MATCH(I$1,floors!$1:$1,0)-MATCH($H$1,floors!$1:$1,0)+1,FALSE)</f>
        <v>60</v>
      </c>
      <c r="J7" s="4">
        <f ca="1">VLOOKUP($H7,OFFSET(floors!$A$1,0,0,COUNTA(floors!$A:$A),MATCH(J$1,floors!$1:$1,0)-MATCH($H$1,floors!$1:$1,0)+1),MATCH(J$1,floors!$1:$1,0)-MATCH($H$1,floors!$1:$1,0)+1,FALSE)</f>
        <v>60</v>
      </c>
      <c r="K7" s="38">
        <v>5</v>
      </c>
      <c r="L7" s="38">
        <v>2</v>
      </c>
      <c r="M7" s="20">
        <v>649</v>
      </c>
      <c r="N7" s="17" t="str">
        <f ca="1">VLOOKUP($M7,OFFSET([3]enemies!$A$1,0,0,COUNTA([3]enemies!$A:$A),MATCH(N$1,[3]enemies!$1:$1,0)-MATCH($M$1,[3]enemies!$1:$1,0)+1),MATCH(N$1,[3]enemies!$1:$1,0)-MATCH($M$1,[3]enemies!$1:$1,0)+1,FALSE)</f>
        <v>寄咲く一輪華 パールヴァティ</v>
      </c>
      <c r="O7" s="17" t="str">
        <f ca="1">VLOOKUP($M7,OFFSET([3]enemies!$A$1,0,0,COUNTA([3]enemies!$A:$A),MATCH(O$1,[3]enemies!$1:$1,0)-MATCH($M$1,[3]enemies!$1:$1,0)+1),MATCH(O$1,[3]enemies!$1:$1,0)-MATCH($M$1,[3]enemies!$1:$1,0)+1,FALSE)</f>
        <v>blue</v>
      </c>
      <c r="P7" s="17" t="str">
        <f ca="1">VLOOKUP($M7,OFFSET([4]characters!$A$1,0,0,COUNTA([4]characters!$A:$A),MATCH(P$1,[4]characters!$1:$1,0)-MATCH($M$1,[4]characters!$1:$1,0)+1),MATCH(P$1,[4]characters!$1:$1,0)-MATCH($M$1,[4]characters!$1:$1,0)+1,FALSE)</f>
        <v>DropWizS</v>
      </c>
      <c r="Q7" s="17" t="str">
        <f ca="1">VLOOKUP($M7,OFFSET([3]enemies!$A$1,0,0,COUNTA([3]enemies!$A:$A),MATCH(Q$1,[3]enemies!$1:$1,0)-MATCH($M$1,[3]enemies!$1:$1,0)+1),MATCH(Q$1,[3]enemies!$1:$1,0)-MATCH($M$1,[3]enemies!$1:$1,0)+1,FALSE)</f>
        <v>god</v>
      </c>
      <c r="R7" s="17">
        <f ca="1">VLOOKUP($M7,OFFSET([3]enemies!$A$1,0,0,COUNTA([3]enemies!$A:$A),MATCH(R$1,[3]enemies!$1:$1,0)-MATCH($M$1,[3]enemies!$1:$1,0)+1),MATCH(R$1,[3]enemies!$1:$1,0)-MATCH($M$1,[3]enemies!$1:$1,0)+1,FALSE)</f>
        <v>60</v>
      </c>
      <c r="S7" s="5">
        <v>65</v>
      </c>
      <c r="T7" s="25">
        <v>2.7</v>
      </c>
      <c r="U7" s="99">
        <f ca="1">ROUND(VLOOKUP(S7,[3]enemy_base_stats!$A:$F,2,FALSE) *INDIRECT("[EnemyMasterData.xlsm]enemies!Y"&amp;(M7+1))*  INDIRECT("[EnemyMasterData.xlsm]enemies!J"&amp;(M7+1))* INDIRECT("[EnemyMasterData.xlsm]enemies!O"&amp;(M7+1))* INDIRECT("[EnemyMasterData.xlsm]enemies!E"&amp;(M7+1))* INDIRECT("[EnemyMasterData.xlsm]enemies!S"&amp;(M7+1))* INDIRECT("[EnemyMasterData.xlsm]enemies!AD"&amp;(M7+1))*[4]ステータス!$B$2,0)*T7</f>
        <v>293025.60000000003</v>
      </c>
      <c r="V7" s="25">
        <v>1</v>
      </c>
      <c r="W7" s="99">
        <f ca="1">ROUND(VLOOKUP(S7,[3]enemy_base_stats!$A:$F,3,FALSE) *INDIRECT("[EnemyMasterData.xlsm]enemies!Z"&amp;(M7+1))*  INDIRECT("[EnemyMasterData.xlsm]enemies!K"&amp;(M7+1))* INDIRECT("[EnemyMasterData.xlsm]enemies!P"&amp;(M7+1))* INDIRECT("[EnemyMasterData.xlsm]enemies!F"&amp;(M7+1))* INDIRECT("[EnemyMasterData.xlsm]enemies!T"&amp;(M7+1))* INDIRECT("[EnemyMasterData.xlsm]enemies!AE"&amp;(M7+1))*[4]ステータス!$C$2,0)*V7</f>
        <v>9654</v>
      </c>
      <c r="X7" s="5">
        <v>0</v>
      </c>
      <c r="Y7" s="4" t="e">
        <f ca="1">VLOOKUP($Z7,OFFSET([5]enemy_skill_sets!$B$1,0,0,COUNTA([5]enemy_skill_sets!$B:$B),MATCH(N$1,[5]enemy_skill_sets!$1:$1,0)-MATCH($Z$1,[5]enemy_skill_sets!$1:$1,0)+2),MATCH(N$1,[5]enemy_skill_sets!$1:$1,0)-MATCH($Z$1,[5]enemy_skill_sets!$1:$1,0)+2,FALSE)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7" s="4">
        <v>40034005</v>
      </c>
      <c r="AA7" s="66">
        <v>2</v>
      </c>
    </row>
    <row r="8" spans="1:27" ht="21" customHeight="1" x14ac:dyDescent="0.15">
      <c r="A8" s="16" t="str">
        <f t="shared" si="0"/>
        <v>40034_2-3/1156&lt;lv65&gt;sq5st3</v>
      </c>
      <c r="B8" s="22">
        <v>40034</v>
      </c>
      <c r="C8" s="21">
        <v>2</v>
      </c>
      <c r="D8" s="2" t="str">
        <f t="shared" si="1"/>
        <v>40034_2</v>
      </c>
      <c r="E8" s="4" t="str">
        <f ca="1">VLOOKUP($B8,OFFSET([2]quests!$A$1,0,0,COUNTA([2]quests!$A:$A),MATCH(E$1,[2]quests!$1:$1,0)-MATCH($B$1,[2]quests!$1:$1,0)+1),MATCH(E$1,[2]quests!$1:$1,0)-MATCH($B$1,[2]quests!$1:$1,0)+1,FALSE)</f>
        <v>カーリー襲来！</v>
      </c>
      <c r="F8" s="4" t="str">
        <f ca="1">VLOOKUP($D8,OFFSET([2]stages!$A$1,0,0,COUNTA([2]stages!$A:$A),MATCH(F$1,[2]stages!$2:$2,0)-MATCH($D$1,[2]stages!$2:$2,0)+1),MATCH(F$1,[2]stages!$2:$2,0)-MATCH($D$1,[2]stages!$2:$2,0)+1,FALSE)</f>
        <v>【ウィザード級】カーリー襲来</v>
      </c>
      <c r="G8" s="21">
        <v>3</v>
      </c>
      <c r="H8" s="15" t="str">
        <f t="shared" si="2"/>
        <v>40034_2-3</v>
      </c>
      <c r="I8" s="4">
        <f ca="1">VLOOKUP($H8,OFFSET(floors!$A$1,0,0,COUNTA(floors!$A:$A),MATCH(I$1,floors!$1:$1,0)-MATCH($H$1,floors!$1:$1,0)+1),MATCH(I$1,floors!$1:$1,0)-MATCH($H$1,floors!$1:$1,0)+1,FALSE)</f>
        <v>60</v>
      </c>
      <c r="J8" s="4">
        <f ca="1">VLOOKUP($H8,OFFSET(floors!$A$1,0,0,COUNTA(floors!$A:$A),MATCH(J$1,floors!$1:$1,0)-MATCH($H$1,floors!$1:$1,0)+1),MATCH(J$1,floors!$1:$1,0)-MATCH($H$1,floors!$1:$1,0)+1,FALSE)</f>
        <v>60</v>
      </c>
      <c r="K8" s="38">
        <v>5</v>
      </c>
      <c r="L8" s="38">
        <v>3</v>
      </c>
      <c r="M8" s="20">
        <v>1156</v>
      </c>
      <c r="N8" s="17" t="str">
        <f ca="1">VLOOKUP($M8,OFFSET([3]enemies!$A$1,0,0,COUNTA([3]enemies!$A:$A),MATCH(N$1,[3]enemies!$1:$1,0)-MATCH($M$1,[3]enemies!$1:$1,0)+1),MATCH(N$1,[3]enemies!$1:$1,0)-MATCH($M$1,[3]enemies!$1:$1,0)+1,FALSE)</f>
        <v>麗逆の武操神 ドゥルガー</v>
      </c>
      <c r="O8" s="17" t="str">
        <f ca="1">VLOOKUP($M8,OFFSET([3]enemies!$A$1,0,0,COUNTA([3]enemies!$A:$A),MATCH(O$1,[3]enemies!$1:$1,0)-MATCH($M$1,[3]enemies!$1:$1,0)+1),MATCH(O$1,[3]enemies!$1:$1,0)-MATCH($M$1,[3]enemies!$1:$1,0)+1,FALSE)</f>
        <v>blue</v>
      </c>
      <c r="P8" s="17" t="str">
        <f ca="1">VLOOKUP($M8,OFFSET([4]characters!$A$1,0,0,COUNTA([4]characters!$A:$A),MATCH(P$1,[4]characters!$1:$1,0)-MATCH($M$1,[4]characters!$1:$1,0)+1),MATCH(P$1,[4]characters!$1:$1,0)-MATCH($M$1,[4]characters!$1:$1,0)+1,FALSE)</f>
        <v>PremiumSS</v>
      </c>
      <c r="Q8" s="17" t="str">
        <f ca="1">VLOOKUP($M8,OFFSET([3]enemies!$A$1,0,0,COUNTA([3]enemies!$A:$A),MATCH(Q$1,[3]enemies!$1:$1,0)-MATCH($M$1,[3]enemies!$1:$1,0)+1),MATCH(Q$1,[3]enemies!$1:$1,0)-MATCH($M$1,[3]enemies!$1:$1,0)+1,FALSE)</f>
        <v>god</v>
      </c>
      <c r="R8" s="17">
        <f ca="1">VLOOKUP($M8,OFFSET([3]enemies!$A$1,0,0,COUNTA([3]enemies!$A:$A),MATCH(R$1,[3]enemies!$1:$1,0)-MATCH($M$1,[3]enemies!$1:$1,0)+1),MATCH(R$1,[3]enemies!$1:$1,0)-MATCH($M$1,[3]enemies!$1:$1,0)+1,FALSE)</f>
        <v>60</v>
      </c>
      <c r="S8" s="5">
        <v>65</v>
      </c>
      <c r="T8" s="25">
        <v>4</v>
      </c>
      <c r="U8" s="99">
        <f ca="1">ROUND(VLOOKUP(S8,[3]enemy_base_stats!$A:$F,2,FALSE) *INDIRECT("[EnemyMasterData.xlsm]enemies!Y"&amp;(M8+1))*  INDIRECT("[EnemyMasterData.xlsm]enemies!J"&amp;(M8+1))* INDIRECT("[EnemyMasterData.xlsm]enemies!O"&amp;(M8+1))* INDIRECT("[EnemyMasterData.xlsm]enemies!E"&amp;(M8+1))* INDIRECT("[EnemyMasterData.xlsm]enemies!S"&amp;(M8+1))* INDIRECT("[EnemyMasterData.xlsm]enemies!AD"&amp;(M8+1))*[4]ステータス!$B$2,0)*T8</f>
        <v>434112</v>
      </c>
      <c r="V8" s="25">
        <v>1.2</v>
      </c>
      <c r="W8" s="99">
        <f ca="1">ROUND(VLOOKUP(S8,[3]enemy_base_stats!$A:$F,3,FALSE) *INDIRECT("[EnemyMasterData.xlsm]enemies!Z"&amp;(M8+1))*  INDIRECT("[EnemyMasterData.xlsm]enemies!K"&amp;(M8+1))* INDIRECT("[EnemyMasterData.xlsm]enemies!P"&amp;(M8+1))* INDIRECT("[EnemyMasterData.xlsm]enemies!F"&amp;(M8+1))* INDIRECT("[EnemyMasterData.xlsm]enemies!T"&amp;(M8+1))* INDIRECT("[EnemyMasterData.xlsm]enemies!AE"&amp;(M8+1))*[4]ステータス!$C$2,0)*V8</f>
        <v>8710.7999999999993</v>
      </c>
      <c r="X8" s="5">
        <v>0</v>
      </c>
      <c r="Y8" s="4" t="e">
        <f ca="1">VLOOKUP($Z8,OFFSET([5]enemy_skill_sets!$B$1,0,0,COUNTA([5]enemy_skill_sets!$B:$B),MATCH(N$1,[5]enemy_skill_sets!$1:$1,0)-MATCH($Z$1,[5]enemy_skill_sets!$1:$1,0)+2),MATCH(N$1,[5]enemy_skill_sets!$1:$1,0)-MATCH($Z$1,[5]enemy_skill_sets!$1:$1,0)+2,FALSE)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8" s="4">
        <v>40034006</v>
      </c>
      <c r="AA8" s="66">
        <v>2</v>
      </c>
    </row>
    <row r="9" spans="1:27" ht="21" customHeight="1" x14ac:dyDescent="0.15">
      <c r="A9" s="16" t="str">
        <f t="shared" si="0"/>
        <v>40034_2-4/1148&lt;lv65&gt;sq6st2</v>
      </c>
      <c r="B9" s="22">
        <v>40034</v>
      </c>
      <c r="C9" s="21">
        <v>2</v>
      </c>
      <c r="D9" s="2" t="str">
        <f t="shared" si="1"/>
        <v>40034_2</v>
      </c>
      <c r="E9" s="4" t="str">
        <f ca="1">VLOOKUP($B9,OFFSET([2]quests!$A$1,0,0,COUNTA([2]quests!$A:$A),MATCH(E$1,[2]quests!$1:$1,0)-MATCH($B$1,[2]quests!$1:$1,0)+1),MATCH(E$1,[2]quests!$1:$1,0)-MATCH($B$1,[2]quests!$1:$1,0)+1,FALSE)</f>
        <v>カーリー襲来！</v>
      </c>
      <c r="F9" s="4" t="str">
        <f ca="1">VLOOKUP($D9,OFFSET([2]stages!$A$1,0,0,COUNTA([2]stages!$A:$A),MATCH(F$1,[2]stages!$2:$2,0)-MATCH($D$1,[2]stages!$2:$2,0)+1),MATCH(F$1,[2]stages!$2:$2,0)-MATCH($D$1,[2]stages!$2:$2,0)+1,FALSE)</f>
        <v>【ウィザード級】カーリー襲来</v>
      </c>
      <c r="G9" s="21">
        <v>4</v>
      </c>
      <c r="H9" s="15" t="str">
        <f t="shared" si="2"/>
        <v>40034_2-4</v>
      </c>
      <c r="I9" s="4">
        <f ca="1">VLOOKUP($H9,OFFSET(floors!$A$1,0,0,COUNTA(floors!$A:$A),MATCH(I$1,floors!$1:$1,0)-MATCH($H$1,floors!$1:$1,0)+1),MATCH(I$1,floors!$1:$1,0)-MATCH($H$1,floors!$1:$1,0)+1,FALSE)</f>
        <v>60</v>
      </c>
      <c r="J9" s="4">
        <f ca="1">VLOOKUP($H9,OFFSET(floors!$A$1,0,0,COUNTA(floors!$A:$A),MATCH(J$1,floors!$1:$1,0)-MATCH($H$1,floors!$1:$1,0)+1),MATCH(J$1,floors!$1:$1,0)-MATCH($H$1,floors!$1:$1,0)+1,FALSE)</f>
        <v>60</v>
      </c>
      <c r="K9" s="38">
        <v>6</v>
      </c>
      <c r="L9" s="38">
        <v>2</v>
      </c>
      <c r="M9" s="20">
        <v>1148</v>
      </c>
      <c r="N9" s="17" t="str">
        <f ca="1">VLOOKUP($M9,OFFSET([3]enemies!$A$1,0,0,COUNTA([3]enemies!$A:$A),MATCH(N$1,[3]enemies!$1:$1,0)-MATCH($M$1,[3]enemies!$1:$1,0)+1),MATCH(N$1,[3]enemies!$1:$1,0)-MATCH($M$1,[3]enemies!$1:$1,0)+1,FALSE)</f>
        <v>嫉神の黎き滅意 カーリー</v>
      </c>
      <c r="O9" s="17" t="str">
        <f ca="1">VLOOKUP($M9,OFFSET([3]enemies!$A$1,0,0,COUNTA([3]enemies!$A:$A),MATCH(O$1,[3]enemies!$1:$1,0)-MATCH($M$1,[3]enemies!$1:$1,0)+1),MATCH(O$1,[3]enemies!$1:$1,0)-MATCH($M$1,[3]enemies!$1:$1,0)+1,FALSE)</f>
        <v>red</v>
      </c>
      <c r="P9" s="17" t="str">
        <f ca="1">VLOOKUP($M9,OFFSET([4]characters!$A$1,0,0,COUNTA([4]characters!$A:$A),MATCH(P$1,[4]characters!$1:$1,0)-MATCH($M$1,[4]characters!$1:$1,0)+1),MATCH(P$1,[4]characters!$1:$1,0)-MATCH($M$1,[4]characters!$1:$1,0)+1,FALSE)</f>
        <v>DropWizS</v>
      </c>
      <c r="Q9" s="17" t="str">
        <f ca="1">VLOOKUP($M9,OFFSET([3]enemies!$A$1,0,0,COUNTA([3]enemies!$A:$A),MATCH(Q$1,[3]enemies!$1:$1,0)-MATCH($M$1,[3]enemies!$1:$1,0)+1),MATCH(Q$1,[3]enemies!$1:$1,0)-MATCH($M$1,[3]enemies!$1:$1,0)+1,FALSE)</f>
        <v>god</v>
      </c>
      <c r="R9" s="17">
        <f ca="1">VLOOKUP($M9,OFFSET([3]enemies!$A$1,0,0,COUNTA([3]enemies!$A:$A),MATCH(R$1,[3]enemies!$1:$1,0)-MATCH($M$1,[3]enemies!$1:$1,0)+1),MATCH(R$1,[3]enemies!$1:$1,0)-MATCH($M$1,[3]enemies!$1:$1,0)+1,FALSE)</f>
        <v>60</v>
      </c>
      <c r="S9" s="5">
        <v>65</v>
      </c>
      <c r="T9" s="25">
        <v>6.3</v>
      </c>
      <c r="U9" s="99">
        <f ca="1">ROUND(VLOOKUP(S9,[3]enemy_base_stats!$A:$F,2,FALSE) *INDIRECT("[EnemyMasterData.xlsm]enemies!Y"&amp;(M9+1))*  INDIRECT("[EnemyMasterData.xlsm]enemies!J"&amp;(M9+1))* INDIRECT("[EnemyMasterData.xlsm]enemies!O"&amp;(M9+1))* INDIRECT("[EnemyMasterData.xlsm]enemies!E"&amp;(M9+1))* INDIRECT("[EnemyMasterData.xlsm]enemies!S"&amp;(M9+1))* INDIRECT("[EnemyMasterData.xlsm]enemies!AD"&amp;(M9+1))*[4]ステータス!$B$2,0)*T9</f>
        <v>615352.5</v>
      </c>
      <c r="V9" s="25">
        <v>1.1000000000000001</v>
      </c>
      <c r="W9" s="99">
        <f ca="1">ROUND(VLOOKUP(S9,[3]enemy_base_stats!$A:$F,3,FALSE) *INDIRECT("[EnemyMasterData.xlsm]enemies!Z"&amp;(M9+1))*  INDIRECT("[EnemyMasterData.xlsm]enemies!K"&amp;(M9+1))* INDIRECT("[EnemyMasterData.xlsm]enemies!P"&amp;(M9+1))* INDIRECT("[EnemyMasterData.xlsm]enemies!F"&amp;(M9+1))* INDIRECT("[EnemyMasterData.xlsm]enemies!T"&amp;(M9+1))* INDIRECT("[EnemyMasterData.xlsm]enemies!AE"&amp;(M9+1))*[4]ステータス!$C$2,0)*V9</f>
        <v>7480.0000000000009</v>
      </c>
      <c r="X9" s="5">
        <v>0</v>
      </c>
      <c r="Y9" s="4" t="e">
        <f ca="1">VLOOKUP($Z9,OFFSET([5]enemy_skill_sets!$B$1,0,0,COUNTA([5]enemy_skill_sets!$B:$B),MATCH(N$1,[5]enemy_skill_sets!$1:$1,0)-MATCH($Z$1,[5]enemy_skill_sets!$1:$1,0)+2),MATCH(N$1,[5]enemy_skill_sets!$1:$1,0)-MATCH($Z$1,[5]enemy_skill_sets!$1:$1,0)+2,FALSE)</f>
        <v>#N/A</v>
      </c>
      <c r="Z9" s="4">
        <v>40034008</v>
      </c>
      <c r="AA9" s="66">
        <v>1</v>
      </c>
    </row>
  </sheetData>
  <sheetProtection selectLockedCells="1" selectUnlockedCells="1"/>
  <autoFilter ref="B1:AA2"/>
  <phoneticPr fontId="5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 enableFormatConditionsCalculation="0">
    <tabColor rgb="FF0000FF"/>
    <outlinePr summaryBelow="0" summaryRight="0"/>
  </sheetPr>
  <dimension ref="A1:R107"/>
  <sheetViews>
    <sheetView showGridLines="0" workbookViewId="0">
      <pane xSplit="5" ySplit="1" topLeftCell="F75" activePane="bottomRight" state="frozen"/>
      <selection pane="topRight"/>
      <selection pane="bottomLeft"/>
      <selection pane="bottomRight" activeCell="E77" sqref="E77"/>
    </sheetView>
  </sheetViews>
  <sheetFormatPr baseColWidth="12" defaultColWidth="12.83203125" defaultRowHeight="21" customHeight="1" outlineLevelCol="1" x14ac:dyDescent="0.15"/>
  <cols>
    <col min="1" max="1" width="11.33203125" style="39" bestFit="1" customWidth="1"/>
    <col min="2" max="2" width="9.5" style="45" bestFit="1" customWidth="1"/>
    <col min="3" max="3" width="9.6640625" style="45" customWidth="1"/>
    <col min="4" max="4" width="18.5" style="45" customWidth="1" outlineLevel="1"/>
    <col min="5" max="5" width="44.1640625" style="45" bestFit="1" customWidth="1" outlineLevel="1"/>
    <col min="6" max="6" width="10.83203125" style="45" bestFit="1" customWidth="1"/>
    <col min="7" max="7" width="8.33203125" style="45" bestFit="1" customWidth="1" outlineLevel="1"/>
    <col min="8" max="9" width="12.83203125" style="45" outlineLevel="1"/>
    <col min="10" max="10" width="17.6640625" style="45" bestFit="1" customWidth="1" outlineLevel="1"/>
    <col min="11" max="15" width="12.83203125" style="45" outlineLevel="1"/>
    <col min="16" max="16" width="8.33203125" style="41" bestFit="1" customWidth="1"/>
    <col min="17" max="17" width="9.6640625" style="41" customWidth="1"/>
    <col min="18" max="18" width="56.5" style="41" bestFit="1" customWidth="1"/>
    <col min="19" max="16384" width="12.83203125" style="41"/>
  </cols>
  <sheetData>
    <row r="1" spans="1:18" ht="21" customHeight="1" thickBot="1" x14ac:dyDescent="0.2">
      <c r="A1" s="39" t="s">
        <v>60</v>
      </c>
      <c r="B1" s="121" t="s">
        <v>61</v>
      </c>
      <c r="C1" s="121" t="s">
        <v>62</v>
      </c>
      <c r="D1" s="122" t="s">
        <v>63</v>
      </c>
      <c r="E1" s="122" t="s">
        <v>64</v>
      </c>
      <c r="F1" s="49" t="s">
        <v>65</v>
      </c>
      <c r="G1" s="40" t="s">
        <v>66</v>
      </c>
      <c r="H1" s="40" t="s">
        <v>68</v>
      </c>
      <c r="I1" s="40" t="s">
        <v>69</v>
      </c>
      <c r="J1" s="40" t="s">
        <v>70</v>
      </c>
      <c r="K1" s="40" t="s">
        <v>71</v>
      </c>
      <c r="L1" s="40" t="s">
        <v>72</v>
      </c>
      <c r="M1" s="40" t="s">
        <v>73</v>
      </c>
      <c r="N1" s="40" t="s">
        <v>74</v>
      </c>
      <c r="O1" s="40" t="s">
        <v>75</v>
      </c>
      <c r="P1" s="122" t="s">
        <v>76</v>
      </c>
      <c r="Q1" s="122" t="s">
        <v>77</v>
      </c>
      <c r="R1" s="122" t="s">
        <v>78</v>
      </c>
    </row>
    <row r="2" spans="1:18" ht="21" customHeight="1" x14ac:dyDescent="0.15">
      <c r="A2" s="39" t="str">
        <f t="shared" ref="A2" si="0">B2&amp;"_"&amp;C2</f>
        <v>40034000_40034300</v>
      </c>
      <c r="B2" s="123">
        <v>40034000</v>
      </c>
      <c r="C2" s="124">
        <v>40034300</v>
      </c>
      <c r="D2" s="166" t="str">
        <f ca="1">VLOOKUP($C2,OFFSET(enemy_skills!$A$1,0,0,COUNTA(enemy_skills!$A:$A),MATCH(D$1,enemy_skills!$1:$1,0)-MATCH("enemy_skill_id",enemy_skills!$1:$1,0)+1),MATCH(D$1,enemy_skills!$1:$1,0)-MATCH("enemy_skill_id",enemy_skills!$1:$1,0)+1,FALSE)</f>
        <v>ヴェーダ・アーカイブ_x000D_最深部って…この辺りね</v>
      </c>
      <c r="E2" s="166" t="str">
        <f ca="1">VLOOKUP($C2,OFFSET(enemy_skills!$A$1,0,0,COUNTA(enemy_skills!$A:$A),MATCH(E$1,enemy_skills!$1:$1,0)-MATCH("enemy_skill_id",enemy_skills!$1:$1,0)+1),MATCH(E$1,enemy_skills!$1:$1,0)-MATCH("enemy_skill_id",enemy_skills!$1:$1,0)+1,FALSE)</f>
        <v>「カーリーとの連絡が途絶えちゃったし_x000D_直接会えると良いのだけど…」</v>
      </c>
      <c r="F2" s="124">
        <v>40034600</v>
      </c>
      <c r="G2" s="128">
        <f ca="1">VLOOKUP($F2,OFFSET(enemy_skill_triggers!$A$1,0,0,COUNTA(enemy_skill_triggers!$A:$A),MATCH(G$1,enemy_skill_triggers!$1:$1,0)-MATCH($F$1,enemy_skill_triggers!$1:$1,0)+1),MATCH(G$1,enemy_skill_triggers!$1:$1,0)-MATCH($F$1,enemy_skill_triggers!$1:$1,0)+1,FALSE)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" s="128">
        <f ca="1">VLOOKUP($F2,OFFSET(enemy_skill_triggers!$A$1,0,0,COUNTA(enemy_skill_triggers!$A:$A),MATCH(H$1,enemy_skill_triggers!$1:$1,0)-MATCH($F$1,enemy_skill_triggers!$1:$1,0)+1),MATCH(H$1,enemy_skill_triggers!$1:$1,0)-MATCH($F$1,enemy_skill_triggers!$1:$1,0)+1,FALSE)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" s="128">
        <f ca="1">VLOOKUP($F2,OFFSET(enemy_skill_triggers!$A$1,0,0,COUNTA(enemy_skill_triggers!$A:$A),MATCH(I$1,enemy_skill_triggers!$1:$1,0)-MATCH($F$1,enemy_skill_triggers!$1:$1,0)+1),MATCH(I$1,enemy_skill_triggers!$1:$1,0)-MATCH($F$1,enemy_skill_triggers!$1:$1,0)+1,FALSE)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" s="128" t="str">
        <f ca="1">VLOOKUP($F2,OFFSET(enemy_skill_triggers!$A$1,0,0,COUNTA(enemy_skill_triggers!$A:$A),MATCH(J$1,enemy_skill_triggers!$1:$1,0)-MATCH($F$1,enemy_skill_triggers!$1:$1,0)+1),MATCH(J$1,enemy_skill_triggers!$1:$1,0)-MATCH($F$1,enemy_skill_triggers!$1:$1,0)+1,FALSE)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" s="128" t="str">
        <f ca="1">VLOOKUP($F2,OFFSET(enemy_skill_triggers!$A$1,0,0,COUNTA(enemy_skill_triggers!$A:$A),MATCH(K$1,enemy_skill_triggers!$1:$1,0)-MATCH($F$1,enemy_skill_triggers!$1:$1,0)+1),MATCH(K$1,enemy_skill_triggers!$1:$1,0)-MATCH($F$1,enemy_skill_triggers!$1:$1,0)+1,FALSE)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" s="128">
        <f ca="1">VLOOKUP($F2,OFFSET(enemy_skill_triggers!$A$1,0,0,COUNTA(enemy_skill_triggers!$A:$A),MATCH(L$1,enemy_skill_triggers!$1:$1,0)-MATCH($F$1,enemy_skill_triggers!$1:$1,0)+1),MATCH(L$1,enemy_skill_triggers!$1:$1,0)-MATCH($F$1,enemy_skill_triggers!$1:$1,0)+1,FALSE)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" s="128" t="str">
        <f ca="1">VLOOKUP($F2,OFFSET(enemy_skill_triggers!$A$1,0,0,COUNTA(enemy_skill_triggers!$A:$A),MATCH(M$1,enemy_skill_triggers!$1:$1,0)-MATCH($F$1,enemy_skill_triggers!$1:$1,0)+1),MATCH(M$1,enemy_skill_triggers!$1:$1,0)-MATCH($F$1,enemy_skill_triggers!$1:$1,0)+1,FALSE)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" s="128" t="str">
        <f ca="1">VLOOKUP($F2,OFFSET(enemy_skill_triggers!$A$1,0,0,COUNTA(enemy_skill_triggers!$A:$A),MATCH(N$1,enemy_skill_triggers!$1:$1,0)-MATCH($F$1,enemy_skill_triggers!$1:$1,0)+1),MATCH(N$1,enemy_skill_triggers!$1:$1,0)-MATCH($F$1,enemy_skill_triggers!$1:$1,0)+1,FALSE)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" s="128">
        <f ca="1">VLOOKUP($F2,OFFSET(enemy_skill_triggers!$A$1,0,0,COUNTA(enemy_skill_triggers!$A:$A),MATCH(O$1,enemy_skill_triggers!$1:$1,0)-MATCH($F$1,enemy_skill_triggers!$1:$1,0)+1),MATCH(O$1,enemy_skill_triggers!$1:$1,0)-MATCH($F$1,enemy_skill_triggers!$1:$1,0)+1,FALSE)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" s="124"/>
      <c r="Q2" s="124"/>
      <c r="R2" s="167"/>
    </row>
    <row r="3" spans="1:18" ht="21" customHeight="1" x14ac:dyDescent="0.15">
      <c r="A3" s="39" t="str">
        <f t="shared" ref="A3:A59" si="1">B3&amp;"_"&amp;C3</f>
        <v>40034000_40034301</v>
      </c>
      <c r="B3" s="171">
        <v>40034000</v>
      </c>
      <c r="C3" s="43">
        <v>40034301</v>
      </c>
      <c r="D3" s="42" t="str">
        <f ca="1">VLOOKUP($C3,OFFSET(enemy_skills!$A$1,0,0,COUNTA(enemy_skills!$A:$A),MATCH(D$1,enemy_skills!$1:$1,0)-MATCH("enemy_skill_id",enemy_skills!$1:$1,0)+1),MATCH(D$1,enemy_skills!$1:$1,0)-MATCH("enemy_skill_id",enemy_skills!$1:$1,0)+1,FALSE)</f>
        <v>ちょっ！カーリーの許可って_x000D_何の事よ！通しなさいっ！</v>
      </c>
      <c r="E3" s="42" t="str">
        <f ca="1">VLOOKUP($C3,OFFSET(enemy_skills!$A$1,0,0,COUNTA(enemy_skills!$A:$A),MATCH(E$1,enemy_skills!$1:$1,0)-MATCH("enemy_skill_id",enemy_skills!$1:$1,0)+1),MATCH(E$1,enemy_skills!$1:$1,0)-MATCH("enemy_skill_id",enemy_skills!$1:$1,0)+1,FALSE)</f>
        <v>パールヴァティはヴリトラに妨害を受けている</v>
      </c>
      <c r="F3" s="43">
        <v>40034601</v>
      </c>
      <c r="G3" s="44">
        <f ca="1">VLOOKUP($F3,OFFSET(enemy_skill_triggers!$A$1,0,0,COUNTA(enemy_skill_triggers!$A:$A),MATCH(G$1,enemy_skill_triggers!$1:$1,0)-MATCH($F$1,enemy_skill_triggers!$1:$1,0)+1),MATCH(G$1,enemy_skill_triggers!$1:$1,0)-MATCH($F$1,enemy_skill_triggers!$1:$1,0)+1,FALSE)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" s="44">
        <f ca="1">VLOOKUP($F3,OFFSET(enemy_skill_triggers!$A$1,0,0,COUNTA(enemy_skill_triggers!$A:$A),MATCH(H$1,enemy_skill_triggers!$1:$1,0)-MATCH($F$1,enemy_skill_triggers!$1:$1,0)+1),MATCH(H$1,enemy_skill_triggers!$1:$1,0)-MATCH($F$1,enemy_skill_triggers!$1:$1,0)+1,FALSE)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" s="44">
        <f ca="1">VLOOKUP($F3,OFFSET(enemy_skill_triggers!$A$1,0,0,COUNTA(enemy_skill_triggers!$A:$A),MATCH(I$1,enemy_skill_triggers!$1:$1,0)-MATCH($F$1,enemy_skill_triggers!$1:$1,0)+1),MATCH(I$1,enemy_skill_triggers!$1:$1,0)-MATCH($F$1,enemy_skill_triggers!$1:$1,0)+1,FALSE)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" s="44" t="str">
        <f ca="1">VLOOKUP($F3,OFFSET(enemy_skill_triggers!$A$1,0,0,COUNTA(enemy_skill_triggers!$A:$A),MATCH(J$1,enemy_skill_triggers!$1:$1,0)-MATCH($F$1,enemy_skill_triggers!$1:$1,0)+1),MATCH(J$1,enemy_skill_triggers!$1:$1,0)-MATCH($F$1,enemy_skill_triggers!$1:$1,0)+1,FALSE)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" s="44" t="str">
        <f ca="1">VLOOKUP($F3,OFFSET(enemy_skill_triggers!$A$1,0,0,COUNTA(enemy_skill_triggers!$A:$A),MATCH(K$1,enemy_skill_triggers!$1:$1,0)-MATCH($F$1,enemy_skill_triggers!$1:$1,0)+1),MATCH(K$1,enemy_skill_triggers!$1:$1,0)-MATCH($F$1,enemy_skill_triggers!$1:$1,0)+1,FALSE)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" s="44">
        <f ca="1">VLOOKUP($F3,OFFSET(enemy_skill_triggers!$A$1,0,0,COUNTA(enemy_skill_triggers!$A:$A),MATCH(L$1,enemy_skill_triggers!$1:$1,0)-MATCH($F$1,enemy_skill_triggers!$1:$1,0)+1),MATCH(L$1,enemy_skill_triggers!$1:$1,0)-MATCH($F$1,enemy_skill_triggers!$1:$1,0)+1,FALSE)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" s="44" t="str">
        <f ca="1">VLOOKUP($F3,OFFSET(enemy_skill_triggers!$A$1,0,0,COUNTA(enemy_skill_triggers!$A:$A),MATCH(M$1,enemy_skill_triggers!$1:$1,0)-MATCH($F$1,enemy_skill_triggers!$1:$1,0)+1),MATCH(M$1,enemy_skill_triggers!$1:$1,0)-MATCH($F$1,enemy_skill_triggers!$1:$1,0)+1,FALSE)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" s="44" t="str">
        <f ca="1">VLOOKUP($F3,OFFSET(enemy_skill_triggers!$A$1,0,0,COUNTA(enemy_skill_triggers!$A:$A),MATCH(N$1,enemy_skill_triggers!$1:$1,0)-MATCH($F$1,enemy_skill_triggers!$1:$1,0)+1),MATCH(N$1,enemy_skill_triggers!$1:$1,0)-MATCH($F$1,enemy_skill_triggers!$1:$1,0)+1,FALSE)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" s="44">
        <f ca="1">VLOOKUP($F3,OFFSET(enemy_skill_triggers!$A$1,0,0,COUNTA(enemy_skill_triggers!$A:$A),MATCH(O$1,enemy_skill_triggers!$1:$1,0)-MATCH($F$1,enemy_skill_triggers!$1:$1,0)+1),MATCH(O$1,enemy_skill_triggers!$1:$1,0)-MATCH($F$1,enemy_skill_triggers!$1:$1,0)+1,FALSE)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" s="43"/>
      <c r="Q3" s="43"/>
      <c r="R3" s="172"/>
    </row>
    <row r="4" spans="1:18" ht="21" customHeight="1" thickBot="1" x14ac:dyDescent="0.2">
      <c r="A4" s="39" t="str">
        <f t="shared" si="1"/>
        <v>40034000_40034302</v>
      </c>
      <c r="B4" s="168">
        <v>40034000</v>
      </c>
      <c r="C4" s="132">
        <v>40034302</v>
      </c>
      <c r="D4" s="169" t="str">
        <f ca="1">VLOOKUP($C4,OFFSET(enemy_skills!$A$1,0,0,COUNTA(enemy_skills!$A:$A),MATCH(D$1,enemy_skills!$1:$1,0)-MATCH("enemy_skill_id",enemy_skills!$1:$1,0)+1),MATCH(D$1,enemy_skills!$1:$1,0)-MATCH("enemy_skill_id",enemy_skills!$1:$1,0)+1,FALSE)</f>
        <v>君たち、カーリーの様子を_x000D_確認してきて！お願いね！</v>
      </c>
      <c r="E4" s="169" t="str">
        <f ca="1">VLOOKUP($C4,OFFSET(enemy_skills!$A$1,0,0,COUNTA(enemy_skills!$A:$A),MATCH(E$1,enemy_skills!$1:$1,0)-MATCH("enemy_skill_id",enemy_skills!$1:$1,0)+1),MATCH(E$1,enemy_skills!$1:$1,0)-MATCH("enemy_skill_id",enemy_skills!$1:$1,0)+1,FALSE)</f>
        <v>返事をするよりも早く_x000D_パールヴァティは去っていった…</v>
      </c>
      <c r="F4" s="132">
        <v>40034602</v>
      </c>
      <c r="G4" s="136">
        <f ca="1">VLOOKUP($F4,OFFSET(enemy_skill_triggers!$A$1,0,0,COUNTA(enemy_skill_triggers!$A:$A),MATCH(G$1,enemy_skill_triggers!$1:$1,0)-MATCH($F$1,enemy_skill_triggers!$1:$1,0)+1),MATCH(G$1,enemy_skill_triggers!$1:$1,0)-MATCH($F$1,enemy_skill_triggers!$1:$1,0)+1,FALSE)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" s="136">
        <f ca="1">VLOOKUP($F4,OFFSET(enemy_skill_triggers!$A$1,0,0,COUNTA(enemy_skill_triggers!$A:$A),MATCH(H$1,enemy_skill_triggers!$1:$1,0)-MATCH($F$1,enemy_skill_triggers!$1:$1,0)+1),MATCH(H$1,enemy_skill_triggers!$1:$1,0)-MATCH($F$1,enemy_skill_triggers!$1:$1,0)+1,FALSE)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" s="136">
        <f ca="1">VLOOKUP($F4,OFFSET(enemy_skill_triggers!$A$1,0,0,COUNTA(enemy_skill_triggers!$A:$A),MATCH(I$1,enemy_skill_triggers!$1:$1,0)-MATCH($F$1,enemy_skill_triggers!$1:$1,0)+1),MATCH(I$1,enemy_skill_triggers!$1:$1,0)-MATCH($F$1,enemy_skill_triggers!$1:$1,0)+1,FALSE)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" s="136" t="str">
        <f ca="1">VLOOKUP($F4,OFFSET(enemy_skill_triggers!$A$1,0,0,COUNTA(enemy_skill_triggers!$A:$A),MATCH(J$1,enemy_skill_triggers!$1:$1,0)-MATCH($F$1,enemy_skill_triggers!$1:$1,0)+1),MATCH(J$1,enemy_skill_triggers!$1:$1,0)-MATCH($F$1,enemy_skill_triggers!$1:$1,0)+1,FALSE)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" s="136" t="str">
        <f ca="1">VLOOKUP($F4,OFFSET(enemy_skill_triggers!$A$1,0,0,COUNTA(enemy_skill_triggers!$A:$A),MATCH(K$1,enemy_skill_triggers!$1:$1,0)-MATCH($F$1,enemy_skill_triggers!$1:$1,0)+1),MATCH(K$1,enemy_skill_triggers!$1:$1,0)-MATCH($F$1,enemy_skill_triggers!$1:$1,0)+1,FALSE)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" s="136">
        <f ca="1">VLOOKUP($F4,OFFSET(enemy_skill_triggers!$A$1,0,0,COUNTA(enemy_skill_triggers!$A:$A),MATCH(L$1,enemy_skill_triggers!$1:$1,0)-MATCH($F$1,enemy_skill_triggers!$1:$1,0)+1),MATCH(L$1,enemy_skill_triggers!$1:$1,0)-MATCH($F$1,enemy_skill_triggers!$1:$1,0)+1,FALSE)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" s="136" t="str">
        <f ca="1">VLOOKUP($F4,OFFSET(enemy_skill_triggers!$A$1,0,0,COUNTA(enemy_skill_triggers!$A:$A),MATCH(M$1,enemy_skill_triggers!$1:$1,0)-MATCH($F$1,enemy_skill_triggers!$1:$1,0)+1),MATCH(M$1,enemy_skill_triggers!$1:$1,0)-MATCH($F$1,enemy_skill_triggers!$1:$1,0)+1,FALSE)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" s="136" t="str">
        <f ca="1">VLOOKUP($F4,OFFSET(enemy_skill_triggers!$A$1,0,0,COUNTA(enemy_skill_triggers!$A:$A),MATCH(N$1,enemy_skill_triggers!$1:$1,0)-MATCH($F$1,enemy_skill_triggers!$1:$1,0)+1),MATCH(N$1,enemy_skill_triggers!$1:$1,0)-MATCH($F$1,enemy_skill_triggers!$1:$1,0)+1,FALSE)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" s="136">
        <f ca="1">VLOOKUP($F4,OFFSET(enemy_skill_triggers!$A$1,0,0,COUNTA(enemy_skill_triggers!$A:$A),MATCH(O$1,enemy_skill_triggers!$1:$1,0)-MATCH($F$1,enemy_skill_triggers!$1:$1,0)+1),MATCH(O$1,enemy_skill_triggers!$1:$1,0)-MATCH($F$1,enemy_skill_triggers!$1:$1,0)+1,FALSE)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" s="132"/>
      <c r="Q4" s="132"/>
      <c r="R4" s="170"/>
    </row>
    <row r="5" spans="1:18" ht="21" customHeight="1" x14ac:dyDescent="0.15">
      <c r="A5" s="39" t="str">
        <f t="shared" si="1"/>
        <v>40034001_40034303</v>
      </c>
      <c r="B5" s="123">
        <v>40034001</v>
      </c>
      <c r="C5" s="124">
        <v>40034303</v>
      </c>
      <c r="D5" s="166" t="str">
        <f ca="1">VLOOKUP($C5,OFFSET(enemy_skills!$A$1,0,0,COUNTA(enemy_skills!$A:$A),MATCH(D$1,enemy_skills!$1:$1,0)-MATCH("enemy_skill_id",enemy_skills!$1:$1,0)+1),MATCH(D$1,enemy_skills!$1:$1,0)-MATCH("enemy_skill_id",enemy_skills!$1:$1,0)+1,FALSE)</f>
        <v>キサマ　ハ_x000D_パールヴァティ！</v>
      </c>
      <c r="E5" s="166" t="str">
        <f ca="1">VLOOKUP($C5,OFFSET(enemy_skills!$A$1,0,0,COUNTA(enemy_skills!$A:$A),MATCH(E$1,enemy_skills!$1:$1,0)-MATCH("enemy_skill_id",enemy_skills!$1:$1,0)+1),MATCH(E$1,enemy_skills!$1:$1,0)-MATCH("enemy_skill_id",enemy_skills!$1:$1,0)+1,FALSE)</f>
        <v>カーリーサマ　ノ　キョカ　デテル_x000D_キサマカラ　フキトバシテヤル</v>
      </c>
      <c r="F5" s="124">
        <v>40034603</v>
      </c>
      <c r="G5" s="128">
        <f ca="1">VLOOKUP($F5,OFFSET(enemy_skill_triggers!$A$1,0,0,COUNTA(enemy_skill_triggers!$A:$A),MATCH(G$1,enemy_skill_triggers!$1:$1,0)-MATCH($F$1,enemy_skill_triggers!$1:$1,0)+1),MATCH(G$1,enemy_skill_triggers!$1:$1,0)-MATCH($F$1,enemy_skill_triggers!$1:$1,0)+1,FALSE)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" s="128">
        <f ca="1">VLOOKUP($F5,OFFSET(enemy_skill_triggers!$A$1,0,0,COUNTA(enemy_skill_triggers!$A:$A),MATCH(H$1,enemy_skill_triggers!$1:$1,0)-MATCH($F$1,enemy_skill_triggers!$1:$1,0)+1),MATCH(H$1,enemy_skill_triggers!$1:$1,0)-MATCH($F$1,enemy_skill_triggers!$1:$1,0)+1,FALSE)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" s="128">
        <f ca="1">VLOOKUP($F5,OFFSET(enemy_skill_triggers!$A$1,0,0,COUNTA(enemy_skill_triggers!$A:$A),MATCH(I$1,enemy_skill_triggers!$1:$1,0)-MATCH($F$1,enemy_skill_triggers!$1:$1,0)+1),MATCH(I$1,enemy_skill_triggers!$1:$1,0)-MATCH($F$1,enemy_skill_triggers!$1:$1,0)+1,FALSE)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" s="128" t="str">
        <f ca="1">VLOOKUP($F5,OFFSET(enemy_skill_triggers!$A$1,0,0,COUNTA(enemy_skill_triggers!$A:$A),MATCH(J$1,enemy_skill_triggers!$1:$1,0)-MATCH($F$1,enemy_skill_triggers!$1:$1,0)+1),MATCH(J$1,enemy_skill_triggers!$1:$1,0)-MATCH($F$1,enemy_skill_triggers!$1:$1,0)+1,FALSE)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" s="128" t="str">
        <f ca="1">VLOOKUP($F5,OFFSET(enemy_skill_triggers!$A$1,0,0,COUNTA(enemy_skill_triggers!$A:$A),MATCH(K$1,enemy_skill_triggers!$1:$1,0)-MATCH($F$1,enemy_skill_triggers!$1:$1,0)+1),MATCH(K$1,enemy_skill_triggers!$1:$1,0)-MATCH($F$1,enemy_skill_triggers!$1:$1,0)+1,FALSE)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" s="128">
        <f ca="1">VLOOKUP($F5,OFFSET(enemy_skill_triggers!$A$1,0,0,COUNTA(enemy_skill_triggers!$A:$A),MATCH(L$1,enemy_skill_triggers!$1:$1,0)-MATCH($F$1,enemy_skill_triggers!$1:$1,0)+1),MATCH(L$1,enemy_skill_triggers!$1:$1,0)-MATCH($F$1,enemy_skill_triggers!$1:$1,0)+1,FALSE)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" s="128" t="str">
        <f ca="1">VLOOKUP($F5,OFFSET(enemy_skill_triggers!$A$1,0,0,COUNTA(enemy_skill_triggers!$A:$A),MATCH(M$1,enemy_skill_triggers!$1:$1,0)-MATCH($F$1,enemy_skill_triggers!$1:$1,0)+1),MATCH(M$1,enemy_skill_triggers!$1:$1,0)-MATCH($F$1,enemy_skill_triggers!$1:$1,0)+1,FALSE)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" s="128" t="str">
        <f ca="1">VLOOKUP($F5,OFFSET(enemy_skill_triggers!$A$1,0,0,COUNTA(enemy_skill_triggers!$A:$A),MATCH(N$1,enemy_skill_triggers!$1:$1,0)-MATCH($F$1,enemy_skill_triggers!$1:$1,0)+1),MATCH(N$1,enemy_skill_triggers!$1:$1,0)-MATCH($F$1,enemy_skill_triggers!$1:$1,0)+1,FALSE)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" s="128">
        <f ca="1">VLOOKUP($F5,OFFSET(enemy_skill_triggers!$A$1,0,0,COUNTA(enemy_skill_triggers!$A:$A),MATCH(O$1,enemy_skill_triggers!$1:$1,0)-MATCH($F$1,enemy_skill_triggers!$1:$1,0)+1),MATCH(O$1,enemy_skill_triggers!$1:$1,0)-MATCH($F$1,enemy_skill_triggers!$1:$1,0)+1,FALSE)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" s="124"/>
      <c r="Q5" s="124"/>
      <c r="R5" s="167"/>
    </row>
    <row r="6" spans="1:18" ht="21" customHeight="1" x14ac:dyDescent="0.15">
      <c r="A6" s="39" t="str">
        <f t="shared" si="1"/>
        <v>40034001_40034304</v>
      </c>
      <c r="B6" s="171">
        <v>40034001</v>
      </c>
      <c r="C6" s="43">
        <v>40034304</v>
      </c>
      <c r="D6" s="42" t="str">
        <f ca="1">VLOOKUP($C6,OFFSET(enemy_skills!$A$1,0,0,COUNTA(enemy_skills!$A:$A),MATCH(D$1,enemy_skills!$1:$1,0)-MATCH("enemy_skill_id",enemy_skills!$1:$1,0)+1),MATCH(D$1,enemy_skills!$1:$1,0)-MATCH("enemy_skill_id",enemy_skills!$1:$1,0)+1,FALSE)</f>
        <v>ヒャーッ！センセイコウゲキ！_x000D_ブッ！カイ！カーン！</v>
      </c>
      <c r="E6" s="42" t="str">
        <f ca="1">VLOOKUP($C6,OFFSET(enemy_skills!$A$1,0,0,COUNTA(enemy_skills!$A:$A),MATCH(E$1,enemy_skills!$1:$1,0)-MATCH("enemy_skill_id",enemy_skills!$1:$1,0)+1),MATCH(E$1,enemy_skills!$1:$1,0)-MATCH("enemy_skill_id",enemy_skills!$1:$1,0)+1,FALSE)</f>
        <v>ヴリトラはパールヴァティを攻撃！_x000D_パールヴァティは攻撃をかわした！</v>
      </c>
      <c r="F6" s="43">
        <v>40034604</v>
      </c>
      <c r="G6" s="44">
        <f ca="1">VLOOKUP($F6,OFFSET(enemy_skill_triggers!$A$1,0,0,COUNTA(enemy_skill_triggers!$A:$A),MATCH(G$1,enemy_skill_triggers!$1:$1,0)-MATCH($F$1,enemy_skill_triggers!$1:$1,0)+1),MATCH(G$1,enemy_skill_triggers!$1:$1,0)-MATCH($F$1,enemy_skill_triggers!$1:$1,0)+1,FALSE)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" s="44">
        <f ca="1">VLOOKUP($F6,OFFSET(enemy_skill_triggers!$A$1,0,0,COUNTA(enemy_skill_triggers!$A:$A),MATCH(H$1,enemy_skill_triggers!$1:$1,0)-MATCH($F$1,enemy_skill_triggers!$1:$1,0)+1),MATCH(H$1,enemy_skill_triggers!$1:$1,0)-MATCH($F$1,enemy_skill_triggers!$1:$1,0)+1,FALSE)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" s="44">
        <f ca="1">VLOOKUP($F6,OFFSET(enemy_skill_triggers!$A$1,0,0,COUNTA(enemy_skill_triggers!$A:$A),MATCH(I$1,enemy_skill_triggers!$1:$1,0)-MATCH($F$1,enemy_skill_triggers!$1:$1,0)+1),MATCH(I$1,enemy_skill_triggers!$1:$1,0)-MATCH($F$1,enemy_skill_triggers!$1:$1,0)+1,FALSE)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" s="44" t="str">
        <f ca="1">VLOOKUP($F6,OFFSET(enemy_skill_triggers!$A$1,0,0,COUNTA(enemy_skill_triggers!$A:$A),MATCH(J$1,enemy_skill_triggers!$1:$1,0)-MATCH($F$1,enemy_skill_triggers!$1:$1,0)+1),MATCH(J$1,enemy_skill_triggers!$1:$1,0)-MATCH($F$1,enemy_skill_triggers!$1:$1,0)+1,FALSE)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" s="44" t="str">
        <f ca="1">VLOOKUP($F6,OFFSET(enemy_skill_triggers!$A$1,0,0,COUNTA(enemy_skill_triggers!$A:$A),MATCH(K$1,enemy_skill_triggers!$1:$1,0)-MATCH($F$1,enemy_skill_triggers!$1:$1,0)+1),MATCH(K$1,enemy_skill_triggers!$1:$1,0)-MATCH($F$1,enemy_skill_triggers!$1:$1,0)+1,FALSE)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" s="44">
        <f ca="1">VLOOKUP($F6,OFFSET(enemy_skill_triggers!$A$1,0,0,COUNTA(enemy_skill_triggers!$A:$A),MATCH(L$1,enemy_skill_triggers!$1:$1,0)-MATCH($F$1,enemy_skill_triggers!$1:$1,0)+1),MATCH(L$1,enemy_skill_triggers!$1:$1,0)-MATCH($F$1,enemy_skill_triggers!$1:$1,0)+1,FALSE)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" s="44" t="str">
        <f ca="1">VLOOKUP($F6,OFFSET(enemy_skill_triggers!$A$1,0,0,COUNTA(enemy_skill_triggers!$A:$A),MATCH(M$1,enemy_skill_triggers!$1:$1,0)-MATCH($F$1,enemy_skill_triggers!$1:$1,0)+1),MATCH(M$1,enemy_skill_triggers!$1:$1,0)-MATCH($F$1,enemy_skill_triggers!$1:$1,0)+1,FALSE)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" s="44" t="str">
        <f ca="1">VLOOKUP($F6,OFFSET(enemy_skill_triggers!$A$1,0,0,COUNTA(enemy_skill_triggers!$A:$A),MATCH(N$1,enemy_skill_triggers!$1:$1,0)-MATCH($F$1,enemy_skill_triggers!$1:$1,0)+1),MATCH(N$1,enemy_skill_triggers!$1:$1,0)-MATCH($F$1,enemy_skill_triggers!$1:$1,0)+1,FALSE)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" s="44">
        <f ca="1">VLOOKUP($F6,OFFSET(enemy_skill_triggers!$A$1,0,0,COUNTA(enemy_skill_triggers!$A:$A),MATCH(O$1,enemy_skill_triggers!$1:$1,0)-MATCH($F$1,enemy_skill_triggers!$1:$1,0)+1),MATCH(O$1,enemy_skill_triggers!$1:$1,0)-MATCH($F$1,enemy_skill_triggers!$1:$1,0)+1,FALSE)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" s="43"/>
      <c r="Q6" s="43"/>
      <c r="R6" s="172"/>
    </row>
    <row r="7" spans="1:18" ht="21" customHeight="1" thickBot="1" x14ac:dyDescent="0.2">
      <c r="A7" s="39" t="str">
        <f t="shared" si="1"/>
        <v>40034001_40034305</v>
      </c>
      <c r="B7" s="168">
        <v>40034001</v>
      </c>
      <c r="C7" s="132">
        <v>40034305</v>
      </c>
      <c r="D7" s="169" t="str">
        <f ca="1">VLOOKUP($C7,OFFSET(enemy_skills!$A$1,0,0,COUNTA(enemy_skills!$A:$A),MATCH(D$1,enemy_skills!$1:$1,0)-MATCH("enemy_skill_id",enemy_skills!$1:$1,0)+1),MATCH(D$1,enemy_skills!$1:$1,0)-MATCH("enemy_skill_id",enemy_skills!$1:$1,0)+1,FALSE)</f>
        <v>ココハ　ツウコウドメ　ダ_x000D_サッサト　アキラメルンダナ</v>
      </c>
      <c r="E7" s="169" t="str">
        <f ca="1">VLOOKUP($C7,OFFSET(enemy_skills!$A$1,0,0,COUNTA(enemy_skills!$A:$A),MATCH(E$1,enemy_skills!$1:$1,0)-MATCH("enemy_skill_id",enemy_skills!$1:$1,0)+1),MATCH(E$1,enemy_skills!$1:$1,0)-MATCH("enemy_skill_id",enemy_skills!$1:$1,0)+1,FALSE)</f>
        <v>ヴリトラの警戒対象が_x000D_こちらに変わったようだ！</v>
      </c>
      <c r="F7" s="132">
        <v>40034605</v>
      </c>
      <c r="G7" s="136">
        <f ca="1">VLOOKUP($F7,OFFSET(enemy_skill_triggers!$A$1,0,0,COUNTA(enemy_skill_triggers!$A:$A),MATCH(G$1,enemy_skill_triggers!$1:$1,0)-MATCH($F$1,enemy_skill_triggers!$1:$1,0)+1),MATCH(G$1,enemy_skill_triggers!$1:$1,0)-MATCH($F$1,enemy_skill_triggers!$1:$1,0)+1,FALSE)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" s="136">
        <f ca="1">VLOOKUP($F7,OFFSET(enemy_skill_triggers!$A$1,0,0,COUNTA(enemy_skill_triggers!$A:$A),MATCH(H$1,enemy_skill_triggers!$1:$1,0)-MATCH($F$1,enemy_skill_triggers!$1:$1,0)+1),MATCH(H$1,enemy_skill_triggers!$1:$1,0)-MATCH($F$1,enemy_skill_triggers!$1:$1,0)+1,FALSE)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" s="136">
        <f ca="1">VLOOKUP($F7,OFFSET(enemy_skill_triggers!$A$1,0,0,COUNTA(enemy_skill_triggers!$A:$A),MATCH(I$1,enemy_skill_triggers!$1:$1,0)-MATCH($F$1,enemy_skill_triggers!$1:$1,0)+1),MATCH(I$1,enemy_skill_triggers!$1:$1,0)-MATCH($F$1,enemy_skill_triggers!$1:$1,0)+1,FALSE)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" s="136" t="str">
        <f ca="1">VLOOKUP($F7,OFFSET(enemy_skill_triggers!$A$1,0,0,COUNTA(enemy_skill_triggers!$A:$A),MATCH(J$1,enemy_skill_triggers!$1:$1,0)-MATCH($F$1,enemy_skill_triggers!$1:$1,0)+1),MATCH(J$1,enemy_skill_triggers!$1:$1,0)-MATCH($F$1,enemy_skill_triggers!$1:$1,0)+1,FALSE)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" s="136" t="str">
        <f ca="1">VLOOKUP($F7,OFFSET(enemy_skill_triggers!$A$1,0,0,COUNTA(enemy_skill_triggers!$A:$A),MATCH(K$1,enemy_skill_triggers!$1:$1,0)-MATCH($F$1,enemy_skill_triggers!$1:$1,0)+1),MATCH(K$1,enemy_skill_triggers!$1:$1,0)-MATCH($F$1,enemy_skill_triggers!$1:$1,0)+1,FALSE)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" s="136">
        <f ca="1">VLOOKUP($F7,OFFSET(enemy_skill_triggers!$A$1,0,0,COUNTA(enemy_skill_triggers!$A:$A),MATCH(L$1,enemy_skill_triggers!$1:$1,0)-MATCH($F$1,enemy_skill_triggers!$1:$1,0)+1),MATCH(L$1,enemy_skill_triggers!$1:$1,0)-MATCH($F$1,enemy_skill_triggers!$1:$1,0)+1,FALSE)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" s="136" t="str">
        <f ca="1">VLOOKUP($F7,OFFSET(enemy_skill_triggers!$A$1,0,0,COUNTA(enemy_skill_triggers!$A:$A),MATCH(M$1,enemy_skill_triggers!$1:$1,0)-MATCH($F$1,enemy_skill_triggers!$1:$1,0)+1),MATCH(M$1,enemy_skill_triggers!$1:$1,0)-MATCH($F$1,enemy_skill_triggers!$1:$1,0)+1,FALSE)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" s="136" t="str">
        <f ca="1">VLOOKUP($F7,OFFSET(enemy_skill_triggers!$A$1,0,0,COUNTA(enemy_skill_triggers!$A:$A),MATCH(N$1,enemy_skill_triggers!$1:$1,0)-MATCH($F$1,enemy_skill_triggers!$1:$1,0)+1),MATCH(N$1,enemy_skill_triggers!$1:$1,0)-MATCH($F$1,enemy_skill_triggers!$1:$1,0)+1,FALSE)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" s="136">
        <f ca="1">VLOOKUP($F7,OFFSET(enemy_skill_triggers!$A$1,0,0,COUNTA(enemy_skill_triggers!$A:$A),MATCH(O$1,enemy_skill_triggers!$1:$1,0)-MATCH($F$1,enemy_skill_triggers!$1:$1,0)+1),MATCH(O$1,enemy_skill_triggers!$1:$1,0)-MATCH($F$1,enemy_skill_triggers!$1:$1,0)+1,FALSE)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" s="132"/>
      <c r="Q7" s="132"/>
      <c r="R7" s="170"/>
    </row>
    <row r="8" spans="1:18" ht="21" customHeight="1" x14ac:dyDescent="0.15">
      <c r="A8" s="39" t="str">
        <f t="shared" si="1"/>
        <v>40034002_40034306</v>
      </c>
      <c r="B8" s="157">
        <v>40034002</v>
      </c>
      <c r="C8" s="157">
        <v>40034306</v>
      </c>
      <c r="D8" s="165" t="str">
        <f ca="1">VLOOKUP($C8,OFFSET(enemy_skills!$A$1,0,0,COUNTA(enemy_skills!$A:$A),MATCH(D$1,enemy_skills!$1:$1,0)-MATCH("enemy_skill_id",enemy_skills!$1:$1,0)+1),MATCH(D$1,enemy_skills!$1:$1,0)-MATCH("enemy_skill_id",enemy_skills!$1:$1,0)+1,FALSE)</f>
        <v>ハカイ！バクハ！サイコウ！！</v>
      </c>
      <c r="E8" s="165" t="str">
        <f ca="1">VLOOKUP($C8,OFFSET(enemy_skills!$A$1,0,0,COUNTA(enemy_skills!$A:$A),MATCH(E$1,enemy_skills!$1:$1,0)-MATCH("enemy_skill_id",enemy_skills!$1:$1,0)+1),MATCH(E$1,enemy_skills!$1:$1,0)-MATCH("enemy_skill_id",enemy_skills!$1:$1,0)+1,FALSE)</f>
        <v>緑パネルを吸収して_x000D_3ターン攻撃力UP(最大10個)</v>
      </c>
      <c r="F8" s="157">
        <v>40034606</v>
      </c>
      <c r="G8" s="158">
        <f ca="1">VLOOKUP($F8,OFFSET(enemy_skill_triggers!$A$1,0,0,COUNTA(enemy_skill_triggers!$A:$A),MATCH(G$1,enemy_skill_triggers!$1:$1,0)-MATCH($F$1,enemy_skill_triggers!$1:$1,0)+1),MATCH(G$1,enemy_skill_triggers!$1:$1,0)-MATCH($F$1,enemy_skill_triggers!$1:$1,0)+1,FALSE)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" s="158">
        <f ca="1">VLOOKUP($F8,OFFSET(enemy_skill_triggers!$A$1,0,0,COUNTA(enemy_skill_triggers!$A:$A),MATCH(H$1,enemy_skill_triggers!$1:$1,0)-MATCH($F$1,enemy_skill_triggers!$1:$1,0)+1),MATCH(H$1,enemy_skill_triggers!$1:$1,0)-MATCH($F$1,enemy_skill_triggers!$1:$1,0)+1,FALSE)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" s="158">
        <f ca="1">VLOOKUP($F8,OFFSET(enemy_skill_triggers!$A$1,0,0,COUNTA(enemy_skill_triggers!$A:$A),MATCH(I$1,enemy_skill_triggers!$1:$1,0)-MATCH($F$1,enemy_skill_triggers!$1:$1,0)+1),MATCH(I$1,enemy_skill_triggers!$1:$1,0)-MATCH($F$1,enemy_skill_triggers!$1:$1,0)+1,FALSE)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" s="158" t="str">
        <f ca="1">VLOOKUP($F8,OFFSET(enemy_skill_triggers!$A$1,0,0,COUNTA(enemy_skill_triggers!$A:$A),MATCH(J$1,enemy_skill_triggers!$1:$1,0)-MATCH($F$1,enemy_skill_triggers!$1:$1,0)+1),MATCH(J$1,enemy_skill_triggers!$1:$1,0)-MATCH($F$1,enemy_skill_triggers!$1:$1,0)+1,FALSE)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" s="158" t="str">
        <f ca="1">VLOOKUP($F8,OFFSET(enemy_skill_triggers!$A$1,0,0,COUNTA(enemy_skill_triggers!$A:$A),MATCH(K$1,enemy_skill_triggers!$1:$1,0)-MATCH($F$1,enemy_skill_triggers!$1:$1,0)+1),MATCH(K$1,enemy_skill_triggers!$1:$1,0)-MATCH($F$1,enemy_skill_triggers!$1:$1,0)+1,FALSE)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" s="158">
        <f ca="1">VLOOKUP($F8,OFFSET(enemy_skill_triggers!$A$1,0,0,COUNTA(enemy_skill_triggers!$A:$A),MATCH(L$1,enemy_skill_triggers!$1:$1,0)-MATCH($F$1,enemy_skill_triggers!$1:$1,0)+1),MATCH(L$1,enemy_skill_triggers!$1:$1,0)-MATCH($F$1,enemy_skill_triggers!$1:$1,0)+1,FALSE)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" s="158" t="str">
        <f ca="1">VLOOKUP($F8,OFFSET(enemy_skill_triggers!$A$1,0,0,COUNTA(enemy_skill_triggers!$A:$A),MATCH(M$1,enemy_skill_triggers!$1:$1,0)-MATCH($F$1,enemy_skill_triggers!$1:$1,0)+1),MATCH(M$1,enemy_skill_triggers!$1:$1,0)-MATCH($F$1,enemy_skill_triggers!$1:$1,0)+1,FALSE)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" s="158" t="str">
        <f ca="1">VLOOKUP($F8,OFFSET(enemy_skill_triggers!$A$1,0,0,COUNTA(enemy_skill_triggers!$A:$A),MATCH(N$1,enemy_skill_triggers!$1:$1,0)-MATCH($F$1,enemy_skill_triggers!$1:$1,0)+1),MATCH(N$1,enemy_skill_triggers!$1:$1,0)-MATCH($F$1,enemy_skill_triggers!$1:$1,0)+1,FALSE)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" s="158">
        <f ca="1">VLOOKUP($F8,OFFSET(enemy_skill_triggers!$A$1,0,0,COUNTA(enemy_skill_triggers!$A:$A),MATCH(O$1,enemy_skill_triggers!$1:$1,0)-MATCH($F$1,enemy_skill_triggers!$1:$1,0)+1),MATCH(O$1,enemy_skill_triggers!$1:$1,0)-MATCH($F$1,enemy_skill_triggers!$1:$1,0)+1,FALSE)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" s="157"/>
      <c r="Q8" s="157"/>
      <c r="R8" s="157"/>
    </row>
    <row r="9" spans="1:18" ht="21" customHeight="1" x14ac:dyDescent="0.15">
      <c r="A9" s="39" t="str">
        <f t="shared" si="1"/>
        <v>40034002_40034307</v>
      </c>
      <c r="B9" s="43">
        <v>40034002</v>
      </c>
      <c r="C9" s="43">
        <v>40034307</v>
      </c>
      <c r="D9" s="42" t="str">
        <f ca="1">VLOOKUP($C9,OFFSET(enemy_skills!$A$1,0,0,COUNTA(enemy_skills!$A:$A),MATCH(D$1,enemy_skills!$1:$1,0)-MATCH("enemy_skill_id",enemy_skills!$1:$1,0)+1),MATCH(D$1,enemy_skills!$1:$1,0)-MATCH("enemy_skill_id",enemy_skills!$1:$1,0)+1,FALSE)</f>
        <v>ドーン！ドカーン！ワハハ！</v>
      </c>
      <c r="E9" s="42" t="str">
        <f ca="1">VLOOKUP($C9,OFFSET(enemy_skills!$A$1,0,0,COUNTA(enemy_skills!$A:$A),MATCH(E$1,enemy_skills!$1:$1,0)-MATCH("enemy_skill_id",enemy_skills!$1:$1,0)+1),MATCH(E$1,enemy_skills!$1:$1,0)-MATCH("enemy_skill_id",enemy_skills!$1:$1,0)+1,FALSE)</f>
        <v>4ターン全ユニット回復力60%DOWN_x000D_+連続攻撃</v>
      </c>
      <c r="F9" s="43">
        <v>40034607</v>
      </c>
      <c r="G9" s="44">
        <f ca="1">VLOOKUP($F9,OFFSET(enemy_skill_triggers!$A$1,0,0,COUNTA(enemy_skill_triggers!$A:$A),MATCH(G$1,enemy_skill_triggers!$1:$1,0)-MATCH($F$1,enemy_skill_triggers!$1:$1,0)+1),MATCH(G$1,enemy_skill_triggers!$1:$1,0)-MATCH($F$1,enemy_skill_triggers!$1:$1,0)+1,FALSE)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" s="44">
        <f ca="1">VLOOKUP($F9,OFFSET(enemy_skill_triggers!$A$1,0,0,COUNTA(enemy_skill_triggers!$A:$A),MATCH(H$1,enemy_skill_triggers!$1:$1,0)-MATCH($F$1,enemy_skill_triggers!$1:$1,0)+1),MATCH(H$1,enemy_skill_triggers!$1:$1,0)-MATCH($F$1,enemy_skill_triggers!$1:$1,0)+1,FALSE)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" s="44">
        <f ca="1">VLOOKUP($F9,OFFSET(enemy_skill_triggers!$A$1,0,0,COUNTA(enemy_skill_triggers!$A:$A),MATCH(I$1,enemy_skill_triggers!$1:$1,0)-MATCH($F$1,enemy_skill_triggers!$1:$1,0)+1),MATCH(I$1,enemy_skill_triggers!$1:$1,0)-MATCH($F$1,enemy_skill_triggers!$1:$1,0)+1,FALSE)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9" s="44" t="str">
        <f ca="1">VLOOKUP($F9,OFFSET(enemy_skill_triggers!$A$1,0,0,COUNTA(enemy_skill_triggers!$A:$A),MATCH(J$1,enemy_skill_triggers!$1:$1,0)-MATCH($F$1,enemy_skill_triggers!$1:$1,0)+1),MATCH(J$1,enemy_skill_triggers!$1:$1,0)-MATCH($F$1,enemy_skill_triggers!$1:$1,0)+1,FALSE)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" s="44" t="str">
        <f ca="1">VLOOKUP($F9,OFFSET(enemy_skill_triggers!$A$1,0,0,COUNTA(enemy_skill_triggers!$A:$A),MATCH(K$1,enemy_skill_triggers!$1:$1,0)-MATCH($F$1,enemy_skill_triggers!$1:$1,0)+1),MATCH(K$1,enemy_skill_triggers!$1:$1,0)-MATCH($F$1,enemy_skill_triggers!$1:$1,0)+1,FALSE)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" s="44" t="str">
        <f ca="1">VLOOKUP($F9,OFFSET(enemy_skill_triggers!$A$1,0,0,COUNTA(enemy_skill_triggers!$A:$A),MATCH(L$1,enemy_skill_triggers!$1:$1,0)-MATCH($F$1,enemy_skill_triggers!$1:$1,0)+1),MATCH(L$1,enemy_skill_triggers!$1:$1,0)-MATCH($F$1,enemy_skill_triggers!$1:$1,0)+1,FALSE)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9" s="44" t="str">
        <f ca="1">VLOOKUP($F9,OFFSET(enemy_skill_triggers!$A$1,0,0,COUNTA(enemy_skill_triggers!$A:$A),MATCH(M$1,enemy_skill_triggers!$1:$1,0)-MATCH($F$1,enemy_skill_triggers!$1:$1,0)+1),MATCH(M$1,enemy_skill_triggers!$1:$1,0)-MATCH($F$1,enemy_skill_triggers!$1:$1,0)+1,FALSE)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" s="44" t="str">
        <f ca="1">VLOOKUP($F9,OFFSET(enemy_skill_triggers!$A$1,0,0,COUNTA(enemy_skill_triggers!$A:$A),MATCH(N$1,enemy_skill_triggers!$1:$1,0)-MATCH($F$1,enemy_skill_triggers!$1:$1,0)+1),MATCH(N$1,enemy_skill_triggers!$1:$1,0)-MATCH($F$1,enemy_skill_triggers!$1:$1,0)+1,FALSE)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" s="44">
        <f ca="1">VLOOKUP($F9,OFFSET(enemy_skill_triggers!$A$1,0,0,COUNTA(enemy_skill_triggers!$A:$A),MATCH(O$1,enemy_skill_triggers!$1:$1,0)-MATCH($F$1,enemy_skill_triggers!$1:$1,0)+1),MATCH(O$1,enemy_skill_triggers!$1:$1,0)-MATCH($F$1,enemy_skill_triggers!$1:$1,0)+1,FALSE)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9" s="43"/>
      <c r="Q9" s="43"/>
      <c r="R9" s="43"/>
    </row>
    <row r="10" spans="1:18" ht="21" customHeight="1" x14ac:dyDescent="0.15">
      <c r="A10" s="39" t="str">
        <f t="shared" si="1"/>
        <v>40034002_40034308</v>
      </c>
      <c r="B10" s="43">
        <v>40034002</v>
      </c>
      <c r="C10" s="43">
        <v>40034308</v>
      </c>
      <c r="D10" s="42" t="str">
        <f ca="1">VLOOKUP($C10,OFFSET(enemy_skills!$A$1,0,0,COUNTA(enemy_skills!$A:$A),MATCH(D$1,enemy_skills!$1:$1,0)-MATCH("enemy_skill_id",enemy_skills!$1:$1,0)+1),MATCH(D$1,enemy_skills!$1:$1,0)-MATCH("enemy_skill_id",enemy_skills!$1:$1,0)+1,FALSE)</f>
        <v>ギャハハハ！ケシトベ！</v>
      </c>
      <c r="E10" s="42" t="str">
        <f ca="1">VLOOKUP($C10,OFFSET(enemy_skills!$A$1,0,0,COUNTA(enemy_skills!$A:$A),MATCH(E$1,enemy_skills!$1:$1,0)-MATCH("enemy_skill_id",enemy_skills!$1:$1,0)+1),MATCH(E$1,enemy_skills!$1:$1,0)-MATCH("enemy_skill_id",enemy_skills!$1:$1,0)+1,FALSE)</f>
        <v>種族Unknownに大ダメージの全体攻撃</v>
      </c>
      <c r="F10" s="43">
        <v>40034608</v>
      </c>
      <c r="G10" s="44">
        <f ca="1">VLOOKUP($F10,OFFSET(enemy_skill_triggers!$A$1,0,0,COUNTA(enemy_skill_triggers!$A:$A),MATCH(G$1,enemy_skill_triggers!$1:$1,0)-MATCH($F$1,enemy_skill_triggers!$1:$1,0)+1),MATCH(G$1,enemy_skill_triggers!$1:$1,0)-MATCH($F$1,enemy_skill_triggers!$1:$1,0)+1,FALSE)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" s="44">
        <f ca="1">VLOOKUP($F10,OFFSET(enemy_skill_triggers!$A$1,0,0,COUNTA(enemy_skill_triggers!$A:$A),MATCH(H$1,enemy_skill_triggers!$1:$1,0)-MATCH($F$1,enemy_skill_triggers!$1:$1,0)+1),MATCH(H$1,enemy_skill_triggers!$1:$1,0)-MATCH($F$1,enemy_skill_triggers!$1:$1,0)+1,FALSE)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0" s="44">
        <f ca="1">VLOOKUP($F10,OFFSET(enemy_skill_triggers!$A$1,0,0,COUNTA(enemy_skill_triggers!$A:$A),MATCH(I$1,enemy_skill_triggers!$1:$1,0)-MATCH($F$1,enemy_skill_triggers!$1:$1,0)+1),MATCH(I$1,enemy_skill_triggers!$1:$1,0)-MATCH($F$1,enemy_skill_triggers!$1:$1,0)+1,FALSE)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" s="44" t="str">
        <f ca="1">VLOOKUP($F10,OFFSET(enemy_skill_triggers!$A$1,0,0,COUNTA(enemy_skill_triggers!$A:$A),MATCH(J$1,enemy_skill_triggers!$1:$1,0)-MATCH($F$1,enemy_skill_triggers!$1:$1,0)+1),MATCH(J$1,enemy_skill_triggers!$1:$1,0)-MATCH($F$1,enemy_skill_triggers!$1:$1,0)+1,FALSE)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" s="44" t="str">
        <f ca="1">VLOOKUP($F10,OFFSET(enemy_skill_triggers!$A$1,0,0,COUNTA(enemy_skill_triggers!$A:$A),MATCH(K$1,enemy_skill_triggers!$1:$1,0)-MATCH($F$1,enemy_skill_triggers!$1:$1,0)+1),MATCH(K$1,enemy_skill_triggers!$1:$1,0)-MATCH($F$1,enemy_skill_triggers!$1:$1,0)+1,FALSE)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" s="44" t="str">
        <f ca="1">VLOOKUP($F10,OFFSET(enemy_skill_triggers!$A$1,0,0,COUNTA(enemy_skill_triggers!$A:$A),MATCH(L$1,enemy_skill_triggers!$1:$1,0)-MATCH($F$1,enemy_skill_triggers!$1:$1,0)+1),MATCH(L$1,enemy_skill_triggers!$1:$1,0)-MATCH($F$1,enemy_skill_triggers!$1:$1,0)+1,FALSE)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" s="44" t="str">
        <f ca="1">VLOOKUP($F10,OFFSET(enemy_skill_triggers!$A$1,0,0,COUNTA(enemy_skill_triggers!$A:$A),MATCH(M$1,enemy_skill_triggers!$1:$1,0)-MATCH($F$1,enemy_skill_triggers!$1:$1,0)+1),MATCH(M$1,enemy_skill_triggers!$1:$1,0)-MATCH($F$1,enemy_skill_triggers!$1:$1,0)+1,FALSE)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" s="44" t="str">
        <f ca="1">VLOOKUP($F10,OFFSET(enemy_skill_triggers!$A$1,0,0,COUNTA(enemy_skill_triggers!$A:$A),MATCH(N$1,enemy_skill_triggers!$1:$1,0)-MATCH($F$1,enemy_skill_triggers!$1:$1,0)+1),MATCH(N$1,enemy_skill_triggers!$1:$1,0)-MATCH($F$1,enemy_skill_triggers!$1:$1,0)+1,FALSE)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" s="44">
        <f ca="1">VLOOKUP($F10,OFFSET(enemy_skill_triggers!$A$1,0,0,COUNTA(enemy_skill_triggers!$A:$A),MATCH(O$1,enemy_skill_triggers!$1:$1,0)-MATCH($F$1,enemy_skill_triggers!$1:$1,0)+1),MATCH(O$1,enemy_skill_triggers!$1:$1,0)-MATCH($F$1,enemy_skill_triggers!$1:$1,0)+1,FALSE)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" s="43"/>
      <c r="Q10" s="43"/>
      <c r="R10" s="43"/>
    </row>
    <row r="11" spans="1:18" ht="21" customHeight="1" thickBot="1" x14ac:dyDescent="0.2">
      <c r="A11" s="39" t="str">
        <f t="shared" si="1"/>
        <v>40034002_40034309</v>
      </c>
      <c r="B11" s="163">
        <v>40034002</v>
      </c>
      <c r="C11" s="163">
        <v>40034309</v>
      </c>
      <c r="D11" s="164" t="str">
        <f ca="1">VLOOKUP($C11,OFFSET(enemy_skills!$A$1,0,0,COUNTA(enemy_skills!$A:$A),MATCH(D$1,enemy_skills!$1:$1,0)-MATCH("enemy_skill_id",enemy_skills!$1:$1,0)+1),MATCH(D$1,enemy_skills!$1:$1,0)-MATCH("enemy_skill_id",enemy_skills!$1:$1,0)+1,FALSE)</f>
        <v>ギャハ！！ニゲロニゲロ！</v>
      </c>
      <c r="E11" s="164" t="str">
        <f ca="1">VLOOKUP($C11,OFFSET(enemy_skills!$A$1,0,0,COUNTA(enemy_skills!$A:$A),MATCH(E$1,enemy_skills!$1:$1,0)-MATCH("enemy_skill_id",enemy_skills!$1:$1,0)+1),MATCH(E$1,enemy_skills!$1:$1,0)-MATCH("enemy_skill_id",enemy_skills!$1:$1,0)+1,FALSE)</f>
        <v>4ターン全ユニットの攻撃力50%DOWN_x000D_+全体攻撃</v>
      </c>
      <c r="F11" s="163">
        <v>40034609</v>
      </c>
      <c r="G11" s="146">
        <f ca="1">VLOOKUP($F11,OFFSET(enemy_skill_triggers!$A$1,0,0,COUNTA(enemy_skill_triggers!$A:$A),MATCH(G$1,enemy_skill_triggers!$1:$1,0)-MATCH($F$1,enemy_skill_triggers!$1:$1,0)+1),MATCH(G$1,enemy_skill_triggers!$1:$1,0)-MATCH($F$1,enemy_skill_triggers!$1:$1,0)+1,FALSE)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1" s="146">
        <f ca="1">VLOOKUP($F11,OFFSET(enemy_skill_triggers!$A$1,0,0,COUNTA(enemy_skill_triggers!$A:$A),MATCH(H$1,enemy_skill_triggers!$1:$1,0)-MATCH($F$1,enemy_skill_triggers!$1:$1,0)+1),MATCH(H$1,enemy_skill_triggers!$1:$1,0)-MATCH($F$1,enemy_skill_triggers!$1:$1,0)+1,FALSE)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1" s="146">
        <f ca="1">VLOOKUP($F11,OFFSET(enemy_skill_triggers!$A$1,0,0,COUNTA(enemy_skill_triggers!$A:$A),MATCH(I$1,enemy_skill_triggers!$1:$1,0)-MATCH($F$1,enemy_skill_triggers!$1:$1,0)+1),MATCH(I$1,enemy_skill_triggers!$1:$1,0)-MATCH($F$1,enemy_skill_triggers!$1:$1,0)+1,FALSE)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1" s="146" t="str">
        <f ca="1">VLOOKUP($F11,OFFSET(enemy_skill_triggers!$A$1,0,0,COUNTA(enemy_skill_triggers!$A:$A),MATCH(J$1,enemy_skill_triggers!$1:$1,0)-MATCH($F$1,enemy_skill_triggers!$1:$1,0)+1),MATCH(J$1,enemy_skill_triggers!$1:$1,0)-MATCH($F$1,enemy_skill_triggers!$1:$1,0)+1,FALSE)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1" s="146" t="str">
        <f ca="1">VLOOKUP($F11,OFFSET(enemy_skill_triggers!$A$1,0,0,COUNTA(enemy_skill_triggers!$A:$A),MATCH(K$1,enemy_skill_triggers!$1:$1,0)-MATCH($F$1,enemy_skill_triggers!$1:$1,0)+1),MATCH(K$1,enemy_skill_triggers!$1:$1,0)-MATCH($F$1,enemy_skill_triggers!$1:$1,0)+1,FALSE)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1" s="146" t="str">
        <f ca="1">VLOOKUP($F11,OFFSET(enemy_skill_triggers!$A$1,0,0,COUNTA(enemy_skill_triggers!$A:$A),MATCH(L$1,enemy_skill_triggers!$1:$1,0)-MATCH($F$1,enemy_skill_triggers!$1:$1,0)+1),MATCH(L$1,enemy_skill_triggers!$1:$1,0)-MATCH($F$1,enemy_skill_triggers!$1:$1,0)+1,FALSE)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1" s="146" t="str">
        <f ca="1">VLOOKUP($F11,OFFSET(enemy_skill_triggers!$A$1,0,0,COUNTA(enemy_skill_triggers!$A:$A),MATCH(M$1,enemy_skill_triggers!$1:$1,0)-MATCH($F$1,enemy_skill_triggers!$1:$1,0)+1),MATCH(M$1,enemy_skill_triggers!$1:$1,0)-MATCH($F$1,enemy_skill_triggers!$1:$1,0)+1,FALSE)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1" s="146" t="str">
        <f ca="1">VLOOKUP($F11,OFFSET(enemy_skill_triggers!$A$1,0,0,COUNTA(enemy_skill_triggers!$A:$A),MATCH(N$1,enemy_skill_triggers!$1:$1,0)-MATCH($F$1,enemy_skill_triggers!$1:$1,0)+1),MATCH(N$1,enemy_skill_triggers!$1:$1,0)-MATCH($F$1,enemy_skill_triggers!$1:$1,0)+1,FALSE)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1" s="146">
        <f ca="1">VLOOKUP($F11,OFFSET(enemy_skill_triggers!$A$1,0,0,COUNTA(enemy_skill_triggers!$A:$A),MATCH(O$1,enemy_skill_triggers!$1:$1,0)-MATCH($F$1,enemy_skill_triggers!$1:$1,0)+1),MATCH(O$1,enemy_skill_triggers!$1:$1,0)-MATCH($F$1,enemy_skill_triggers!$1:$1,0)+1,FALSE)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1" s="163"/>
      <c r="Q11" s="163"/>
      <c r="R11" s="163"/>
    </row>
    <row r="12" spans="1:18" ht="21" customHeight="1" x14ac:dyDescent="0.15">
      <c r="A12" s="39" t="str">
        <f t="shared" si="1"/>
        <v>40034003_40034310</v>
      </c>
      <c r="B12" s="123">
        <v>40034003</v>
      </c>
      <c r="C12" s="124">
        <v>40034310</v>
      </c>
      <c r="D12" s="166" t="str">
        <f ca="1">VLOOKUP($C12,OFFSET(enemy_skills!$A$1,0,0,COUNTA(enemy_skills!$A:$A),MATCH(D$1,enemy_skills!$1:$1,0)-MATCH("enemy_skill_id",enemy_skills!$1:$1,0)+1),MATCH(D$1,enemy_skills!$1:$1,0)-MATCH("enemy_skill_id",enemy_skills!$1:$1,0)+1,FALSE)</f>
        <v>…早く…あの女と別れてよ…シヴァ様…</v>
      </c>
      <c r="E12" s="166" t="str">
        <f ca="1">VLOOKUP($C12,OFFSET(enemy_skills!$A$1,0,0,COUNTA(enemy_skills!$A:$A),MATCH(E$1,enemy_skills!$1:$1,0)-MATCH("enemy_skill_id",enemy_skills!$1:$1,0)+1),MATCH(E$1,enemy_skills!$1:$1,0)-MATCH("enemy_skill_id",enemy_skills!$1:$1,0)+1,FALSE)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2" s="124">
        <v>40034610</v>
      </c>
      <c r="G12" s="128">
        <f ca="1">VLOOKUP($F12,OFFSET(enemy_skill_triggers!$A$1,0,0,COUNTA(enemy_skill_triggers!$A:$A),MATCH(G$1,enemy_skill_triggers!$1:$1,0)-MATCH($F$1,enemy_skill_triggers!$1:$1,0)+1),MATCH(G$1,enemy_skill_triggers!$1:$1,0)-MATCH($F$1,enemy_skill_triggers!$1:$1,0)+1,FALSE)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2" s="128">
        <f ca="1">VLOOKUP($F12,OFFSET(enemy_skill_triggers!$A$1,0,0,COUNTA(enemy_skill_triggers!$A:$A),MATCH(H$1,enemy_skill_triggers!$1:$1,0)-MATCH($F$1,enemy_skill_triggers!$1:$1,0)+1),MATCH(H$1,enemy_skill_triggers!$1:$1,0)-MATCH($F$1,enemy_skill_triggers!$1:$1,0)+1,FALSE)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12" s="128">
        <f ca="1">VLOOKUP($F12,OFFSET(enemy_skill_triggers!$A$1,0,0,COUNTA(enemy_skill_triggers!$A:$A),MATCH(I$1,enemy_skill_triggers!$1:$1,0)-MATCH($F$1,enemy_skill_triggers!$1:$1,0)+1),MATCH(I$1,enemy_skill_triggers!$1:$1,0)-MATCH($F$1,enemy_skill_triggers!$1:$1,0)+1,FALSE)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2" s="128" t="str">
        <f ca="1">VLOOKUP($F12,OFFSET(enemy_skill_triggers!$A$1,0,0,COUNTA(enemy_skill_triggers!$A:$A),MATCH(J$1,enemy_skill_triggers!$1:$1,0)-MATCH($F$1,enemy_skill_triggers!$1:$1,0)+1),MATCH(J$1,enemy_skill_triggers!$1:$1,0)-MATCH($F$1,enemy_skill_triggers!$1:$1,0)+1,FALSE)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2" s="128" t="str">
        <f ca="1">VLOOKUP($F12,OFFSET(enemy_skill_triggers!$A$1,0,0,COUNTA(enemy_skill_triggers!$A:$A),MATCH(K$1,enemy_skill_triggers!$1:$1,0)-MATCH($F$1,enemy_skill_triggers!$1:$1,0)+1),MATCH(K$1,enemy_skill_triggers!$1:$1,0)-MATCH($F$1,enemy_skill_triggers!$1:$1,0)+1,FALSE)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2" s="128">
        <f ca="1">VLOOKUP($F12,OFFSET(enemy_skill_triggers!$A$1,0,0,COUNTA(enemy_skill_triggers!$A:$A),MATCH(L$1,enemy_skill_triggers!$1:$1,0)-MATCH($F$1,enemy_skill_triggers!$1:$1,0)+1),MATCH(L$1,enemy_skill_triggers!$1:$1,0)-MATCH($F$1,enemy_skill_triggers!$1:$1,0)+1,FALSE)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2" s="128" t="str">
        <f ca="1">VLOOKUP($F12,OFFSET(enemy_skill_triggers!$A$1,0,0,COUNTA(enemy_skill_triggers!$A:$A),MATCH(M$1,enemy_skill_triggers!$1:$1,0)-MATCH($F$1,enemy_skill_triggers!$1:$1,0)+1),MATCH(M$1,enemy_skill_triggers!$1:$1,0)-MATCH($F$1,enemy_skill_triggers!$1:$1,0)+1,FALSE)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2" s="128" t="str">
        <f ca="1">VLOOKUP($F12,OFFSET(enemy_skill_triggers!$A$1,0,0,COUNTA(enemy_skill_triggers!$A:$A),MATCH(N$1,enemy_skill_triggers!$1:$1,0)-MATCH($F$1,enemy_skill_triggers!$1:$1,0)+1),MATCH(N$1,enemy_skill_triggers!$1:$1,0)-MATCH($F$1,enemy_skill_triggers!$1:$1,0)+1,FALSE)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2" s="128">
        <f ca="1">VLOOKUP($F12,OFFSET(enemy_skill_triggers!$A$1,0,0,COUNTA(enemy_skill_triggers!$A:$A),MATCH(O$1,enemy_skill_triggers!$1:$1,0)-MATCH($F$1,enemy_skill_triggers!$1:$1,0)+1),MATCH(O$1,enemy_skill_triggers!$1:$1,0)-MATCH($F$1,enemy_skill_triggers!$1:$1,0)+1,FALSE)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2" s="124"/>
      <c r="Q12" s="124"/>
      <c r="R12" s="167"/>
    </row>
    <row r="13" spans="1:18" ht="21" customHeight="1" x14ac:dyDescent="0.15">
      <c r="A13" s="39" t="str">
        <f t="shared" si="1"/>
        <v>40034003_40034311</v>
      </c>
      <c r="B13" s="171">
        <v>40034003</v>
      </c>
      <c r="C13" s="43">
        <v>40034311</v>
      </c>
      <c r="D13" s="42" t="str">
        <f ca="1">VLOOKUP($C13,OFFSET(enemy_skills!$A$1,0,0,COUNTA(enemy_skills!$A:$A),MATCH(D$1,enemy_skills!$1:$1,0)-MATCH("enemy_skill_id",enemy_skills!$1:$1,0)+1),MATCH(D$1,enemy_skills!$1:$1,0)-MATCH("enemy_skill_id",enemy_skills!$1:$1,0)+1,FALSE)</f>
        <v>…パール…ヴァティ……？_x000D_…早くシヴァ様と別れてね？</v>
      </c>
      <c r="E13" s="42" t="str">
        <f ca="1">VLOOKUP($C13,OFFSET(enemy_skills!$A$1,0,0,COUNTA(enemy_skills!$A:$A),MATCH(E$1,enemy_skills!$1:$1,0)-MATCH("enemy_skill_id",enemy_skills!$1:$1,0)+1),MATCH(E$1,enemy_skills!$1:$1,0)-MATCH("enemy_skill_id",enemy_skills!$1:$1,0)+1,FALSE)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3" s="43">
        <v>40034611</v>
      </c>
      <c r="G13" s="44">
        <f ca="1">VLOOKUP($F13,OFFSET(enemy_skill_triggers!$A$1,0,0,COUNTA(enemy_skill_triggers!$A:$A),MATCH(G$1,enemy_skill_triggers!$1:$1,0)-MATCH($F$1,enemy_skill_triggers!$1:$1,0)+1),MATCH(G$1,enemy_skill_triggers!$1:$1,0)-MATCH($F$1,enemy_skill_triggers!$1:$1,0)+1,FALSE)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3" s="44">
        <f ca="1">VLOOKUP($F13,OFFSET(enemy_skill_triggers!$A$1,0,0,COUNTA(enemy_skill_triggers!$A:$A),MATCH(H$1,enemy_skill_triggers!$1:$1,0)-MATCH($F$1,enemy_skill_triggers!$1:$1,0)+1),MATCH(H$1,enemy_skill_triggers!$1:$1,0)-MATCH($F$1,enemy_skill_triggers!$1:$1,0)+1,FALSE)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13" s="44">
        <f ca="1">VLOOKUP($F13,OFFSET(enemy_skill_triggers!$A$1,0,0,COUNTA(enemy_skill_triggers!$A:$A),MATCH(I$1,enemy_skill_triggers!$1:$1,0)-MATCH($F$1,enemy_skill_triggers!$1:$1,0)+1),MATCH(I$1,enemy_skill_triggers!$1:$1,0)-MATCH($F$1,enemy_skill_triggers!$1:$1,0)+1,FALSE)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3" s="44" t="str">
        <f ca="1">VLOOKUP($F13,OFFSET(enemy_skill_triggers!$A$1,0,0,COUNTA(enemy_skill_triggers!$A:$A),MATCH(J$1,enemy_skill_triggers!$1:$1,0)-MATCH($F$1,enemy_skill_triggers!$1:$1,0)+1),MATCH(J$1,enemy_skill_triggers!$1:$1,0)-MATCH($F$1,enemy_skill_triggers!$1:$1,0)+1,FALSE)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3" s="44" t="str">
        <f ca="1">VLOOKUP($F13,OFFSET(enemy_skill_triggers!$A$1,0,0,COUNTA(enemy_skill_triggers!$A:$A),MATCH(K$1,enemy_skill_triggers!$1:$1,0)-MATCH($F$1,enemy_skill_triggers!$1:$1,0)+1),MATCH(K$1,enemy_skill_triggers!$1:$1,0)-MATCH($F$1,enemy_skill_triggers!$1:$1,0)+1,FALSE)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3" s="44">
        <f ca="1">VLOOKUP($F13,OFFSET(enemy_skill_triggers!$A$1,0,0,COUNTA(enemy_skill_triggers!$A:$A),MATCH(L$1,enemy_skill_triggers!$1:$1,0)-MATCH($F$1,enemy_skill_triggers!$1:$1,0)+1),MATCH(L$1,enemy_skill_triggers!$1:$1,0)-MATCH($F$1,enemy_skill_triggers!$1:$1,0)+1,FALSE)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3" s="44" t="str">
        <f ca="1">VLOOKUP($F13,OFFSET(enemy_skill_triggers!$A$1,0,0,COUNTA(enemy_skill_triggers!$A:$A),MATCH(M$1,enemy_skill_triggers!$1:$1,0)-MATCH($F$1,enemy_skill_triggers!$1:$1,0)+1),MATCH(M$1,enemy_skill_triggers!$1:$1,0)-MATCH($F$1,enemy_skill_triggers!$1:$1,0)+1,FALSE)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3" s="44">
        <f ca="1">VLOOKUP($F13,OFFSET(enemy_skill_triggers!$A$1,0,0,COUNTA(enemy_skill_triggers!$A:$A),MATCH(N$1,enemy_skill_triggers!$1:$1,0)-MATCH($F$1,enemy_skill_triggers!$1:$1,0)+1),MATCH(N$1,enemy_skill_triggers!$1:$1,0)-MATCH($F$1,enemy_skill_triggers!$1:$1,0)+1,FALSE)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13" s="44">
        <f ca="1">VLOOKUP($F13,OFFSET(enemy_skill_triggers!$A$1,0,0,COUNTA(enemy_skill_triggers!$A:$A),MATCH(O$1,enemy_skill_triggers!$1:$1,0)-MATCH($F$1,enemy_skill_triggers!$1:$1,0)+1),MATCH(O$1,enemy_skill_triggers!$1:$1,0)-MATCH($F$1,enemy_skill_triggers!$1:$1,0)+1,FALSE)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3" s="43"/>
      <c r="Q13" s="43"/>
      <c r="R13" s="172"/>
    </row>
    <row r="14" spans="1:18" ht="21" customHeight="1" x14ac:dyDescent="0.15">
      <c r="A14" s="39" t="str">
        <f t="shared" si="1"/>
        <v>40034003_40034311</v>
      </c>
      <c r="B14" s="171">
        <v>40034003</v>
      </c>
      <c r="C14" s="43">
        <v>40034311</v>
      </c>
      <c r="D14" s="42" t="str">
        <f ca="1">VLOOKUP($C14,OFFSET(enemy_skills!$A$1,0,0,COUNTA(enemy_skills!$A:$A),MATCH(D$1,enemy_skills!$1:$1,0)-MATCH("enemy_skill_id",enemy_skills!$1:$1,0)+1),MATCH(D$1,enemy_skills!$1:$1,0)-MATCH("enemy_skill_id",enemy_skills!$1:$1,0)+1,FALSE)</f>
        <v>…パール…ヴァティ……？_x000D_…早くシヴァ様と別れてね？</v>
      </c>
      <c r="E14" s="42" t="str">
        <f ca="1">VLOOKUP($C14,OFFSET(enemy_skills!$A$1,0,0,COUNTA(enemy_skills!$A:$A),MATCH(E$1,enemy_skills!$1:$1,0)-MATCH("enemy_skill_id",enemy_skills!$1:$1,0)+1),MATCH(E$1,enemy_skills!$1:$1,0)-MATCH("enemy_skill_id",enemy_skills!$1:$1,0)+1,FALSE)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4" s="43">
        <v>40034612</v>
      </c>
      <c r="G14" s="44">
        <f ca="1">VLOOKUP($F14,OFFSET(enemy_skill_triggers!$A$1,0,0,COUNTA(enemy_skill_triggers!$A:$A),MATCH(G$1,enemy_skill_triggers!$1:$1,0)-MATCH($F$1,enemy_skill_triggers!$1:$1,0)+1),MATCH(G$1,enemy_skill_triggers!$1:$1,0)-MATCH($F$1,enemy_skill_triggers!$1:$1,0)+1,FALSE)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4" s="44">
        <f ca="1">VLOOKUP($F14,OFFSET(enemy_skill_triggers!$A$1,0,0,COUNTA(enemy_skill_triggers!$A:$A),MATCH(H$1,enemy_skill_triggers!$1:$1,0)-MATCH($F$1,enemy_skill_triggers!$1:$1,0)+1),MATCH(H$1,enemy_skill_triggers!$1:$1,0)-MATCH($F$1,enemy_skill_triggers!$1:$1,0)+1,FALSE)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14" s="44">
        <f ca="1">VLOOKUP($F14,OFFSET(enemy_skill_triggers!$A$1,0,0,COUNTA(enemy_skill_triggers!$A:$A),MATCH(I$1,enemy_skill_triggers!$1:$1,0)-MATCH($F$1,enemy_skill_triggers!$1:$1,0)+1),MATCH(I$1,enemy_skill_triggers!$1:$1,0)-MATCH($F$1,enemy_skill_triggers!$1:$1,0)+1,FALSE)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4" s="44" t="str">
        <f ca="1">VLOOKUP($F14,OFFSET(enemy_skill_triggers!$A$1,0,0,COUNTA(enemy_skill_triggers!$A:$A),MATCH(J$1,enemy_skill_triggers!$1:$1,0)-MATCH($F$1,enemy_skill_triggers!$1:$1,0)+1),MATCH(J$1,enemy_skill_triggers!$1:$1,0)-MATCH($F$1,enemy_skill_triggers!$1:$1,0)+1,FALSE)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4" s="44" t="str">
        <f ca="1">VLOOKUP($F14,OFFSET(enemy_skill_triggers!$A$1,0,0,COUNTA(enemy_skill_triggers!$A:$A),MATCH(K$1,enemy_skill_triggers!$1:$1,0)-MATCH($F$1,enemy_skill_triggers!$1:$1,0)+1),MATCH(K$1,enemy_skill_triggers!$1:$1,0)-MATCH($F$1,enemy_skill_triggers!$1:$1,0)+1,FALSE)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4" s="44">
        <f ca="1">VLOOKUP($F14,OFFSET(enemy_skill_triggers!$A$1,0,0,COUNTA(enemy_skill_triggers!$A:$A),MATCH(L$1,enemy_skill_triggers!$1:$1,0)-MATCH($F$1,enemy_skill_triggers!$1:$1,0)+1),MATCH(L$1,enemy_skill_triggers!$1:$1,0)-MATCH($F$1,enemy_skill_triggers!$1:$1,0)+1,FALSE)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4" s="44" t="str">
        <f ca="1">VLOOKUP($F14,OFFSET(enemy_skill_triggers!$A$1,0,0,COUNTA(enemy_skill_triggers!$A:$A),MATCH(M$1,enemy_skill_triggers!$1:$1,0)-MATCH($F$1,enemy_skill_triggers!$1:$1,0)+1),MATCH(M$1,enemy_skill_triggers!$1:$1,0)-MATCH($F$1,enemy_skill_triggers!$1:$1,0)+1,FALSE)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4" s="44">
        <f ca="1">VLOOKUP($F14,OFFSET(enemy_skill_triggers!$A$1,0,0,COUNTA(enemy_skill_triggers!$A:$A),MATCH(N$1,enemy_skill_triggers!$1:$1,0)-MATCH($F$1,enemy_skill_triggers!$1:$1,0)+1),MATCH(N$1,enemy_skill_triggers!$1:$1,0)-MATCH($F$1,enemy_skill_triggers!$1:$1,0)+1,FALSE)</f>
        <v>649</v>
      </c>
      <c r="O14" s="44">
        <f ca="1">VLOOKUP($F14,OFFSET(enemy_skill_triggers!$A$1,0,0,COUNTA(enemy_skill_triggers!$A:$A),MATCH(O$1,enemy_skill_triggers!$1:$1,0)-MATCH($F$1,enemy_skill_triggers!$1:$1,0)+1),MATCH(O$1,enemy_skill_triggers!$1:$1,0)-MATCH($F$1,enemy_skill_triggers!$1:$1,0)+1,FALSE)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4" s="43"/>
      <c r="Q14" s="43"/>
      <c r="R14" s="172"/>
    </row>
    <row r="15" spans="1:18" ht="21" customHeight="1" x14ac:dyDescent="0.15">
      <c r="A15" s="39" t="str">
        <f t="shared" si="1"/>
        <v>40034003_40034312</v>
      </c>
      <c r="B15" s="171">
        <v>40034003</v>
      </c>
      <c r="C15" s="43">
        <v>40034312</v>
      </c>
      <c r="D15" s="42" t="str">
        <f ca="1">VLOOKUP($C15,OFFSET(enemy_skills!$A$1,0,0,COUNTA(enemy_skills!$A:$A),MATCH(D$1,enemy_skills!$1:$1,0)-MATCH("enemy_skill_id",enemy_skills!$1:$1,0)+1),MATCH(D$1,enemy_skills!$1:$1,0)-MATCH("enemy_skill_id",enemy_skills!$1:$1,0)+1,FALSE)</f>
        <v>…ドゥルガー…さん…_x000D_油断…できない…相手</v>
      </c>
      <c r="E15" s="42" t="str">
        <f ca="1">VLOOKUP($C15,OFFSET(enemy_skills!$A$1,0,0,COUNTA(enemy_skills!$A:$A),MATCH(E$1,enemy_skills!$1:$1,0)-MATCH("enemy_skill_id",enemy_skills!$1:$1,0)+1),MATCH(E$1,enemy_skills!$1:$1,0)-MATCH("enemy_skill_id",enemy_skills!$1:$1,0)+1,FALSE)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5" s="43">
        <v>40034613</v>
      </c>
      <c r="G15" s="44">
        <f ca="1">VLOOKUP($F15,OFFSET(enemy_skill_triggers!$A$1,0,0,COUNTA(enemy_skill_triggers!$A:$A),MATCH(G$1,enemy_skill_triggers!$1:$1,0)-MATCH($F$1,enemy_skill_triggers!$1:$1,0)+1),MATCH(G$1,enemy_skill_triggers!$1:$1,0)-MATCH($F$1,enemy_skill_triggers!$1:$1,0)+1,FALSE)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5" s="44">
        <f ca="1">VLOOKUP($F15,OFFSET(enemy_skill_triggers!$A$1,0,0,COUNTA(enemy_skill_triggers!$A:$A),MATCH(H$1,enemy_skill_triggers!$1:$1,0)-MATCH($F$1,enemy_skill_triggers!$1:$1,0)+1),MATCH(H$1,enemy_skill_triggers!$1:$1,0)-MATCH($F$1,enemy_skill_triggers!$1:$1,0)+1,FALSE)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15" s="44">
        <f ca="1">VLOOKUP($F15,OFFSET(enemy_skill_triggers!$A$1,0,0,COUNTA(enemy_skill_triggers!$A:$A),MATCH(I$1,enemy_skill_triggers!$1:$1,0)-MATCH($F$1,enemy_skill_triggers!$1:$1,0)+1),MATCH(I$1,enemy_skill_triggers!$1:$1,0)-MATCH($F$1,enemy_skill_triggers!$1:$1,0)+1,FALSE)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5" s="44" t="str">
        <f ca="1">VLOOKUP($F15,OFFSET(enemy_skill_triggers!$A$1,0,0,COUNTA(enemy_skill_triggers!$A:$A),MATCH(J$1,enemy_skill_triggers!$1:$1,0)-MATCH($F$1,enemy_skill_triggers!$1:$1,0)+1),MATCH(J$1,enemy_skill_triggers!$1:$1,0)-MATCH($F$1,enemy_skill_triggers!$1:$1,0)+1,FALSE)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5" s="44" t="str">
        <f ca="1">VLOOKUP($F15,OFFSET(enemy_skill_triggers!$A$1,0,0,COUNTA(enemy_skill_triggers!$A:$A),MATCH(K$1,enemy_skill_triggers!$1:$1,0)-MATCH($F$1,enemy_skill_triggers!$1:$1,0)+1),MATCH(K$1,enemy_skill_triggers!$1:$1,0)-MATCH($F$1,enemy_skill_triggers!$1:$1,0)+1,FALSE)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5" s="44">
        <f ca="1">VLOOKUP($F15,OFFSET(enemy_skill_triggers!$A$1,0,0,COUNTA(enemy_skill_triggers!$A:$A),MATCH(L$1,enemy_skill_triggers!$1:$1,0)-MATCH($F$1,enemy_skill_triggers!$1:$1,0)+1),MATCH(L$1,enemy_skill_triggers!$1:$1,0)-MATCH($F$1,enemy_skill_triggers!$1:$1,0)+1,FALSE)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5" s="44" t="str">
        <f ca="1">VLOOKUP($F15,OFFSET(enemy_skill_triggers!$A$1,0,0,COUNTA(enemy_skill_triggers!$A:$A),MATCH(M$1,enemy_skill_triggers!$1:$1,0)-MATCH($F$1,enemy_skill_triggers!$1:$1,0)+1),MATCH(M$1,enemy_skill_triggers!$1:$1,0)-MATCH($F$1,enemy_skill_triggers!$1:$1,0)+1,FALSE)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5" s="44">
        <f ca="1">VLOOKUP($F15,OFFSET(enemy_skill_triggers!$A$1,0,0,COUNTA(enemy_skill_triggers!$A:$A),MATCH(N$1,enemy_skill_triggers!$1:$1,0)-MATCH($F$1,enemy_skill_triggers!$1:$1,0)+1),MATCH(N$1,enemy_skill_triggers!$1:$1,0)-MATCH($F$1,enemy_skill_triggers!$1:$1,0)+1,FALSE)</f>
        <v>1155</v>
      </c>
      <c r="O15" s="44">
        <f ca="1">VLOOKUP($F15,OFFSET(enemy_skill_triggers!$A$1,0,0,COUNTA(enemy_skill_triggers!$A:$A),MATCH(O$1,enemy_skill_triggers!$1:$1,0)-MATCH($F$1,enemy_skill_triggers!$1:$1,0)+1),MATCH(O$1,enemy_skill_triggers!$1:$1,0)-MATCH($F$1,enemy_skill_triggers!$1:$1,0)+1,FALSE)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5" s="43"/>
      <c r="Q15" s="43"/>
      <c r="R15" s="172"/>
    </row>
    <row r="16" spans="1:18" ht="21" customHeight="1" x14ac:dyDescent="0.15">
      <c r="A16" s="39" t="str">
        <f t="shared" si="1"/>
        <v>40034003_40034312</v>
      </c>
      <c r="B16" s="171">
        <v>40034003</v>
      </c>
      <c r="C16" s="43">
        <v>40034312</v>
      </c>
      <c r="D16" s="42" t="str">
        <f ca="1">VLOOKUP($C16,OFFSET(enemy_skills!$A$1,0,0,COUNTA(enemy_skills!$A:$A),MATCH(D$1,enemy_skills!$1:$1,0)-MATCH("enemy_skill_id",enemy_skills!$1:$1,0)+1),MATCH(D$1,enemy_skills!$1:$1,0)-MATCH("enemy_skill_id",enemy_skills!$1:$1,0)+1,FALSE)</f>
        <v>…ドゥルガー…さん…_x000D_油断…できない…相手</v>
      </c>
      <c r="E16" s="42" t="str">
        <f ca="1">VLOOKUP($C16,OFFSET(enemy_skills!$A$1,0,0,COUNTA(enemy_skills!$A:$A),MATCH(E$1,enemy_skills!$1:$1,0)-MATCH("enemy_skill_id",enemy_skills!$1:$1,0)+1),MATCH(E$1,enemy_skills!$1:$1,0)-MATCH("enemy_skill_id",enemy_skills!$1:$1,0)+1,FALSE)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6" s="43">
        <v>40034614</v>
      </c>
      <c r="G16" s="44">
        <f ca="1">VLOOKUP($F16,OFFSET(enemy_skill_triggers!$A$1,0,0,COUNTA(enemy_skill_triggers!$A:$A),MATCH(G$1,enemy_skill_triggers!$1:$1,0)-MATCH($F$1,enemy_skill_triggers!$1:$1,0)+1),MATCH(G$1,enemy_skill_triggers!$1:$1,0)-MATCH($F$1,enemy_skill_triggers!$1:$1,0)+1,FALSE)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6" s="44">
        <f ca="1">VLOOKUP($F16,OFFSET(enemy_skill_triggers!$A$1,0,0,COUNTA(enemy_skill_triggers!$A:$A),MATCH(H$1,enemy_skill_triggers!$1:$1,0)-MATCH($F$1,enemy_skill_triggers!$1:$1,0)+1),MATCH(H$1,enemy_skill_triggers!$1:$1,0)-MATCH($F$1,enemy_skill_triggers!$1:$1,0)+1,FALSE)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16" s="44">
        <f ca="1">VLOOKUP($F16,OFFSET(enemy_skill_triggers!$A$1,0,0,COUNTA(enemy_skill_triggers!$A:$A),MATCH(I$1,enemy_skill_triggers!$1:$1,0)-MATCH($F$1,enemy_skill_triggers!$1:$1,0)+1),MATCH(I$1,enemy_skill_triggers!$1:$1,0)-MATCH($F$1,enemy_skill_triggers!$1:$1,0)+1,FALSE)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6" s="44" t="str">
        <f ca="1">VLOOKUP($F16,OFFSET(enemy_skill_triggers!$A$1,0,0,COUNTA(enemy_skill_triggers!$A:$A),MATCH(J$1,enemy_skill_triggers!$1:$1,0)-MATCH($F$1,enemy_skill_triggers!$1:$1,0)+1),MATCH(J$1,enemy_skill_triggers!$1:$1,0)-MATCH($F$1,enemy_skill_triggers!$1:$1,0)+1,FALSE)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6" s="44" t="str">
        <f ca="1">VLOOKUP($F16,OFFSET(enemy_skill_triggers!$A$1,0,0,COUNTA(enemy_skill_triggers!$A:$A),MATCH(K$1,enemy_skill_triggers!$1:$1,0)-MATCH($F$1,enemy_skill_triggers!$1:$1,0)+1),MATCH(K$1,enemy_skill_triggers!$1:$1,0)-MATCH($F$1,enemy_skill_triggers!$1:$1,0)+1,FALSE)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6" s="44">
        <f ca="1">VLOOKUP($F16,OFFSET(enemy_skill_triggers!$A$1,0,0,COUNTA(enemy_skill_triggers!$A:$A),MATCH(L$1,enemy_skill_triggers!$1:$1,0)-MATCH($F$1,enemy_skill_triggers!$1:$1,0)+1),MATCH(L$1,enemy_skill_triggers!$1:$1,0)-MATCH($F$1,enemy_skill_triggers!$1:$1,0)+1,FALSE)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6" s="44" t="str">
        <f ca="1">VLOOKUP($F16,OFFSET(enemy_skill_triggers!$A$1,0,0,COUNTA(enemy_skill_triggers!$A:$A),MATCH(M$1,enemy_skill_triggers!$1:$1,0)-MATCH($F$1,enemy_skill_triggers!$1:$1,0)+1),MATCH(M$1,enemy_skill_triggers!$1:$1,0)-MATCH($F$1,enemy_skill_triggers!$1:$1,0)+1,FALSE)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6" s="44">
        <f ca="1">VLOOKUP($F16,OFFSET(enemy_skill_triggers!$A$1,0,0,COUNTA(enemy_skill_triggers!$A:$A),MATCH(N$1,enemy_skill_triggers!$1:$1,0)-MATCH($F$1,enemy_skill_triggers!$1:$1,0)+1),MATCH(N$1,enemy_skill_triggers!$1:$1,0)-MATCH($F$1,enemy_skill_triggers!$1:$1,0)+1,FALSE)</f>
        <v>1156</v>
      </c>
      <c r="O16" s="44">
        <f ca="1">VLOOKUP($F16,OFFSET(enemy_skill_triggers!$A$1,0,0,COUNTA(enemy_skill_triggers!$A:$A),MATCH(O$1,enemy_skill_triggers!$1:$1,0)-MATCH($F$1,enemy_skill_triggers!$1:$1,0)+1),MATCH(O$1,enemy_skill_triggers!$1:$1,0)-MATCH($F$1,enemy_skill_triggers!$1:$1,0)+1,FALSE)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6" s="43"/>
      <c r="Q16" s="43"/>
      <c r="R16" s="172"/>
    </row>
    <row r="17" spans="1:18" ht="21" customHeight="1" x14ac:dyDescent="0.15">
      <c r="A17" s="39" t="str">
        <f t="shared" si="1"/>
        <v>40034003_40034313</v>
      </c>
      <c r="B17" s="171">
        <v>40034003</v>
      </c>
      <c r="C17" s="43">
        <v>40034313</v>
      </c>
      <c r="D17" s="42" t="str">
        <f ca="1">VLOOKUP($C17,OFFSET(enemy_skills!$A$1,0,0,COUNTA(enemy_skills!$A:$A),MATCH(D$1,enemy_skills!$1:$1,0)-MATCH("enemy_skill_id",enemy_skills!$1:$1,0)+1),MATCH(D$1,enemy_skills!$1:$1,0)-MATCH("enemy_skill_id",enemy_skills!$1:$1,0)+1,FALSE)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17" s="42" t="str">
        <f ca="1">VLOOKUP($C17,OFFSET(enemy_skills!$A$1,0,0,COUNTA(enemy_skills!$A:$A),MATCH(E$1,enemy_skills!$1:$1,0)-MATCH("enemy_skill_id",enemy_skills!$1:$1,0)+1),MATCH(E$1,enemy_skills!$1:$1,0)-MATCH("enemy_skill_id",enemy_skills!$1:$1,0)+1,FALSE)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7" s="43">
        <v>40034615</v>
      </c>
      <c r="G17" s="44">
        <f ca="1">VLOOKUP($F17,OFFSET(enemy_skill_triggers!$A$1,0,0,COUNTA(enemy_skill_triggers!$A:$A),MATCH(G$1,enemy_skill_triggers!$1:$1,0)-MATCH($F$1,enemy_skill_triggers!$1:$1,0)+1),MATCH(G$1,enemy_skill_triggers!$1:$1,0)-MATCH($F$1,enemy_skill_triggers!$1:$1,0)+1,FALSE)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7" s="44">
        <f ca="1">VLOOKUP($F17,OFFSET(enemy_skill_triggers!$A$1,0,0,COUNTA(enemy_skill_triggers!$A:$A),MATCH(H$1,enemy_skill_triggers!$1:$1,0)-MATCH($F$1,enemy_skill_triggers!$1:$1,0)+1),MATCH(H$1,enemy_skill_triggers!$1:$1,0)-MATCH($F$1,enemy_skill_triggers!$1:$1,0)+1,FALSE)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17" s="44">
        <f ca="1">VLOOKUP($F17,OFFSET(enemy_skill_triggers!$A$1,0,0,COUNTA(enemy_skill_triggers!$A:$A),MATCH(I$1,enemy_skill_triggers!$1:$1,0)-MATCH($F$1,enemy_skill_triggers!$1:$1,0)+1),MATCH(I$1,enemy_skill_triggers!$1:$1,0)-MATCH($F$1,enemy_skill_triggers!$1:$1,0)+1,FALSE)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7" s="44" t="str">
        <f ca="1">VLOOKUP($F17,OFFSET(enemy_skill_triggers!$A$1,0,0,COUNTA(enemy_skill_triggers!$A:$A),MATCH(J$1,enemy_skill_triggers!$1:$1,0)-MATCH($F$1,enemy_skill_triggers!$1:$1,0)+1),MATCH(J$1,enemy_skill_triggers!$1:$1,0)-MATCH($F$1,enemy_skill_triggers!$1:$1,0)+1,FALSE)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7" s="44" t="str">
        <f ca="1">VLOOKUP($F17,OFFSET(enemy_skill_triggers!$A$1,0,0,COUNTA(enemy_skill_triggers!$A:$A),MATCH(K$1,enemy_skill_triggers!$1:$1,0)-MATCH($F$1,enemy_skill_triggers!$1:$1,0)+1),MATCH(K$1,enemy_skill_triggers!$1:$1,0)-MATCH($F$1,enemy_skill_triggers!$1:$1,0)+1,FALSE)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7" s="44">
        <f ca="1">VLOOKUP($F17,OFFSET(enemy_skill_triggers!$A$1,0,0,COUNTA(enemy_skill_triggers!$A:$A),MATCH(L$1,enemy_skill_triggers!$1:$1,0)-MATCH($F$1,enemy_skill_triggers!$1:$1,0)+1),MATCH(L$1,enemy_skill_triggers!$1:$1,0)-MATCH($F$1,enemy_skill_triggers!$1:$1,0)+1,FALSE)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7" s="44" t="str">
        <f ca="1">VLOOKUP($F17,OFFSET(enemy_skill_triggers!$A$1,0,0,COUNTA(enemy_skill_triggers!$A:$A),MATCH(M$1,enemy_skill_triggers!$1:$1,0)-MATCH($F$1,enemy_skill_triggers!$1:$1,0)+1),MATCH(M$1,enemy_skill_triggers!$1:$1,0)-MATCH($F$1,enemy_skill_triggers!$1:$1,0)+1,FALSE)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7" s="44">
        <f ca="1">VLOOKUP($F17,OFFSET(enemy_skill_triggers!$A$1,0,0,COUNTA(enemy_skill_triggers!$A:$A),MATCH(N$1,enemy_skill_triggers!$1:$1,0)-MATCH($F$1,enemy_skill_triggers!$1:$1,0)+1),MATCH(N$1,enemy_skill_triggers!$1:$1,0)-MATCH($F$1,enemy_skill_triggers!$1:$1,0)+1,FALSE)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17" s="44">
        <f ca="1">VLOOKUP($F17,OFFSET(enemy_skill_triggers!$A$1,0,0,COUNTA(enemy_skill_triggers!$A:$A),MATCH(O$1,enemy_skill_triggers!$1:$1,0)-MATCH($F$1,enemy_skill_triggers!$1:$1,0)+1),MATCH(O$1,enemy_skill_triggers!$1:$1,0)-MATCH($F$1,enemy_skill_triggers!$1:$1,0)+1,FALSE)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7" s="43"/>
      <c r="Q17" s="43"/>
      <c r="R17" s="172"/>
    </row>
    <row r="18" spans="1:18" ht="21" customHeight="1" x14ac:dyDescent="0.15">
      <c r="A18" s="39" t="str">
        <f t="shared" si="1"/>
        <v>40034003_40034313</v>
      </c>
      <c r="B18" s="171">
        <v>40034003</v>
      </c>
      <c r="C18" s="43">
        <v>40034313</v>
      </c>
      <c r="D18" s="42" t="str">
        <f ca="1">VLOOKUP($C18,OFFSET(enemy_skills!$A$1,0,0,COUNTA(enemy_skills!$A:$A),MATCH(D$1,enemy_skills!$1:$1,0)-MATCH("enemy_skill_id",enemy_skills!$1:$1,0)+1),MATCH(D$1,enemy_skills!$1:$1,0)-MATCH("enemy_skill_id",enemy_skills!$1:$1,0)+1,FALSE)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18" s="42" t="str">
        <f ca="1">VLOOKUP($C18,OFFSET(enemy_skills!$A$1,0,0,COUNTA(enemy_skills!$A:$A),MATCH(E$1,enemy_skills!$1:$1,0)-MATCH("enemy_skill_id",enemy_skills!$1:$1,0)+1),MATCH(E$1,enemy_skills!$1:$1,0)-MATCH("enemy_skill_id",enemy_skills!$1:$1,0)+1,FALSE)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8" s="43">
        <v>40034616</v>
      </c>
      <c r="G18" s="44">
        <f ca="1">VLOOKUP($F18,OFFSET(enemy_skill_triggers!$A$1,0,0,COUNTA(enemy_skill_triggers!$A:$A),MATCH(G$1,enemy_skill_triggers!$1:$1,0)-MATCH($F$1,enemy_skill_triggers!$1:$1,0)+1),MATCH(G$1,enemy_skill_triggers!$1:$1,0)-MATCH($F$1,enemy_skill_triggers!$1:$1,0)+1,FALSE)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8" s="44">
        <f ca="1">VLOOKUP($F18,OFFSET(enemy_skill_triggers!$A$1,0,0,COUNTA(enemy_skill_triggers!$A:$A),MATCH(H$1,enemy_skill_triggers!$1:$1,0)-MATCH($F$1,enemy_skill_triggers!$1:$1,0)+1),MATCH(H$1,enemy_skill_triggers!$1:$1,0)-MATCH($F$1,enemy_skill_triggers!$1:$1,0)+1,FALSE)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18" s="44">
        <f ca="1">VLOOKUP($F18,OFFSET(enemy_skill_triggers!$A$1,0,0,COUNTA(enemy_skill_triggers!$A:$A),MATCH(I$1,enemy_skill_triggers!$1:$1,0)-MATCH($F$1,enemy_skill_triggers!$1:$1,0)+1),MATCH(I$1,enemy_skill_triggers!$1:$1,0)-MATCH($F$1,enemy_skill_triggers!$1:$1,0)+1,FALSE)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8" s="44" t="str">
        <f ca="1">VLOOKUP($F18,OFFSET(enemy_skill_triggers!$A$1,0,0,COUNTA(enemy_skill_triggers!$A:$A),MATCH(J$1,enemy_skill_triggers!$1:$1,0)-MATCH($F$1,enemy_skill_triggers!$1:$1,0)+1),MATCH(J$1,enemy_skill_triggers!$1:$1,0)-MATCH($F$1,enemy_skill_triggers!$1:$1,0)+1,FALSE)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8" s="44" t="str">
        <f ca="1">VLOOKUP($F18,OFFSET(enemy_skill_triggers!$A$1,0,0,COUNTA(enemy_skill_triggers!$A:$A),MATCH(K$1,enemy_skill_triggers!$1:$1,0)-MATCH($F$1,enemy_skill_triggers!$1:$1,0)+1),MATCH(K$1,enemy_skill_triggers!$1:$1,0)-MATCH($F$1,enemy_skill_triggers!$1:$1,0)+1,FALSE)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8" s="44">
        <f ca="1">VLOOKUP($F18,OFFSET(enemy_skill_triggers!$A$1,0,0,COUNTA(enemy_skill_triggers!$A:$A),MATCH(L$1,enemy_skill_triggers!$1:$1,0)-MATCH($F$1,enemy_skill_triggers!$1:$1,0)+1),MATCH(L$1,enemy_skill_triggers!$1:$1,0)-MATCH($F$1,enemy_skill_triggers!$1:$1,0)+1,FALSE)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8" s="44" t="str">
        <f ca="1">VLOOKUP($F18,OFFSET(enemy_skill_triggers!$A$1,0,0,COUNTA(enemy_skill_triggers!$A:$A),MATCH(M$1,enemy_skill_triggers!$1:$1,0)-MATCH($F$1,enemy_skill_triggers!$1:$1,0)+1),MATCH(M$1,enemy_skill_triggers!$1:$1,0)-MATCH($F$1,enemy_skill_triggers!$1:$1,0)+1,FALSE)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8" s="44">
        <f ca="1">VLOOKUP($F18,OFFSET(enemy_skill_triggers!$A$1,0,0,COUNTA(enemy_skill_triggers!$A:$A),MATCH(N$1,enemy_skill_triggers!$1:$1,0)-MATCH($F$1,enemy_skill_triggers!$1:$1,0)+1),MATCH(N$1,enemy_skill_triggers!$1:$1,0)-MATCH($F$1,enemy_skill_triggers!$1:$1,0)+1,FALSE)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18" s="44">
        <f ca="1">VLOOKUP($F18,OFFSET(enemy_skill_triggers!$A$1,0,0,COUNTA(enemy_skill_triggers!$A:$A),MATCH(O$1,enemy_skill_triggers!$1:$1,0)-MATCH($F$1,enemy_skill_triggers!$1:$1,0)+1),MATCH(O$1,enemy_skill_triggers!$1:$1,0)-MATCH($F$1,enemy_skill_triggers!$1:$1,0)+1,FALSE)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8" s="43"/>
      <c r="Q18" s="43"/>
      <c r="R18" s="172"/>
    </row>
    <row r="19" spans="1:18" ht="21" customHeight="1" x14ac:dyDescent="0.15">
      <c r="A19" s="39" t="str">
        <f t="shared" si="1"/>
        <v>40034003_40034313</v>
      </c>
      <c r="B19" s="171">
        <v>40034003</v>
      </c>
      <c r="C19" s="43">
        <v>40034313</v>
      </c>
      <c r="D19" s="42" t="str">
        <f ca="1">VLOOKUP($C19,OFFSET(enemy_skills!$A$1,0,0,COUNTA(enemy_skills!$A:$A),MATCH(D$1,enemy_skills!$1:$1,0)-MATCH("enemy_skill_id",enemy_skills!$1:$1,0)+1),MATCH(D$1,enemy_skills!$1:$1,0)-MATCH("enemy_skill_id",enemy_skills!$1:$1,0)+1,FALSE)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19" s="42" t="str">
        <f ca="1">VLOOKUP($C19,OFFSET(enemy_skills!$A$1,0,0,COUNTA(enemy_skills!$A:$A),MATCH(E$1,enemy_skills!$1:$1,0)-MATCH("enemy_skill_id",enemy_skills!$1:$1,0)+1),MATCH(E$1,enemy_skills!$1:$1,0)-MATCH("enemy_skill_id",enemy_skills!$1:$1,0)+1,FALSE)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19" s="43">
        <v>40034617</v>
      </c>
      <c r="G19" s="44">
        <f ca="1">VLOOKUP($F19,OFFSET(enemy_skill_triggers!$A$1,0,0,COUNTA(enemy_skill_triggers!$A:$A),MATCH(G$1,enemy_skill_triggers!$1:$1,0)-MATCH($F$1,enemy_skill_triggers!$1:$1,0)+1),MATCH(G$1,enemy_skill_triggers!$1:$1,0)-MATCH($F$1,enemy_skill_triggers!$1:$1,0)+1,FALSE)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9" s="44">
        <f ca="1">VLOOKUP($F19,OFFSET(enemy_skill_triggers!$A$1,0,0,COUNTA(enemy_skill_triggers!$A:$A),MATCH(H$1,enemy_skill_triggers!$1:$1,0)-MATCH($F$1,enemy_skill_triggers!$1:$1,0)+1),MATCH(H$1,enemy_skill_triggers!$1:$1,0)-MATCH($F$1,enemy_skill_triggers!$1:$1,0)+1,FALSE)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19" s="44">
        <f ca="1">VLOOKUP($F19,OFFSET(enemy_skill_triggers!$A$1,0,0,COUNTA(enemy_skill_triggers!$A:$A),MATCH(I$1,enemy_skill_triggers!$1:$1,0)-MATCH($F$1,enemy_skill_triggers!$1:$1,0)+1),MATCH(I$1,enemy_skill_triggers!$1:$1,0)-MATCH($F$1,enemy_skill_triggers!$1:$1,0)+1,FALSE)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9" s="44" t="str">
        <f ca="1">VLOOKUP($F19,OFFSET(enemy_skill_triggers!$A$1,0,0,COUNTA(enemy_skill_triggers!$A:$A),MATCH(J$1,enemy_skill_triggers!$1:$1,0)-MATCH($F$1,enemy_skill_triggers!$1:$1,0)+1),MATCH(J$1,enemy_skill_triggers!$1:$1,0)-MATCH($F$1,enemy_skill_triggers!$1:$1,0)+1,FALSE)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9" s="44" t="str">
        <f ca="1">VLOOKUP($F19,OFFSET(enemy_skill_triggers!$A$1,0,0,COUNTA(enemy_skill_triggers!$A:$A),MATCH(K$1,enemy_skill_triggers!$1:$1,0)-MATCH($F$1,enemy_skill_triggers!$1:$1,0)+1),MATCH(K$1,enemy_skill_triggers!$1:$1,0)-MATCH($F$1,enemy_skill_triggers!$1:$1,0)+1,FALSE)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9" s="44">
        <f ca="1">VLOOKUP($F19,OFFSET(enemy_skill_triggers!$A$1,0,0,COUNTA(enemy_skill_triggers!$A:$A),MATCH(L$1,enemy_skill_triggers!$1:$1,0)-MATCH($F$1,enemy_skill_triggers!$1:$1,0)+1),MATCH(L$1,enemy_skill_triggers!$1:$1,0)-MATCH($F$1,enemy_skill_triggers!$1:$1,0)+1,FALSE)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9" s="44" t="str">
        <f ca="1">VLOOKUP($F19,OFFSET(enemy_skill_triggers!$A$1,0,0,COUNTA(enemy_skill_triggers!$A:$A),MATCH(M$1,enemy_skill_triggers!$1:$1,0)-MATCH($F$1,enemy_skill_triggers!$1:$1,0)+1),MATCH(M$1,enemy_skill_triggers!$1:$1,0)-MATCH($F$1,enemy_skill_triggers!$1:$1,0)+1,FALSE)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9" s="44">
        <f ca="1">VLOOKUP($F19,OFFSET(enemy_skill_triggers!$A$1,0,0,COUNTA(enemy_skill_triggers!$A:$A),MATCH(N$1,enemy_skill_triggers!$1:$1,0)-MATCH($F$1,enemy_skill_triggers!$1:$1,0)+1),MATCH(N$1,enemy_skill_triggers!$1:$1,0)-MATCH($F$1,enemy_skill_triggers!$1:$1,0)+1,FALSE)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19" s="44">
        <f ca="1">VLOOKUP($F19,OFFSET(enemy_skill_triggers!$A$1,0,0,COUNTA(enemy_skill_triggers!$A:$A),MATCH(O$1,enemy_skill_triggers!$1:$1,0)-MATCH($F$1,enemy_skill_triggers!$1:$1,0)+1),MATCH(O$1,enemy_skill_triggers!$1:$1,0)-MATCH($F$1,enemy_skill_triggers!$1:$1,0)+1,FALSE)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9" s="43"/>
      <c r="Q19" s="43"/>
      <c r="R19" s="172"/>
    </row>
    <row r="20" spans="1:18" ht="21" customHeight="1" x14ac:dyDescent="0.15">
      <c r="A20" s="39" t="str">
        <f t="shared" si="1"/>
        <v>40034003_40034314</v>
      </c>
      <c r="B20" s="171">
        <v>40034003</v>
      </c>
      <c r="C20" s="43">
        <v>40034314</v>
      </c>
      <c r="D20" s="42" t="str">
        <f ca="1">VLOOKUP($C20,OFFSET(enemy_skills!$A$1,0,0,COUNTA(enemy_skills!$A:$A),MATCH(D$1,enemy_skills!$1:$1,0)-MATCH("enemy_skill_id",enemy_skills!$1:$1,0)+1),MATCH(D$1,enemy_skills!$1:$1,0)-MATCH("enemy_skill_id",enemy_skills!$1:$1,0)+1,FALSE)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20" s="42" t="str">
        <f ca="1">VLOOKUP($C20,OFFSET(enemy_skills!$A$1,0,0,COUNTA(enemy_skills!$A:$A),MATCH(E$1,enemy_skills!$1:$1,0)-MATCH("enemy_skill_id",enemy_skills!$1:$1,0)+1),MATCH(E$1,enemy_skills!$1:$1,0)-MATCH("enemy_skill_id",enemy_skills!$1:$1,0)+1,FALSE)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20" s="43">
        <v>40034618</v>
      </c>
      <c r="G20" s="44">
        <f ca="1">VLOOKUP($F20,OFFSET(enemy_skill_triggers!$A$1,0,0,COUNTA(enemy_skill_triggers!$A:$A),MATCH(G$1,enemy_skill_triggers!$1:$1,0)-MATCH($F$1,enemy_skill_triggers!$1:$1,0)+1),MATCH(G$1,enemy_skill_triggers!$1:$1,0)-MATCH($F$1,enemy_skill_triggers!$1:$1,0)+1,FALSE)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0" s="44">
        <f ca="1">VLOOKUP($F20,OFFSET(enemy_skill_triggers!$A$1,0,0,COUNTA(enemy_skill_triggers!$A:$A),MATCH(H$1,enemy_skill_triggers!$1:$1,0)-MATCH($F$1,enemy_skill_triggers!$1:$1,0)+1),MATCH(H$1,enemy_skill_triggers!$1:$1,0)-MATCH($F$1,enemy_skill_triggers!$1:$1,0)+1,FALSE)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20" s="44">
        <f ca="1">VLOOKUP($F20,OFFSET(enemy_skill_triggers!$A$1,0,0,COUNTA(enemy_skill_triggers!$A:$A),MATCH(I$1,enemy_skill_triggers!$1:$1,0)-MATCH($F$1,enemy_skill_triggers!$1:$1,0)+1),MATCH(I$1,enemy_skill_triggers!$1:$1,0)-MATCH($F$1,enemy_skill_triggers!$1:$1,0)+1,FALSE)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0" s="44" t="str">
        <f ca="1">VLOOKUP($F20,OFFSET(enemy_skill_triggers!$A$1,0,0,COUNTA(enemy_skill_triggers!$A:$A),MATCH(J$1,enemy_skill_triggers!$1:$1,0)-MATCH($F$1,enemy_skill_triggers!$1:$1,0)+1),MATCH(J$1,enemy_skill_triggers!$1:$1,0)-MATCH($F$1,enemy_skill_triggers!$1:$1,0)+1,FALSE)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0" s="44" t="str">
        <f ca="1">VLOOKUP($F20,OFFSET(enemy_skill_triggers!$A$1,0,0,COUNTA(enemy_skill_triggers!$A:$A),MATCH(K$1,enemy_skill_triggers!$1:$1,0)-MATCH($F$1,enemy_skill_triggers!$1:$1,0)+1),MATCH(K$1,enemy_skill_triggers!$1:$1,0)-MATCH($F$1,enemy_skill_triggers!$1:$1,0)+1,FALSE)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0" s="44">
        <f ca="1">VLOOKUP($F20,OFFSET(enemy_skill_triggers!$A$1,0,0,COUNTA(enemy_skill_triggers!$A:$A),MATCH(L$1,enemy_skill_triggers!$1:$1,0)-MATCH($F$1,enemy_skill_triggers!$1:$1,0)+1),MATCH(L$1,enemy_skill_triggers!$1:$1,0)-MATCH($F$1,enemy_skill_triggers!$1:$1,0)+1,FALSE)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0" s="44" t="str">
        <f ca="1">VLOOKUP($F20,OFFSET(enemy_skill_triggers!$A$1,0,0,COUNTA(enemy_skill_triggers!$A:$A),MATCH(M$1,enemy_skill_triggers!$1:$1,0)-MATCH($F$1,enemy_skill_triggers!$1:$1,0)+1),MATCH(M$1,enemy_skill_triggers!$1:$1,0)-MATCH($F$1,enemy_skill_triggers!$1:$1,0)+1,FALSE)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0" s="44">
        <f ca="1">VLOOKUP($F20,OFFSET(enemy_skill_triggers!$A$1,0,0,COUNTA(enemy_skill_triggers!$A:$A),MATCH(N$1,enemy_skill_triggers!$1:$1,0)-MATCH($F$1,enemy_skill_triggers!$1:$1,0)+1),MATCH(N$1,enemy_skill_triggers!$1:$1,0)-MATCH($F$1,enemy_skill_triggers!$1:$1,0)+1,FALSE)</f>
        <v>642</v>
      </c>
      <c r="O20" s="44">
        <f ca="1">VLOOKUP($F20,OFFSET(enemy_skill_triggers!$A$1,0,0,COUNTA(enemy_skill_triggers!$A:$A),MATCH(O$1,enemy_skill_triggers!$1:$1,0)-MATCH($F$1,enemy_skill_triggers!$1:$1,0)+1),MATCH(O$1,enemy_skill_triggers!$1:$1,0)-MATCH($F$1,enemy_skill_triggers!$1:$1,0)+1,FALSE)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0" s="43"/>
      <c r="Q20" s="43"/>
      <c r="R20" s="172"/>
    </row>
    <row r="21" spans="1:18" ht="21" customHeight="1" x14ac:dyDescent="0.15">
      <c r="A21" s="39" t="str">
        <f t="shared" si="1"/>
        <v>40034003_40034314</v>
      </c>
      <c r="B21" s="171">
        <v>40034003</v>
      </c>
      <c r="C21" s="43">
        <v>40034314</v>
      </c>
      <c r="D21" s="42" t="str">
        <f ca="1">VLOOKUP($C21,OFFSET(enemy_skills!$A$1,0,0,COUNTA(enemy_skills!$A:$A),MATCH(D$1,enemy_skills!$1:$1,0)-MATCH("enemy_skill_id",enemy_skills!$1:$1,0)+1),MATCH(D$1,enemy_skills!$1:$1,0)-MATCH("enemy_skill_id",enemy_skills!$1:$1,0)+1,FALSE)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21" s="42" t="str">
        <f ca="1">VLOOKUP($C21,OFFSET(enemy_skills!$A$1,0,0,COUNTA(enemy_skills!$A:$A),MATCH(E$1,enemy_skills!$1:$1,0)-MATCH("enemy_skill_id",enemy_skills!$1:$1,0)+1),MATCH(E$1,enemy_skills!$1:$1,0)-MATCH("enemy_skill_id",enemy_skills!$1:$1,0)+1,FALSE)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21" s="43">
        <v>40034619</v>
      </c>
      <c r="G21" s="44">
        <f ca="1">VLOOKUP($F21,OFFSET(enemy_skill_triggers!$A$1,0,0,COUNTA(enemy_skill_triggers!$A:$A),MATCH(G$1,enemy_skill_triggers!$1:$1,0)-MATCH($F$1,enemy_skill_triggers!$1:$1,0)+1),MATCH(G$1,enemy_skill_triggers!$1:$1,0)-MATCH($F$1,enemy_skill_triggers!$1:$1,0)+1,FALSE)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1" s="44">
        <f ca="1">VLOOKUP($F21,OFFSET(enemy_skill_triggers!$A$1,0,0,COUNTA(enemy_skill_triggers!$A:$A),MATCH(H$1,enemy_skill_triggers!$1:$1,0)-MATCH($F$1,enemy_skill_triggers!$1:$1,0)+1),MATCH(H$1,enemy_skill_triggers!$1:$1,0)-MATCH($F$1,enemy_skill_triggers!$1:$1,0)+1,FALSE)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21" s="44">
        <f ca="1">VLOOKUP($F21,OFFSET(enemy_skill_triggers!$A$1,0,0,COUNTA(enemy_skill_triggers!$A:$A),MATCH(I$1,enemy_skill_triggers!$1:$1,0)-MATCH($F$1,enemy_skill_triggers!$1:$1,0)+1),MATCH(I$1,enemy_skill_triggers!$1:$1,0)-MATCH($F$1,enemy_skill_triggers!$1:$1,0)+1,FALSE)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1" s="44" t="str">
        <f ca="1">VLOOKUP($F21,OFFSET(enemy_skill_triggers!$A$1,0,0,COUNTA(enemy_skill_triggers!$A:$A),MATCH(J$1,enemy_skill_triggers!$1:$1,0)-MATCH($F$1,enemy_skill_triggers!$1:$1,0)+1),MATCH(J$1,enemy_skill_triggers!$1:$1,0)-MATCH($F$1,enemy_skill_triggers!$1:$1,0)+1,FALSE)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1" s="44" t="str">
        <f ca="1">VLOOKUP($F21,OFFSET(enemy_skill_triggers!$A$1,0,0,COUNTA(enemy_skill_triggers!$A:$A),MATCH(K$1,enemy_skill_triggers!$1:$1,0)-MATCH($F$1,enemy_skill_triggers!$1:$1,0)+1),MATCH(K$1,enemy_skill_triggers!$1:$1,0)-MATCH($F$1,enemy_skill_triggers!$1:$1,0)+1,FALSE)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1" s="44">
        <f ca="1">VLOOKUP($F21,OFFSET(enemy_skill_triggers!$A$1,0,0,COUNTA(enemy_skill_triggers!$A:$A),MATCH(L$1,enemy_skill_triggers!$1:$1,0)-MATCH($F$1,enemy_skill_triggers!$1:$1,0)+1),MATCH(L$1,enemy_skill_triggers!$1:$1,0)-MATCH($F$1,enemy_skill_triggers!$1:$1,0)+1,FALSE)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1" s="44" t="str">
        <f ca="1">VLOOKUP($F21,OFFSET(enemy_skill_triggers!$A$1,0,0,COUNTA(enemy_skill_triggers!$A:$A),MATCH(M$1,enemy_skill_triggers!$1:$1,0)-MATCH($F$1,enemy_skill_triggers!$1:$1,0)+1),MATCH(M$1,enemy_skill_triggers!$1:$1,0)-MATCH($F$1,enemy_skill_triggers!$1:$1,0)+1,FALSE)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1" s="44">
        <f ca="1">VLOOKUP($F21,OFFSET(enemy_skill_triggers!$A$1,0,0,COUNTA(enemy_skill_triggers!$A:$A),MATCH(N$1,enemy_skill_triggers!$1:$1,0)-MATCH($F$1,enemy_skill_triggers!$1:$1,0)+1),MATCH(N$1,enemy_skill_triggers!$1:$1,0)-MATCH($F$1,enemy_skill_triggers!$1:$1,0)+1,FALSE)</f>
        <v>643</v>
      </c>
      <c r="O21" s="44">
        <f ca="1">VLOOKUP($F21,OFFSET(enemy_skill_triggers!$A$1,0,0,COUNTA(enemy_skill_triggers!$A:$A),MATCH(O$1,enemy_skill_triggers!$1:$1,0)-MATCH($F$1,enemy_skill_triggers!$1:$1,0)+1),MATCH(O$1,enemy_skill_triggers!$1:$1,0)-MATCH($F$1,enemy_skill_triggers!$1:$1,0)+1,FALSE)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1" s="43"/>
      <c r="Q21" s="43"/>
      <c r="R21" s="172"/>
    </row>
    <row r="22" spans="1:18" ht="21" customHeight="1" x14ac:dyDescent="0.15">
      <c r="A22" s="39" t="str">
        <f t="shared" si="1"/>
        <v>40034003_40034314</v>
      </c>
      <c r="B22" s="171">
        <v>40034003</v>
      </c>
      <c r="C22" s="43">
        <v>40034314</v>
      </c>
      <c r="D22" s="42" t="str">
        <f ca="1">VLOOKUP($C22,OFFSET(enemy_skills!$A$1,0,0,COUNTA(enemy_skills!$A:$A),MATCH(D$1,enemy_skills!$1:$1,0)-MATCH("enemy_skill_id",enemy_skills!$1:$1,0)+1),MATCH(D$1,enemy_skills!$1:$1,0)-MATCH("enemy_skill_id",enemy_skills!$1:$1,0)+1,FALSE)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22" s="42" t="str">
        <f ca="1">VLOOKUP($C22,OFFSET(enemy_skills!$A$1,0,0,COUNTA(enemy_skills!$A:$A),MATCH(E$1,enemy_skills!$1:$1,0)-MATCH("enemy_skill_id",enemy_skills!$1:$1,0)+1),MATCH(E$1,enemy_skills!$1:$1,0)-MATCH("enemy_skill_id",enemy_skills!$1:$1,0)+1,FALSE)</f>
        <v>ハートパネルは50％の確率で_x000D_お邪魔パネルに変換されてドロップする！</v>
      </c>
      <c r="F22" s="43">
        <v>40034620</v>
      </c>
      <c r="G22" s="44">
        <f ca="1">VLOOKUP($F22,OFFSET(enemy_skill_triggers!$A$1,0,0,COUNTA(enemy_skill_triggers!$A:$A),MATCH(G$1,enemy_skill_triggers!$1:$1,0)-MATCH($F$1,enemy_skill_triggers!$1:$1,0)+1),MATCH(G$1,enemy_skill_triggers!$1:$1,0)-MATCH($F$1,enemy_skill_triggers!$1:$1,0)+1,FALSE)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22" s="44">
        <f ca="1">VLOOKUP($F22,OFFSET(enemy_skill_triggers!$A$1,0,0,COUNTA(enemy_skill_triggers!$A:$A),MATCH(H$1,enemy_skill_triggers!$1:$1,0)-MATCH($F$1,enemy_skill_triggers!$1:$1,0)+1),MATCH(H$1,enemy_skill_triggers!$1:$1,0)-MATCH($F$1,enemy_skill_triggers!$1:$1,0)+1,FALSE)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22" s="44">
        <f ca="1">VLOOKUP($F22,OFFSET(enemy_skill_triggers!$A$1,0,0,COUNTA(enemy_skill_triggers!$A:$A),MATCH(I$1,enemy_skill_triggers!$1:$1,0)-MATCH($F$1,enemy_skill_triggers!$1:$1,0)+1),MATCH(I$1,enemy_skill_triggers!$1:$1,0)-MATCH($F$1,enemy_skill_triggers!$1:$1,0)+1,FALSE)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2" s="44" t="str">
        <f ca="1">VLOOKUP($F22,OFFSET(enemy_skill_triggers!$A$1,0,0,COUNTA(enemy_skill_triggers!$A:$A),MATCH(J$1,enemy_skill_triggers!$1:$1,0)-MATCH($F$1,enemy_skill_triggers!$1:$1,0)+1),MATCH(J$1,enemy_skill_triggers!$1:$1,0)-MATCH($F$1,enemy_skill_triggers!$1:$1,0)+1,FALSE)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2" s="44" t="str">
        <f ca="1">VLOOKUP($F22,OFFSET(enemy_skill_triggers!$A$1,0,0,COUNTA(enemy_skill_triggers!$A:$A),MATCH(K$1,enemy_skill_triggers!$1:$1,0)-MATCH($F$1,enemy_skill_triggers!$1:$1,0)+1),MATCH(K$1,enemy_skill_triggers!$1:$1,0)-MATCH($F$1,enemy_skill_triggers!$1:$1,0)+1,FALSE)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2" s="44" t="str">
        <f ca="1">VLOOKUP($F22,OFFSET(enemy_skill_triggers!$A$1,0,0,COUNTA(enemy_skill_triggers!$A:$A),MATCH(L$1,enemy_skill_triggers!$1:$1,0)-MATCH($F$1,enemy_skill_triggers!$1:$1,0)+1),MATCH(L$1,enemy_skill_triggers!$1:$1,0)-MATCH($F$1,enemy_skill_triggers!$1:$1,0)+1,FALSE)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2" s="44" t="str">
        <f ca="1">VLOOKUP($F22,OFFSET(enemy_skill_triggers!$A$1,0,0,COUNTA(enemy_skill_triggers!$A:$A),MATCH(M$1,enemy_skill_triggers!$1:$1,0)-MATCH($F$1,enemy_skill_triggers!$1:$1,0)+1),MATCH(M$1,enemy_skill_triggers!$1:$1,0)-MATCH($F$1,enemy_skill_triggers!$1:$1,0)+1,FALSE)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2" s="44">
        <f ca="1">VLOOKUP($F22,OFFSET(enemy_skill_triggers!$A$1,0,0,COUNTA(enemy_skill_triggers!$A:$A),MATCH(N$1,enemy_skill_triggers!$1:$1,0)-MATCH($F$1,enemy_skill_triggers!$1:$1,0)+1),MATCH(N$1,enemy_skill_triggers!$1:$1,0)-MATCH($F$1,enemy_skill_triggers!$1:$1,0)+1,FALSE)</f>
        <v>836</v>
      </c>
      <c r="O22" s="44">
        <f ca="1">VLOOKUP($F22,OFFSET(enemy_skill_triggers!$A$1,0,0,COUNTA(enemy_skill_triggers!$A:$A),MATCH(O$1,enemy_skill_triggers!$1:$1,0)-MATCH($F$1,enemy_skill_triggers!$1:$1,0)+1),MATCH(O$1,enemy_skill_triggers!$1:$1,0)-MATCH($F$1,enemy_skill_triggers!$1:$1,0)+1,FALSE)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2" s="43"/>
      <c r="Q22" s="43"/>
      <c r="R22" s="172"/>
    </row>
    <row r="23" spans="1:18" ht="21" customHeight="1" x14ac:dyDescent="0.15">
      <c r="A23" s="39" t="str">
        <f t="shared" si="1"/>
        <v>40034003_40034315</v>
      </c>
      <c r="B23" s="171">
        <v>40034003</v>
      </c>
      <c r="C23" s="43">
        <v>40034315</v>
      </c>
      <c r="D23" s="42" t="str">
        <f ca="1">VLOOKUP($C23,OFFSET(enemy_skills!$A$1,0,0,COUNTA(enemy_skills!$A:$A),MATCH(D$1,enemy_skills!$1:$1,0)-MATCH("enemy_skill_id",enemy_skills!$1:$1,0)+1),MATCH(D$1,enemy_skills!$1:$1,0)-MATCH("enemy_skill_id",enemy_skills!$1:$1,0)+1,FALSE)</f>
        <v>…1回…2回…</v>
      </c>
      <c r="E23" s="42" t="str">
        <f ca="1">VLOOKUP($C23,OFFSET(enemy_skills!$A$1,0,0,COUNTA(enemy_skills!$A:$A),MATCH(E$1,enemy_skills!$1:$1,0)-MATCH("enemy_skill_id",enemy_skills!$1:$1,0)+1),MATCH(E$1,enemy_skills!$1:$1,0)-MATCH("enemy_skill_id",enemy_skills!$1:$1,0)+1,FALSE)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23" s="43">
        <v>40034621</v>
      </c>
      <c r="G23" s="44">
        <f ca="1">VLOOKUP($F23,OFFSET(enemy_skill_triggers!$A$1,0,0,COUNTA(enemy_skill_triggers!$A:$A),MATCH(G$1,enemy_skill_triggers!$1:$1,0)-MATCH($F$1,enemy_skill_triggers!$1:$1,0)+1),MATCH(G$1,enemy_skill_triggers!$1:$1,0)-MATCH($F$1,enemy_skill_triggers!$1:$1,0)+1,FALSE)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3" s="44">
        <f ca="1">VLOOKUP($F23,OFFSET(enemy_skill_triggers!$A$1,0,0,COUNTA(enemy_skill_triggers!$A:$A),MATCH(H$1,enemy_skill_triggers!$1:$1,0)-MATCH($F$1,enemy_skill_triggers!$1:$1,0)+1),MATCH(H$1,enemy_skill_triggers!$1:$1,0)-MATCH($F$1,enemy_skill_triggers!$1:$1,0)+1,FALSE)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23" s="44">
        <f ca="1">VLOOKUP($F23,OFFSET(enemy_skill_triggers!$A$1,0,0,COUNTA(enemy_skill_triggers!$A:$A),MATCH(I$1,enemy_skill_triggers!$1:$1,0)-MATCH($F$1,enemy_skill_triggers!$1:$1,0)+1),MATCH(I$1,enemy_skill_triggers!$1:$1,0)-MATCH($F$1,enemy_skill_triggers!$1:$1,0)+1,FALSE)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23" s="44" t="str">
        <f ca="1">VLOOKUP($F23,OFFSET(enemy_skill_triggers!$A$1,0,0,COUNTA(enemy_skill_triggers!$A:$A),MATCH(J$1,enemy_skill_triggers!$1:$1,0)-MATCH($F$1,enemy_skill_triggers!$1:$1,0)+1),MATCH(J$1,enemy_skill_triggers!$1:$1,0)-MATCH($F$1,enemy_skill_triggers!$1:$1,0)+1,FALSE)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3" s="44" t="str">
        <f ca="1">VLOOKUP($F23,OFFSET(enemy_skill_triggers!$A$1,0,0,COUNTA(enemy_skill_triggers!$A:$A),MATCH(K$1,enemy_skill_triggers!$1:$1,0)-MATCH($F$1,enemy_skill_triggers!$1:$1,0)+1),MATCH(K$1,enemy_skill_triggers!$1:$1,0)-MATCH($F$1,enemy_skill_triggers!$1:$1,0)+1,FALSE)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3" s="44" t="str">
        <f ca="1">VLOOKUP($F23,OFFSET(enemy_skill_triggers!$A$1,0,0,COUNTA(enemy_skill_triggers!$A:$A),MATCH(L$1,enemy_skill_triggers!$1:$1,0)-MATCH($F$1,enemy_skill_triggers!$1:$1,0)+1),MATCH(L$1,enemy_skill_triggers!$1:$1,0)-MATCH($F$1,enemy_skill_triggers!$1:$1,0)+1,FALSE)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3" s="44" t="str">
        <f ca="1">VLOOKUP($F23,OFFSET(enemy_skill_triggers!$A$1,0,0,COUNTA(enemy_skill_triggers!$A:$A),MATCH(M$1,enemy_skill_triggers!$1:$1,0)-MATCH($F$1,enemy_skill_triggers!$1:$1,0)+1),MATCH(M$1,enemy_skill_triggers!$1:$1,0)-MATCH($F$1,enemy_skill_triggers!$1:$1,0)+1,FALSE)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3" s="44" t="str">
        <f ca="1">VLOOKUP($F23,OFFSET(enemy_skill_triggers!$A$1,0,0,COUNTA(enemy_skill_triggers!$A:$A),MATCH(N$1,enemy_skill_triggers!$1:$1,0)-MATCH($F$1,enemy_skill_triggers!$1:$1,0)+1),MATCH(N$1,enemy_skill_triggers!$1:$1,0)-MATCH($F$1,enemy_skill_triggers!$1:$1,0)+1,FALSE)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3" s="44">
        <f ca="1">VLOOKUP($F23,OFFSET(enemy_skill_triggers!$A$1,0,0,COUNTA(enemy_skill_triggers!$A:$A),MATCH(O$1,enemy_skill_triggers!$1:$1,0)-MATCH($F$1,enemy_skill_triggers!$1:$1,0)+1),MATCH(O$1,enemy_skill_triggers!$1:$1,0)-MATCH($F$1,enemy_skill_triggers!$1:$1,0)+1,FALSE)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23" s="43"/>
      <c r="Q23" s="43"/>
      <c r="R23" s="172"/>
    </row>
    <row r="24" spans="1:18" ht="21" customHeight="1" x14ac:dyDescent="0.15">
      <c r="A24" s="39" t="str">
        <f t="shared" si="1"/>
        <v>40034003_40034316</v>
      </c>
      <c r="B24" s="171">
        <v>40034003</v>
      </c>
      <c r="C24" s="43">
        <v>40034316</v>
      </c>
      <c r="D24" s="42" t="str">
        <f ca="1">VLOOKUP($C24,OFFSET(enemy_skills!$A$1,0,0,COUNTA(enemy_skills!$A:$A),MATCH(D$1,enemy_skills!$1:$1,0)-MATCH("enemy_skill_id",enemy_skills!$1:$1,0)+1),MATCH(D$1,enemy_skills!$1:$1,0)-MATCH("enemy_skill_id",enemy_skills!$1:$1,0)+1,FALSE)</f>
        <v>実力を見極める…</v>
      </c>
      <c r="E24" s="42" t="str">
        <f ca="1">VLOOKUP($C24,OFFSET(enemy_skills!$A$1,0,0,COUNTA(enemy_skills!$A:$A),MATCH(E$1,enemy_skills!$1:$1,0)-MATCH("enemy_skill_id",enemy_skills!$1:$1,0)+1),MATCH(E$1,enemy_skills!$1:$1,0)-MATCH("enemy_skill_id",enemy_skills!$1:$1,0)+1,FALSE)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24" s="43">
        <v>40034622</v>
      </c>
      <c r="G24" s="44">
        <f ca="1">VLOOKUP($F24,OFFSET(enemy_skill_triggers!$A$1,0,0,COUNTA(enemy_skill_triggers!$A:$A),MATCH(G$1,enemy_skill_triggers!$1:$1,0)-MATCH($F$1,enemy_skill_triggers!$1:$1,0)+1),MATCH(G$1,enemy_skill_triggers!$1:$1,0)-MATCH($F$1,enemy_skill_triggers!$1:$1,0)+1,FALSE)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4" s="44">
        <f ca="1">VLOOKUP($F24,OFFSET(enemy_skill_triggers!$A$1,0,0,COUNTA(enemy_skill_triggers!$A:$A),MATCH(H$1,enemy_skill_triggers!$1:$1,0)-MATCH($F$1,enemy_skill_triggers!$1:$1,0)+1),MATCH(H$1,enemy_skill_triggers!$1:$1,0)-MATCH($F$1,enemy_skill_triggers!$1:$1,0)+1,FALSE)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24" s="44">
        <f ca="1">VLOOKUP($F24,OFFSET(enemy_skill_triggers!$A$1,0,0,COUNTA(enemy_skill_triggers!$A:$A),MATCH(I$1,enemy_skill_triggers!$1:$1,0)-MATCH($F$1,enemy_skill_triggers!$1:$1,0)+1),MATCH(I$1,enemy_skill_triggers!$1:$1,0)-MATCH($F$1,enemy_skill_triggers!$1:$1,0)+1,FALSE)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4" s="44" t="str">
        <f ca="1">VLOOKUP($F24,OFFSET(enemy_skill_triggers!$A$1,0,0,COUNTA(enemy_skill_triggers!$A:$A),MATCH(J$1,enemy_skill_triggers!$1:$1,0)-MATCH($F$1,enemy_skill_triggers!$1:$1,0)+1),MATCH(J$1,enemy_skill_triggers!$1:$1,0)-MATCH($F$1,enemy_skill_triggers!$1:$1,0)+1,FALSE)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4" s="44" t="str">
        <f ca="1">VLOOKUP($F24,OFFSET(enemy_skill_triggers!$A$1,0,0,COUNTA(enemy_skill_triggers!$A:$A),MATCH(K$1,enemy_skill_triggers!$1:$1,0)-MATCH($F$1,enemy_skill_triggers!$1:$1,0)+1),MATCH(K$1,enemy_skill_triggers!$1:$1,0)-MATCH($F$1,enemy_skill_triggers!$1:$1,0)+1,FALSE)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4" s="44" t="str">
        <f ca="1">VLOOKUP($F24,OFFSET(enemy_skill_triggers!$A$1,0,0,COUNTA(enemy_skill_triggers!$A:$A),MATCH(L$1,enemy_skill_triggers!$1:$1,0)-MATCH($F$1,enemy_skill_triggers!$1:$1,0)+1),MATCH(L$1,enemy_skill_triggers!$1:$1,0)-MATCH($F$1,enemy_skill_triggers!$1:$1,0)+1,FALSE)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4" s="44" t="str">
        <f ca="1">VLOOKUP($F24,OFFSET(enemy_skill_triggers!$A$1,0,0,COUNTA(enemy_skill_triggers!$A:$A),MATCH(M$1,enemy_skill_triggers!$1:$1,0)-MATCH($F$1,enemy_skill_triggers!$1:$1,0)+1),MATCH(M$1,enemy_skill_triggers!$1:$1,0)-MATCH($F$1,enemy_skill_triggers!$1:$1,0)+1,FALSE)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4" s="44" t="str">
        <f ca="1">VLOOKUP($F24,OFFSET(enemy_skill_triggers!$A$1,0,0,COUNTA(enemy_skill_triggers!$A:$A),MATCH(N$1,enemy_skill_triggers!$1:$1,0)-MATCH($F$1,enemy_skill_triggers!$1:$1,0)+1),MATCH(N$1,enemy_skill_triggers!$1:$1,0)-MATCH($F$1,enemy_skill_triggers!$1:$1,0)+1,FALSE)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4" s="44">
        <f ca="1">VLOOKUP($F24,OFFSET(enemy_skill_triggers!$A$1,0,0,COUNTA(enemy_skill_triggers!$A:$A),MATCH(O$1,enemy_skill_triggers!$1:$1,0)-MATCH($F$1,enemy_skill_triggers!$1:$1,0)+1),MATCH(O$1,enemy_skill_triggers!$1:$1,0)-MATCH($F$1,enemy_skill_triggers!$1:$1,0)+1,FALSE)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4" s="43"/>
      <c r="Q24" s="43"/>
      <c r="R24" s="172"/>
    </row>
    <row r="25" spans="1:18" ht="21" customHeight="1" x14ac:dyDescent="0.15">
      <c r="A25" s="39" t="str">
        <f t="shared" si="1"/>
        <v>40034003_40034317</v>
      </c>
      <c r="B25" s="171">
        <v>40034003</v>
      </c>
      <c r="C25" s="43">
        <v>40034317</v>
      </c>
      <c r="D25" s="42" t="str">
        <f ca="1">VLOOKUP($C25,OFFSET(enemy_skills!$A$1,0,0,COUNTA(enemy_skills!$A:$A),MATCH(D$1,enemy_skills!$1:$1,0)-MATCH("enemy_skill_id",enemy_skills!$1:$1,0)+1),MATCH(D$1,enemy_skills!$1:$1,0)-MATCH("enemy_skill_id",enemy_skills!$1:$1,0)+1,FALSE)</f>
        <v>えいっ…</v>
      </c>
      <c r="E25" s="42" t="str">
        <f ca="1">VLOOKUP($C25,OFFSET(enemy_skills!$A$1,0,0,COUNTA(enemy_skills!$A:$A),MATCH(E$1,enemy_skills!$1:$1,0)-MATCH("enemy_skill_id",enemy_skills!$1:$1,0)+1),MATCH(E$1,enemy_skills!$1:$1,0)-MATCH("enemy_skill_id",enemy_skills!$1:$1,0)+1,FALSE)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25" s="43">
        <v>40034623</v>
      </c>
      <c r="G25" s="44">
        <f ca="1">VLOOKUP($F25,OFFSET(enemy_skill_triggers!$A$1,0,0,COUNTA(enemy_skill_triggers!$A:$A),MATCH(G$1,enemy_skill_triggers!$1:$1,0)-MATCH($F$1,enemy_skill_triggers!$1:$1,0)+1),MATCH(G$1,enemy_skill_triggers!$1:$1,0)-MATCH($F$1,enemy_skill_triggers!$1:$1,0)+1,FALSE)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5" s="44">
        <f ca="1">VLOOKUP($F25,OFFSET(enemy_skill_triggers!$A$1,0,0,COUNTA(enemy_skill_triggers!$A:$A),MATCH(H$1,enemy_skill_triggers!$1:$1,0)-MATCH($F$1,enemy_skill_triggers!$1:$1,0)+1),MATCH(H$1,enemy_skill_triggers!$1:$1,0)-MATCH($F$1,enemy_skill_triggers!$1:$1,0)+1,FALSE)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25" s="44">
        <f ca="1">VLOOKUP($F25,OFFSET(enemy_skill_triggers!$A$1,0,0,COUNTA(enemy_skill_triggers!$A:$A),MATCH(I$1,enemy_skill_triggers!$1:$1,0)-MATCH($F$1,enemy_skill_triggers!$1:$1,0)+1),MATCH(I$1,enemy_skill_triggers!$1:$1,0)-MATCH($F$1,enemy_skill_triggers!$1:$1,0)+1,FALSE)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5" s="44" t="str">
        <f ca="1">VLOOKUP($F25,OFFSET(enemy_skill_triggers!$A$1,0,0,COUNTA(enemy_skill_triggers!$A:$A),MATCH(J$1,enemy_skill_triggers!$1:$1,0)-MATCH($F$1,enemy_skill_triggers!$1:$1,0)+1),MATCH(J$1,enemy_skill_triggers!$1:$1,0)-MATCH($F$1,enemy_skill_triggers!$1:$1,0)+1,FALSE)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5" s="44" t="str">
        <f ca="1">VLOOKUP($F25,OFFSET(enemy_skill_triggers!$A$1,0,0,COUNTA(enemy_skill_triggers!$A:$A),MATCH(K$1,enemy_skill_triggers!$1:$1,0)-MATCH($F$1,enemy_skill_triggers!$1:$1,0)+1),MATCH(K$1,enemy_skill_triggers!$1:$1,0)-MATCH($F$1,enemy_skill_triggers!$1:$1,0)+1,FALSE)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5" s="44" t="str">
        <f ca="1">VLOOKUP($F25,OFFSET(enemy_skill_triggers!$A$1,0,0,COUNTA(enemy_skill_triggers!$A:$A),MATCH(L$1,enemy_skill_triggers!$1:$1,0)-MATCH($F$1,enemy_skill_triggers!$1:$1,0)+1),MATCH(L$1,enemy_skill_triggers!$1:$1,0)-MATCH($F$1,enemy_skill_triggers!$1:$1,0)+1,FALSE)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5" s="44" t="str">
        <f ca="1">VLOOKUP($F25,OFFSET(enemy_skill_triggers!$A$1,0,0,COUNTA(enemy_skill_triggers!$A:$A),MATCH(M$1,enemy_skill_triggers!$1:$1,0)-MATCH($F$1,enemy_skill_triggers!$1:$1,0)+1),MATCH(M$1,enemy_skill_triggers!$1:$1,0)-MATCH($F$1,enemy_skill_triggers!$1:$1,0)+1,FALSE)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5" s="44" t="str">
        <f ca="1">VLOOKUP($F25,OFFSET(enemy_skill_triggers!$A$1,0,0,COUNTA(enemy_skill_triggers!$A:$A),MATCH(N$1,enemy_skill_triggers!$1:$1,0)-MATCH($F$1,enemy_skill_triggers!$1:$1,0)+1),MATCH(N$1,enemy_skill_triggers!$1:$1,0)-MATCH($F$1,enemy_skill_triggers!$1:$1,0)+1,FALSE)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5" s="44">
        <f ca="1">VLOOKUP($F25,OFFSET(enemy_skill_triggers!$A$1,0,0,COUNTA(enemy_skill_triggers!$A:$A),MATCH(O$1,enemy_skill_triggers!$1:$1,0)-MATCH($F$1,enemy_skill_triggers!$1:$1,0)+1),MATCH(O$1,enemy_skill_triggers!$1:$1,0)-MATCH($F$1,enemy_skill_triggers!$1:$1,0)+1,FALSE)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5" s="43"/>
      <c r="Q25" s="43"/>
      <c r="R25" s="172"/>
    </row>
    <row r="26" spans="1:18" ht="21" customHeight="1" x14ac:dyDescent="0.15">
      <c r="A26" s="39" t="str">
        <f t="shared" si="1"/>
        <v>40034003_40034318</v>
      </c>
      <c r="B26" s="171">
        <v>40034003</v>
      </c>
      <c r="C26" s="43">
        <v>40034318</v>
      </c>
      <c r="D26" s="42" t="str">
        <f ca="1">VLOOKUP($C26,OFFSET(enemy_skills!$A$1,0,0,COUNTA(enemy_skills!$A:$A),MATCH(D$1,enemy_skills!$1:$1,0)-MATCH("enemy_skill_id",enemy_skills!$1:$1,0)+1),MATCH(D$1,enemy_skills!$1:$1,0)-MATCH("enemy_skill_id",enemy_skills!$1:$1,0)+1,FALSE)</f>
        <v>かかってきなさい…</v>
      </c>
      <c r="E26" s="42" t="str">
        <f ca="1">VLOOKUP($C26,OFFSET(enemy_skills!$A$1,0,0,COUNTA(enemy_skills!$A:$A),MATCH(E$1,enemy_skills!$1:$1,0)-MATCH("enemy_skill_id",enemy_skills!$1:$1,0)+1),MATCH(E$1,enemy_skills!$1:$1,0)-MATCH("enemy_skill_id",enemy_skills!$1:$1,0)+1,FALSE)</f>
        <v>5ターンカウンター_x000D_+全体攻撃</v>
      </c>
      <c r="F26" s="43">
        <v>40034624</v>
      </c>
      <c r="G26" s="44">
        <f ca="1">VLOOKUP($F26,OFFSET(enemy_skill_triggers!$A$1,0,0,COUNTA(enemy_skill_triggers!$A:$A),MATCH(G$1,enemy_skill_triggers!$1:$1,0)-MATCH($F$1,enemy_skill_triggers!$1:$1,0)+1),MATCH(G$1,enemy_skill_triggers!$1:$1,0)-MATCH($F$1,enemy_skill_triggers!$1:$1,0)+1,FALSE)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6" s="44">
        <f ca="1">VLOOKUP($F26,OFFSET(enemy_skill_triggers!$A$1,0,0,COUNTA(enemy_skill_triggers!$A:$A),MATCH(H$1,enemy_skill_triggers!$1:$1,0)-MATCH($F$1,enemy_skill_triggers!$1:$1,0)+1),MATCH(H$1,enemy_skill_triggers!$1:$1,0)-MATCH($F$1,enemy_skill_triggers!$1:$1,0)+1,FALSE)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26" s="44">
        <f ca="1">VLOOKUP($F26,OFFSET(enemy_skill_triggers!$A$1,0,0,COUNTA(enemy_skill_triggers!$A:$A),MATCH(I$1,enemy_skill_triggers!$1:$1,0)-MATCH($F$1,enemy_skill_triggers!$1:$1,0)+1),MATCH(I$1,enemy_skill_triggers!$1:$1,0)-MATCH($F$1,enemy_skill_triggers!$1:$1,0)+1,FALSE)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6" s="44" t="str">
        <f ca="1">VLOOKUP($F26,OFFSET(enemy_skill_triggers!$A$1,0,0,COUNTA(enemy_skill_triggers!$A:$A),MATCH(J$1,enemy_skill_triggers!$1:$1,0)-MATCH($F$1,enemy_skill_triggers!$1:$1,0)+1),MATCH(J$1,enemy_skill_triggers!$1:$1,0)-MATCH($F$1,enemy_skill_triggers!$1:$1,0)+1,FALSE)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6" s="44" t="str">
        <f ca="1">VLOOKUP($F26,OFFSET(enemy_skill_triggers!$A$1,0,0,COUNTA(enemy_skill_triggers!$A:$A),MATCH(K$1,enemy_skill_triggers!$1:$1,0)-MATCH($F$1,enemy_skill_triggers!$1:$1,0)+1),MATCH(K$1,enemy_skill_triggers!$1:$1,0)-MATCH($F$1,enemy_skill_triggers!$1:$1,0)+1,FALSE)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6" s="44">
        <f ca="1">VLOOKUP($F26,OFFSET(enemy_skill_triggers!$A$1,0,0,COUNTA(enemy_skill_triggers!$A:$A),MATCH(L$1,enemy_skill_triggers!$1:$1,0)-MATCH($F$1,enemy_skill_triggers!$1:$1,0)+1),MATCH(L$1,enemy_skill_triggers!$1:$1,0)-MATCH($F$1,enemy_skill_triggers!$1:$1,0)+1,FALSE)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26" s="44" t="str">
        <f ca="1">VLOOKUP($F26,OFFSET(enemy_skill_triggers!$A$1,0,0,COUNTA(enemy_skill_triggers!$A:$A),MATCH(M$1,enemy_skill_triggers!$1:$1,0)-MATCH($F$1,enemy_skill_triggers!$1:$1,0)+1),MATCH(M$1,enemy_skill_triggers!$1:$1,0)-MATCH($F$1,enemy_skill_triggers!$1:$1,0)+1,FALSE)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6" s="44" t="str">
        <f ca="1">VLOOKUP($F26,OFFSET(enemy_skill_triggers!$A$1,0,0,COUNTA(enemy_skill_triggers!$A:$A),MATCH(N$1,enemy_skill_triggers!$1:$1,0)-MATCH($F$1,enemy_skill_triggers!$1:$1,0)+1),MATCH(N$1,enemy_skill_triggers!$1:$1,0)-MATCH($F$1,enemy_skill_triggers!$1:$1,0)+1,FALSE)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6" s="44">
        <f ca="1">VLOOKUP($F26,OFFSET(enemy_skill_triggers!$A$1,0,0,COUNTA(enemy_skill_triggers!$A:$A),MATCH(O$1,enemy_skill_triggers!$1:$1,0)-MATCH($F$1,enemy_skill_triggers!$1:$1,0)+1),MATCH(O$1,enemy_skill_triggers!$1:$1,0)-MATCH($F$1,enemy_skill_triggers!$1:$1,0)+1,FALSE)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6" s="43"/>
      <c r="Q26" s="43"/>
      <c r="R26" s="172"/>
    </row>
    <row r="27" spans="1:18" ht="21" customHeight="1" thickBot="1" x14ac:dyDescent="0.2">
      <c r="A27" s="39" t="str">
        <f t="shared" si="1"/>
        <v>40034003_40034319</v>
      </c>
      <c r="B27" s="168">
        <v>40034003</v>
      </c>
      <c r="C27" s="132">
        <v>40034319</v>
      </c>
      <c r="D27" s="169" t="str">
        <f ca="1">VLOOKUP($C27,OFFSET(enemy_skills!$A$1,0,0,COUNTA(enemy_skills!$A:$A),MATCH(D$1,enemy_skills!$1:$1,0)-MATCH("enemy_skill_id",enemy_skills!$1:$1,0)+1),MATCH(D$1,enemy_skills!$1:$1,0)-MATCH("enemy_skill_id",enemy_skills!$1:$1,0)+1,FALSE)</f>
        <v>…また…後で…会いましょう？</v>
      </c>
      <c r="E27" s="169" t="str">
        <f ca="1">VLOOKUP($C27,OFFSET(enemy_skills!$A$1,0,0,COUNTA(enemy_skills!$A:$A),MATCH(E$1,enemy_skills!$1:$1,0)-MATCH("enemy_skill_id",enemy_skills!$1:$1,0)+1),MATCH(E$1,enemy_skills!$1:$1,0)-MATCH("enemy_skill_id",enemy_skills!$1:$1,0)+1,FALSE)</f>
        <v>カーリーは立ち去っていった</v>
      </c>
      <c r="F27" s="132">
        <v>40034625</v>
      </c>
      <c r="G27" s="136">
        <f ca="1">VLOOKUP($F27,OFFSET(enemy_skill_triggers!$A$1,0,0,COUNTA(enemy_skill_triggers!$A:$A),MATCH(G$1,enemy_skill_triggers!$1:$1,0)-MATCH($F$1,enemy_skill_triggers!$1:$1,0)+1),MATCH(G$1,enemy_skill_triggers!$1:$1,0)-MATCH($F$1,enemy_skill_triggers!$1:$1,0)+1,FALSE)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7" s="136">
        <f ca="1">VLOOKUP($F27,OFFSET(enemy_skill_triggers!$A$1,0,0,COUNTA(enemy_skill_triggers!$A:$A),MATCH(H$1,enemy_skill_triggers!$1:$1,0)-MATCH($F$1,enemy_skill_triggers!$1:$1,0)+1),MATCH(H$1,enemy_skill_triggers!$1:$1,0)-MATCH($F$1,enemy_skill_triggers!$1:$1,0)+1,FALSE)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27" s="136">
        <f ca="1">VLOOKUP($F27,OFFSET(enemy_skill_triggers!$A$1,0,0,COUNTA(enemy_skill_triggers!$A:$A),MATCH(I$1,enemy_skill_triggers!$1:$1,0)-MATCH($F$1,enemy_skill_triggers!$1:$1,0)+1),MATCH(I$1,enemy_skill_triggers!$1:$1,0)-MATCH($F$1,enemy_skill_triggers!$1:$1,0)+1,FALSE)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27" s="136" t="str">
        <f ca="1">VLOOKUP($F27,OFFSET(enemy_skill_triggers!$A$1,0,0,COUNTA(enemy_skill_triggers!$A:$A),MATCH(J$1,enemy_skill_triggers!$1:$1,0)-MATCH($F$1,enemy_skill_triggers!$1:$1,0)+1),MATCH(J$1,enemy_skill_triggers!$1:$1,0)-MATCH($F$1,enemy_skill_triggers!$1:$1,0)+1,FALSE)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7" s="136" t="str">
        <f ca="1">VLOOKUP($F27,OFFSET(enemy_skill_triggers!$A$1,0,0,COUNTA(enemy_skill_triggers!$A:$A),MATCH(K$1,enemy_skill_triggers!$1:$1,0)-MATCH($F$1,enemy_skill_triggers!$1:$1,0)+1),MATCH(K$1,enemy_skill_triggers!$1:$1,0)-MATCH($F$1,enemy_skill_triggers!$1:$1,0)+1,FALSE)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7" s="136">
        <f ca="1">VLOOKUP($F27,OFFSET(enemy_skill_triggers!$A$1,0,0,COUNTA(enemy_skill_triggers!$A:$A),MATCH(L$1,enemy_skill_triggers!$1:$1,0)-MATCH($F$1,enemy_skill_triggers!$1:$1,0)+1),MATCH(L$1,enemy_skill_triggers!$1:$1,0)-MATCH($F$1,enemy_skill_triggers!$1:$1,0)+1,FALSE)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27" s="136" t="str">
        <f ca="1">VLOOKUP($F27,OFFSET(enemy_skill_triggers!$A$1,0,0,COUNTA(enemy_skill_triggers!$A:$A),MATCH(M$1,enemy_skill_triggers!$1:$1,0)-MATCH($F$1,enemy_skill_triggers!$1:$1,0)+1),MATCH(M$1,enemy_skill_triggers!$1:$1,0)-MATCH($F$1,enemy_skill_triggers!$1:$1,0)+1,FALSE)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7" s="136">
        <f ca="1">VLOOKUP($F27,OFFSET(enemy_skill_triggers!$A$1,0,0,COUNTA(enemy_skill_triggers!$A:$A),MATCH(N$1,enemy_skill_triggers!$1:$1,0)-MATCH($F$1,enemy_skill_triggers!$1:$1,0)+1),MATCH(N$1,enemy_skill_triggers!$1:$1,0)-MATCH($F$1,enemy_skill_triggers!$1:$1,0)+1,FALSE)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27" s="136">
        <f ca="1">VLOOKUP($F27,OFFSET(enemy_skill_triggers!$A$1,0,0,COUNTA(enemy_skill_triggers!$A:$A),MATCH(O$1,enemy_skill_triggers!$1:$1,0)-MATCH($F$1,enemy_skill_triggers!$1:$1,0)+1),MATCH(O$1,enemy_skill_triggers!$1:$1,0)-MATCH($F$1,enemy_skill_triggers!$1:$1,0)+1,FALSE)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27" s="132"/>
      <c r="Q27" s="132"/>
      <c r="R27" s="170"/>
    </row>
    <row r="28" spans="1:18" ht="21" customHeight="1" x14ac:dyDescent="0.15">
      <c r="A28" s="39" t="str">
        <f t="shared" si="1"/>
        <v>40034004_40034320</v>
      </c>
      <c r="B28" s="123">
        <v>40034004</v>
      </c>
      <c r="C28" s="124">
        <v>40034320</v>
      </c>
      <c r="D28" s="166" t="str">
        <f ca="1">VLOOKUP($C28,OFFSET(enemy_skills!$A$1,0,0,COUNTA(enemy_skills!$A:$A),MATCH(D$1,enemy_skills!$1:$1,0)-MATCH("enemy_skill_id",enemy_skills!$1:$1,0)+1),MATCH(D$1,enemy_skills!$1:$1,0)-MATCH("enemy_skill_id",enemy_skills!$1:$1,0)+1,FALSE)</f>
        <v>お邪魔パネル清掃</v>
      </c>
      <c r="E28" s="166" t="str">
        <f ca="1">VLOOKUP($C28,OFFSET(enemy_skills!$A$1,0,0,COUNTA(enemy_skills!$A:$A),MATCH(E$1,enemy_skills!$1:$1,0)-MATCH("enemy_skill_id",enemy_skills!$1:$1,0)+1),MATCH(E$1,enemy_skills!$1:$1,0)-MATCH("enemy_skill_id",enemy_skills!$1:$1,0)+1,FALSE)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28" s="124">
        <v>40034626</v>
      </c>
      <c r="G28" s="128">
        <f ca="1">VLOOKUP($F28,OFFSET(enemy_skill_triggers!$A$1,0,0,COUNTA(enemy_skill_triggers!$A:$A),MATCH(G$1,enemy_skill_triggers!$1:$1,0)-MATCH($F$1,enemy_skill_triggers!$1:$1,0)+1),MATCH(G$1,enemy_skill_triggers!$1:$1,0)-MATCH($F$1,enemy_skill_triggers!$1:$1,0)+1,FALSE)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8" s="128">
        <f ca="1">VLOOKUP($F28,OFFSET(enemy_skill_triggers!$A$1,0,0,COUNTA(enemy_skill_triggers!$A:$A),MATCH(H$1,enemy_skill_triggers!$1:$1,0)-MATCH($F$1,enemy_skill_triggers!$1:$1,0)+1),MATCH(H$1,enemy_skill_triggers!$1:$1,0)-MATCH($F$1,enemy_skill_triggers!$1:$1,0)+1,FALSE)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28" s="128">
        <f ca="1">VLOOKUP($F28,OFFSET(enemy_skill_triggers!$A$1,0,0,COUNTA(enemy_skill_triggers!$A:$A),MATCH(I$1,enemy_skill_triggers!$1:$1,0)-MATCH($F$1,enemy_skill_triggers!$1:$1,0)+1),MATCH(I$1,enemy_skill_triggers!$1:$1,0)-MATCH($F$1,enemy_skill_triggers!$1:$1,0)+1,FALSE)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28" s="128" t="str">
        <f ca="1">VLOOKUP($F28,OFFSET(enemy_skill_triggers!$A$1,0,0,COUNTA(enemy_skill_triggers!$A:$A),MATCH(J$1,enemy_skill_triggers!$1:$1,0)-MATCH($F$1,enemy_skill_triggers!$1:$1,0)+1),MATCH(J$1,enemy_skill_triggers!$1:$1,0)-MATCH($F$1,enemy_skill_triggers!$1:$1,0)+1,FALSE)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8" s="128" t="str">
        <f ca="1">VLOOKUP($F28,OFFSET(enemy_skill_triggers!$A$1,0,0,COUNTA(enemy_skill_triggers!$A:$A),MATCH(K$1,enemy_skill_triggers!$1:$1,0)-MATCH($F$1,enemy_skill_triggers!$1:$1,0)+1),MATCH(K$1,enemy_skill_triggers!$1:$1,0)-MATCH($F$1,enemy_skill_triggers!$1:$1,0)+1,FALSE)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8" s="128" t="str">
        <f ca="1">VLOOKUP($F28,OFFSET(enemy_skill_triggers!$A$1,0,0,COUNTA(enemy_skill_triggers!$A:$A),MATCH(L$1,enemy_skill_triggers!$1:$1,0)-MATCH($F$1,enemy_skill_triggers!$1:$1,0)+1),MATCH(L$1,enemy_skill_triggers!$1:$1,0)-MATCH($F$1,enemy_skill_triggers!$1:$1,0)+1,FALSE)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8" s="128" t="str">
        <f ca="1">VLOOKUP($F28,OFFSET(enemy_skill_triggers!$A$1,0,0,COUNTA(enemy_skill_triggers!$A:$A),MATCH(M$1,enemy_skill_triggers!$1:$1,0)-MATCH($F$1,enemy_skill_triggers!$1:$1,0)+1),MATCH(M$1,enemy_skill_triggers!$1:$1,0)-MATCH($F$1,enemy_skill_triggers!$1:$1,0)+1,FALSE)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8" s="128" t="str">
        <f ca="1">VLOOKUP($F28,OFFSET(enemy_skill_triggers!$A$1,0,0,COUNTA(enemy_skill_triggers!$A:$A),MATCH(N$1,enemy_skill_triggers!$1:$1,0)-MATCH($F$1,enemy_skill_triggers!$1:$1,0)+1),MATCH(N$1,enemy_skill_triggers!$1:$1,0)-MATCH($F$1,enemy_skill_triggers!$1:$1,0)+1,FALSE)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8" s="128">
        <f ca="1">VLOOKUP($F28,OFFSET(enemy_skill_triggers!$A$1,0,0,COUNTA(enemy_skill_triggers!$A:$A),MATCH(O$1,enemy_skill_triggers!$1:$1,0)-MATCH($F$1,enemy_skill_triggers!$1:$1,0)+1),MATCH(O$1,enemy_skill_triggers!$1:$1,0)-MATCH($F$1,enemy_skill_triggers!$1:$1,0)+1,FALSE)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28" s="124"/>
      <c r="Q28" s="124"/>
      <c r="R28" s="167"/>
    </row>
    <row r="29" spans="1:18" ht="21" customHeight="1" thickBot="1" x14ac:dyDescent="0.2">
      <c r="A29" s="39" t="str">
        <f t="shared" si="1"/>
        <v>40034004_40034321</v>
      </c>
      <c r="B29" s="168">
        <v>40034004</v>
      </c>
      <c r="C29" s="132">
        <v>40034321</v>
      </c>
      <c r="D29" s="169" t="str">
        <f ca="1">VLOOKUP($C29,OFFSET(enemy_skills!$A$1,0,0,COUNTA(enemy_skills!$A:$A),MATCH(D$1,enemy_skills!$1:$1,0)-MATCH("enemy_skill_id",enemy_skills!$1:$1,0)+1),MATCH(D$1,enemy_skills!$1:$1,0)-MATCH("enemy_skill_id",enemy_skills!$1:$1,0)+1,FALSE)</f>
        <v>エネルギー砲</v>
      </c>
      <c r="E29" s="169" t="str">
        <f ca="1">VLOOKUP($C29,OFFSET(enemy_skills!$A$1,0,0,COUNTA(enemy_skills!$A:$A),MATCH(E$1,enemy_skills!$1:$1,0)-MATCH("enemy_skill_id",enemy_skills!$1:$1,0)+1),MATCH(E$1,enemy_skills!$1:$1,0)-MATCH("enemy_skill_id",enemy_skills!$1:$1,0)+1,FALSE)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29" s="132">
        <v>40034627</v>
      </c>
      <c r="G29" s="136">
        <f ca="1">VLOOKUP($F29,OFFSET(enemy_skill_triggers!$A$1,0,0,COUNTA(enemy_skill_triggers!$A:$A),MATCH(G$1,enemy_skill_triggers!$1:$1,0)-MATCH($F$1,enemy_skill_triggers!$1:$1,0)+1),MATCH(G$1,enemy_skill_triggers!$1:$1,0)-MATCH($F$1,enemy_skill_triggers!$1:$1,0)+1,FALSE)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29" s="136">
        <f ca="1">VLOOKUP($F29,OFFSET(enemy_skill_triggers!$A$1,0,0,COUNTA(enemy_skill_triggers!$A:$A),MATCH(H$1,enemy_skill_triggers!$1:$1,0)-MATCH($F$1,enemy_skill_triggers!$1:$1,0)+1),MATCH(H$1,enemy_skill_triggers!$1:$1,0)-MATCH($F$1,enemy_skill_triggers!$1:$1,0)+1,FALSE)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29" s="136">
        <f ca="1">VLOOKUP($F29,OFFSET(enemy_skill_triggers!$A$1,0,0,COUNTA(enemy_skill_triggers!$A:$A),MATCH(I$1,enemy_skill_triggers!$1:$1,0)-MATCH($F$1,enemy_skill_triggers!$1:$1,0)+1),MATCH(I$1,enemy_skill_triggers!$1:$1,0)-MATCH($F$1,enemy_skill_triggers!$1:$1,0)+1,FALSE)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29" s="136" t="str">
        <f ca="1">VLOOKUP($F29,OFFSET(enemy_skill_triggers!$A$1,0,0,COUNTA(enemy_skill_triggers!$A:$A),MATCH(J$1,enemy_skill_triggers!$1:$1,0)-MATCH($F$1,enemy_skill_triggers!$1:$1,0)+1),MATCH(J$1,enemy_skill_triggers!$1:$1,0)-MATCH($F$1,enemy_skill_triggers!$1:$1,0)+1,FALSE)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29" s="136" t="str">
        <f ca="1">VLOOKUP($F29,OFFSET(enemy_skill_triggers!$A$1,0,0,COUNTA(enemy_skill_triggers!$A:$A),MATCH(K$1,enemy_skill_triggers!$1:$1,0)-MATCH($F$1,enemy_skill_triggers!$1:$1,0)+1),MATCH(K$1,enemy_skill_triggers!$1:$1,0)-MATCH($F$1,enemy_skill_triggers!$1:$1,0)+1,FALSE)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29" s="136" t="str">
        <f ca="1">VLOOKUP($F29,OFFSET(enemy_skill_triggers!$A$1,0,0,COUNTA(enemy_skill_triggers!$A:$A),MATCH(L$1,enemy_skill_triggers!$1:$1,0)-MATCH($F$1,enemy_skill_triggers!$1:$1,0)+1),MATCH(L$1,enemy_skill_triggers!$1:$1,0)-MATCH($F$1,enemy_skill_triggers!$1:$1,0)+1,FALSE)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29" s="136" t="str">
        <f ca="1">VLOOKUP($F29,OFFSET(enemy_skill_triggers!$A$1,0,0,COUNTA(enemy_skill_triggers!$A:$A),MATCH(M$1,enemy_skill_triggers!$1:$1,0)-MATCH($F$1,enemy_skill_triggers!$1:$1,0)+1),MATCH(M$1,enemy_skill_triggers!$1:$1,0)-MATCH($F$1,enemy_skill_triggers!$1:$1,0)+1,FALSE)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29" s="136" t="str">
        <f ca="1">VLOOKUP($F29,OFFSET(enemy_skill_triggers!$A$1,0,0,COUNTA(enemy_skill_triggers!$A:$A),MATCH(N$1,enemy_skill_triggers!$1:$1,0)-MATCH($F$1,enemy_skill_triggers!$1:$1,0)+1),MATCH(N$1,enemy_skill_triggers!$1:$1,0)-MATCH($F$1,enemy_skill_triggers!$1:$1,0)+1,FALSE)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29" s="136">
        <f ca="1">VLOOKUP($F29,OFFSET(enemy_skill_triggers!$A$1,0,0,COUNTA(enemy_skill_triggers!$A:$A),MATCH(O$1,enemy_skill_triggers!$1:$1,0)-MATCH($F$1,enemy_skill_triggers!$1:$1,0)+1),MATCH(O$1,enemy_skill_triggers!$1:$1,0)-MATCH($F$1,enemy_skill_triggers!$1:$1,0)+1,FALSE)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29" s="132"/>
      <c r="Q29" s="132"/>
      <c r="R29" s="170"/>
    </row>
    <row r="30" spans="1:18" ht="21" customHeight="1" x14ac:dyDescent="0.15">
      <c r="A30" s="39" t="str">
        <f t="shared" si="1"/>
        <v>40034005_40034322</v>
      </c>
      <c r="B30" s="123">
        <v>40034005</v>
      </c>
      <c r="C30" s="124">
        <v>40034322</v>
      </c>
      <c r="D30" s="166" t="str">
        <f ca="1">VLOOKUP($C30,OFFSET(enemy_skills!$A$1,0,0,COUNTA(enemy_skills!$A:$A),MATCH(D$1,enemy_skills!$1:$1,0)-MATCH("enemy_skill_id",enemy_skills!$1:$1,0)+1),MATCH(D$1,enemy_skills!$1:$1,0)-MATCH("enemy_skill_id",enemy_skills!$1:$1,0)+1,FALSE)</f>
        <v>さぁ…私をボコボコにして…</v>
      </c>
      <c r="E30" s="166" t="str">
        <f ca="1">VLOOKUP($C30,OFFSET(enemy_skills!$A$1,0,0,COUNTA(enemy_skills!$A:$A),MATCH(E$1,enemy_skills!$1:$1,0)-MATCH("enemy_skill_id",enemy_skills!$1:$1,0)+1),MATCH(E$1,enemy_skills!$1:$1,0)-MATCH("enemy_skill_id",enemy_skills!$1:$1,0)+1,FALSE)</f>
        <v>スケアクロウの外見が変わった！_x000D_スピーカーからはカーリーの声が聴こえる…</v>
      </c>
      <c r="F30" s="124">
        <v>40034628</v>
      </c>
      <c r="G30" s="128">
        <f ca="1">VLOOKUP($F30,OFFSET(enemy_skill_triggers!$A$1,0,0,COUNTA(enemy_skill_triggers!$A:$A),MATCH(G$1,enemy_skill_triggers!$1:$1,0)-MATCH($F$1,enemy_skill_triggers!$1:$1,0)+1),MATCH(G$1,enemy_skill_triggers!$1:$1,0)-MATCH($F$1,enemy_skill_triggers!$1:$1,0)+1,FALSE)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0" s="128">
        <f ca="1">VLOOKUP($F30,OFFSET(enemy_skill_triggers!$A$1,0,0,COUNTA(enemy_skill_triggers!$A:$A),MATCH(H$1,enemy_skill_triggers!$1:$1,0)-MATCH($F$1,enemy_skill_triggers!$1:$1,0)+1),MATCH(H$1,enemy_skill_triggers!$1:$1,0)-MATCH($F$1,enemy_skill_triggers!$1:$1,0)+1,FALSE)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0" s="128">
        <f ca="1">VLOOKUP($F30,OFFSET(enemy_skill_triggers!$A$1,0,0,COUNTA(enemy_skill_triggers!$A:$A),MATCH(I$1,enemy_skill_triggers!$1:$1,0)-MATCH($F$1,enemy_skill_triggers!$1:$1,0)+1),MATCH(I$1,enemy_skill_triggers!$1:$1,0)-MATCH($F$1,enemy_skill_triggers!$1:$1,0)+1,FALSE)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0" s="128" t="str">
        <f ca="1">VLOOKUP($F30,OFFSET(enemy_skill_triggers!$A$1,0,0,COUNTA(enemy_skill_triggers!$A:$A),MATCH(J$1,enemy_skill_triggers!$1:$1,0)-MATCH($F$1,enemy_skill_triggers!$1:$1,0)+1),MATCH(J$1,enemy_skill_triggers!$1:$1,0)-MATCH($F$1,enemy_skill_triggers!$1:$1,0)+1,FALSE)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0" s="128" t="str">
        <f ca="1">VLOOKUP($F30,OFFSET(enemy_skill_triggers!$A$1,0,0,COUNTA(enemy_skill_triggers!$A:$A),MATCH(K$1,enemy_skill_triggers!$1:$1,0)-MATCH($F$1,enemy_skill_triggers!$1:$1,0)+1),MATCH(K$1,enemy_skill_triggers!$1:$1,0)-MATCH($F$1,enemy_skill_triggers!$1:$1,0)+1,FALSE)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0" s="128">
        <f ca="1">VLOOKUP($F30,OFFSET(enemy_skill_triggers!$A$1,0,0,COUNTA(enemy_skill_triggers!$A:$A),MATCH(L$1,enemy_skill_triggers!$1:$1,0)-MATCH($F$1,enemy_skill_triggers!$1:$1,0)+1),MATCH(L$1,enemy_skill_triggers!$1:$1,0)-MATCH($F$1,enemy_skill_triggers!$1:$1,0)+1,FALSE)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0" s="128" t="str">
        <f ca="1">VLOOKUP($F30,OFFSET(enemy_skill_triggers!$A$1,0,0,COUNTA(enemy_skill_triggers!$A:$A),MATCH(M$1,enemy_skill_triggers!$1:$1,0)-MATCH($F$1,enemy_skill_triggers!$1:$1,0)+1),MATCH(M$1,enemy_skill_triggers!$1:$1,0)-MATCH($F$1,enemy_skill_triggers!$1:$1,0)+1,FALSE)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0" s="128" t="str">
        <f ca="1">VLOOKUP($F30,OFFSET(enemy_skill_triggers!$A$1,0,0,COUNTA(enemy_skill_triggers!$A:$A),MATCH(N$1,enemy_skill_triggers!$1:$1,0)-MATCH($F$1,enemy_skill_triggers!$1:$1,0)+1),MATCH(N$1,enemy_skill_triggers!$1:$1,0)-MATCH($F$1,enemy_skill_triggers!$1:$1,0)+1,FALSE)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0" s="128">
        <f ca="1">VLOOKUP($F30,OFFSET(enemy_skill_triggers!$A$1,0,0,COUNTA(enemy_skill_triggers!$A:$A),MATCH(O$1,enemy_skill_triggers!$1:$1,0)-MATCH($F$1,enemy_skill_triggers!$1:$1,0)+1),MATCH(O$1,enemy_skill_triggers!$1:$1,0)-MATCH($F$1,enemy_skill_triggers!$1:$1,0)+1,FALSE)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0" s="124"/>
      <c r="Q30" s="124"/>
      <c r="R30" s="167"/>
    </row>
    <row r="31" spans="1:18" ht="21" customHeight="1" x14ac:dyDescent="0.15">
      <c r="A31" s="39" t="str">
        <f t="shared" si="1"/>
        <v>40034005_40034323</v>
      </c>
      <c r="B31" s="171">
        <v>40034005</v>
      </c>
      <c r="C31" s="43">
        <v>40034323</v>
      </c>
      <c r="D31" s="42" t="str">
        <f ca="1">VLOOKUP($C31,OFFSET(enemy_skills!$A$1,0,0,COUNTA(enemy_skills!$A:$A),MATCH(D$1,enemy_skills!$1:$1,0)-MATCH("enemy_skill_id",enemy_skills!$1:$1,0)+1),MATCH(D$1,enemy_skills!$1:$1,0)-MATCH("enemy_skill_id",enemy_skills!$1:$1,0)+1,FALSE)</f>
        <v>永遠の焦燥</v>
      </c>
      <c r="E31" s="42" t="str">
        <f ca="1">VLOOKUP($C31,OFFSET(enemy_skills!$A$1,0,0,COUNTA(enemy_skills!$A:$A),MATCH(E$1,enemy_skills!$1:$1,0)-MATCH("enemy_skill_id",enemy_skills!$1:$1,0)+1),MATCH(E$1,enemy_skills!$1:$1,0)-MATCH("enemy_skill_id",enemy_skills!$1:$1,0)+1,FALSE)</f>
        <v>解除するまで回復力DOWN</v>
      </c>
      <c r="F31" s="43">
        <v>40034629</v>
      </c>
      <c r="G31" s="44">
        <f ca="1">VLOOKUP($F31,OFFSET(enemy_skill_triggers!$A$1,0,0,COUNTA(enemy_skill_triggers!$A:$A),MATCH(G$1,enemy_skill_triggers!$1:$1,0)-MATCH($F$1,enemy_skill_triggers!$1:$1,0)+1),MATCH(G$1,enemy_skill_triggers!$1:$1,0)-MATCH($F$1,enemy_skill_triggers!$1:$1,0)+1,FALSE)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1" s="44">
        <f ca="1">VLOOKUP($F31,OFFSET(enemy_skill_triggers!$A$1,0,0,COUNTA(enemy_skill_triggers!$A:$A),MATCH(H$1,enemy_skill_triggers!$1:$1,0)-MATCH($F$1,enemy_skill_triggers!$1:$1,0)+1),MATCH(H$1,enemy_skill_triggers!$1:$1,0)-MATCH($F$1,enemy_skill_triggers!$1:$1,0)+1,FALSE)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1" s="44">
        <f ca="1">VLOOKUP($F31,OFFSET(enemy_skill_triggers!$A$1,0,0,COUNTA(enemy_skill_triggers!$A:$A),MATCH(I$1,enemy_skill_triggers!$1:$1,0)-MATCH($F$1,enemy_skill_triggers!$1:$1,0)+1),MATCH(I$1,enemy_skill_triggers!$1:$1,0)-MATCH($F$1,enemy_skill_triggers!$1:$1,0)+1,FALSE)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1" s="44" t="str">
        <f ca="1">VLOOKUP($F31,OFFSET(enemy_skill_triggers!$A$1,0,0,COUNTA(enemy_skill_triggers!$A:$A),MATCH(J$1,enemy_skill_triggers!$1:$1,0)-MATCH($F$1,enemy_skill_triggers!$1:$1,0)+1),MATCH(J$1,enemy_skill_triggers!$1:$1,0)-MATCH($F$1,enemy_skill_triggers!$1:$1,0)+1,FALSE)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1" s="44" t="str">
        <f ca="1">VLOOKUP($F31,OFFSET(enemy_skill_triggers!$A$1,0,0,COUNTA(enemy_skill_triggers!$A:$A),MATCH(K$1,enemy_skill_triggers!$1:$1,0)-MATCH($F$1,enemy_skill_triggers!$1:$1,0)+1),MATCH(K$1,enemy_skill_triggers!$1:$1,0)-MATCH($F$1,enemy_skill_triggers!$1:$1,0)+1,FALSE)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1" s="44">
        <f ca="1">VLOOKUP($F31,OFFSET(enemy_skill_triggers!$A$1,0,0,COUNTA(enemy_skill_triggers!$A:$A),MATCH(L$1,enemy_skill_triggers!$1:$1,0)-MATCH($F$1,enemy_skill_triggers!$1:$1,0)+1),MATCH(L$1,enemy_skill_triggers!$1:$1,0)-MATCH($F$1,enemy_skill_triggers!$1:$1,0)+1,FALSE)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1" s="44" t="str">
        <f ca="1">VLOOKUP($F31,OFFSET(enemy_skill_triggers!$A$1,0,0,COUNTA(enemy_skill_triggers!$A:$A),MATCH(M$1,enemy_skill_triggers!$1:$1,0)-MATCH($F$1,enemy_skill_triggers!$1:$1,0)+1),MATCH(M$1,enemy_skill_triggers!$1:$1,0)-MATCH($F$1,enemy_skill_triggers!$1:$1,0)+1,FALSE)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1" s="44" t="str">
        <f ca="1">VLOOKUP($F31,OFFSET(enemy_skill_triggers!$A$1,0,0,COUNTA(enemy_skill_triggers!$A:$A),MATCH(N$1,enemy_skill_triggers!$1:$1,0)-MATCH($F$1,enemy_skill_triggers!$1:$1,0)+1),MATCH(N$1,enemy_skill_triggers!$1:$1,0)-MATCH($F$1,enemy_skill_triggers!$1:$1,0)+1,FALSE)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1" s="44">
        <f ca="1">VLOOKUP($F31,OFFSET(enemy_skill_triggers!$A$1,0,0,COUNTA(enemy_skill_triggers!$A:$A),MATCH(O$1,enemy_skill_triggers!$1:$1,0)-MATCH($F$1,enemy_skill_triggers!$1:$1,0)+1),MATCH(O$1,enemy_skill_triggers!$1:$1,0)-MATCH($F$1,enemy_skill_triggers!$1:$1,0)+1,FALSE)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1" s="43"/>
      <c r="Q31" s="43"/>
      <c r="R31" s="172"/>
    </row>
    <row r="32" spans="1:18" ht="21" customHeight="1" x14ac:dyDescent="0.15">
      <c r="A32" s="39" t="str">
        <f t="shared" si="1"/>
        <v>40034005_40034324</v>
      </c>
      <c r="B32" s="171">
        <v>40034005</v>
      </c>
      <c r="C32" s="43">
        <v>40034324</v>
      </c>
      <c r="D32" s="42" t="str">
        <f ca="1">VLOOKUP($C32,OFFSET(enemy_skills!$A$1,0,0,COUNTA(enemy_skills!$A:$A),MATCH(D$1,enemy_skills!$1:$1,0)-MATCH("enemy_skill_id",enemy_skills!$1:$1,0)+1),MATCH(D$1,enemy_skills!$1:$1,0)-MATCH("enemy_skill_id",enemy_skills!$1:$1,0)+1,FALSE)</f>
        <v>リソース転換</v>
      </c>
      <c r="E32" s="42" t="str">
        <f ca="1">VLOOKUP($C32,OFFSET(enemy_skills!$A$1,0,0,COUNTA(enemy_skills!$A:$A),MATCH(E$1,enemy_skills!$1:$1,0)-MATCH("enemy_skill_id",enemy_skills!$1:$1,0)+1),MATCH(E$1,enemy_skills!$1:$1,0)-MATCH("enemy_skill_id",enemy_skills!$1:$1,0)+1,FALSE)</f>
        <v>ハートパネルを最大10個青パネルに変換</v>
      </c>
      <c r="F32" s="43">
        <v>40034630</v>
      </c>
      <c r="G32" s="44">
        <f ca="1">VLOOKUP($F32,OFFSET(enemy_skill_triggers!$A$1,0,0,COUNTA(enemy_skill_triggers!$A:$A),MATCH(G$1,enemy_skill_triggers!$1:$1,0)-MATCH($F$1,enemy_skill_triggers!$1:$1,0)+1),MATCH(G$1,enemy_skill_triggers!$1:$1,0)-MATCH($F$1,enemy_skill_triggers!$1:$1,0)+1,FALSE)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2" s="44">
        <f ca="1">VLOOKUP($F32,OFFSET(enemy_skill_triggers!$A$1,0,0,COUNTA(enemy_skill_triggers!$A:$A),MATCH(H$1,enemy_skill_triggers!$1:$1,0)-MATCH($F$1,enemy_skill_triggers!$1:$1,0)+1),MATCH(H$1,enemy_skill_triggers!$1:$1,0)-MATCH($F$1,enemy_skill_triggers!$1:$1,0)+1,FALSE)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2" s="44">
        <f ca="1">VLOOKUP($F32,OFFSET(enemy_skill_triggers!$A$1,0,0,COUNTA(enemy_skill_triggers!$A:$A),MATCH(I$1,enemy_skill_triggers!$1:$1,0)-MATCH($F$1,enemy_skill_triggers!$1:$1,0)+1),MATCH(I$1,enemy_skill_triggers!$1:$1,0)-MATCH($F$1,enemy_skill_triggers!$1:$1,0)+1,FALSE)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2" s="44" t="str">
        <f ca="1">VLOOKUP($F32,OFFSET(enemy_skill_triggers!$A$1,0,0,COUNTA(enemy_skill_triggers!$A:$A),MATCH(J$1,enemy_skill_triggers!$1:$1,0)-MATCH($F$1,enemy_skill_triggers!$1:$1,0)+1),MATCH(J$1,enemy_skill_triggers!$1:$1,0)-MATCH($F$1,enemy_skill_triggers!$1:$1,0)+1,FALSE)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2" s="44" t="str">
        <f ca="1">VLOOKUP($F32,OFFSET(enemy_skill_triggers!$A$1,0,0,COUNTA(enemy_skill_triggers!$A:$A),MATCH(K$1,enemy_skill_triggers!$1:$1,0)-MATCH($F$1,enemy_skill_triggers!$1:$1,0)+1),MATCH(K$1,enemy_skill_triggers!$1:$1,0)-MATCH($F$1,enemy_skill_triggers!$1:$1,0)+1,FALSE)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2" s="44" t="str">
        <f ca="1">VLOOKUP($F32,OFFSET(enemy_skill_triggers!$A$1,0,0,COUNTA(enemy_skill_triggers!$A:$A),MATCH(L$1,enemy_skill_triggers!$1:$1,0)-MATCH($F$1,enemy_skill_triggers!$1:$1,0)+1),MATCH(L$1,enemy_skill_triggers!$1:$1,0)-MATCH($F$1,enemy_skill_triggers!$1:$1,0)+1,FALSE)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2" s="44" t="str">
        <f ca="1">VLOOKUP($F32,OFFSET(enemy_skill_triggers!$A$1,0,0,COUNTA(enemy_skill_triggers!$A:$A),MATCH(M$1,enemy_skill_triggers!$1:$1,0)-MATCH($F$1,enemy_skill_triggers!$1:$1,0)+1),MATCH(M$1,enemy_skill_triggers!$1:$1,0)-MATCH($F$1,enemy_skill_triggers!$1:$1,0)+1,FALSE)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2" s="44" t="str">
        <f ca="1">VLOOKUP($F32,OFFSET(enemy_skill_triggers!$A$1,0,0,COUNTA(enemy_skill_triggers!$A:$A),MATCH(N$1,enemy_skill_triggers!$1:$1,0)-MATCH($F$1,enemy_skill_triggers!$1:$1,0)+1),MATCH(N$1,enemy_skill_triggers!$1:$1,0)-MATCH($F$1,enemy_skill_triggers!$1:$1,0)+1,FALSE)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2" s="44">
        <f ca="1">VLOOKUP($F32,OFFSET(enemy_skill_triggers!$A$1,0,0,COUNTA(enemy_skill_triggers!$A:$A),MATCH(O$1,enemy_skill_triggers!$1:$1,0)-MATCH($F$1,enemy_skill_triggers!$1:$1,0)+1),MATCH(O$1,enemy_skill_triggers!$1:$1,0)-MATCH($F$1,enemy_skill_triggers!$1:$1,0)+1,FALSE)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2" s="43"/>
      <c r="Q32" s="43"/>
      <c r="R32" s="172"/>
    </row>
    <row r="33" spans="1:18" ht="21" customHeight="1" x14ac:dyDescent="0.15">
      <c r="A33" s="39" t="str">
        <f t="shared" si="1"/>
        <v>40034005_40034325</v>
      </c>
      <c r="B33" s="171">
        <v>40034005</v>
      </c>
      <c r="C33" s="43">
        <v>40034325</v>
      </c>
      <c r="D33" s="42" t="str">
        <f ca="1">VLOOKUP($C33,OFFSET(enemy_skills!$A$1,0,0,COUNTA(enemy_skills!$A:$A),MATCH(D$1,enemy_skills!$1:$1,0)-MATCH("enemy_skill_id",enemy_skills!$1:$1,0)+1),MATCH(D$1,enemy_skills!$1:$1,0)-MATCH("enemy_skill_id",enemy_skills!$1:$1,0)+1,FALSE)</f>
        <v>ブルーヒーリング</v>
      </c>
      <c r="E33" s="42" t="str">
        <f ca="1">VLOOKUP($C33,OFFSET(enemy_skills!$A$1,0,0,COUNTA(enemy_skills!$A:$A),MATCH(E$1,enemy_skills!$1:$1,0)-MATCH("enemy_skill_id",enemy_skills!$1:$1,0)+1),MATCH(E$1,enemy_skills!$1:$1,0)-MATCH("enemy_skill_id",enemy_skills!$1:$1,0)+1,FALSE)</f>
        <v>青パネルを吸収して回復</v>
      </c>
      <c r="F33" s="43">
        <v>40034631</v>
      </c>
      <c r="G33" s="44">
        <f ca="1">VLOOKUP($F33,OFFSET(enemy_skill_triggers!$A$1,0,0,COUNTA(enemy_skill_triggers!$A:$A),MATCH(G$1,enemy_skill_triggers!$1:$1,0)-MATCH($F$1,enemy_skill_triggers!$1:$1,0)+1),MATCH(G$1,enemy_skill_triggers!$1:$1,0)-MATCH($F$1,enemy_skill_triggers!$1:$1,0)+1,FALSE)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3" s="44">
        <f ca="1">VLOOKUP($F33,OFFSET(enemy_skill_triggers!$A$1,0,0,COUNTA(enemy_skill_triggers!$A:$A),MATCH(H$1,enemy_skill_triggers!$1:$1,0)-MATCH($F$1,enemy_skill_triggers!$1:$1,0)+1),MATCH(H$1,enemy_skill_triggers!$1:$1,0)-MATCH($F$1,enemy_skill_triggers!$1:$1,0)+1,FALSE)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3" s="44">
        <f ca="1">VLOOKUP($F33,OFFSET(enemy_skill_triggers!$A$1,0,0,COUNTA(enemy_skill_triggers!$A:$A),MATCH(I$1,enemy_skill_triggers!$1:$1,0)-MATCH($F$1,enemy_skill_triggers!$1:$1,0)+1),MATCH(I$1,enemy_skill_triggers!$1:$1,0)-MATCH($F$1,enemy_skill_triggers!$1:$1,0)+1,FALSE)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33" s="44" t="str">
        <f ca="1">VLOOKUP($F33,OFFSET(enemy_skill_triggers!$A$1,0,0,COUNTA(enemy_skill_triggers!$A:$A),MATCH(J$1,enemy_skill_triggers!$1:$1,0)-MATCH($F$1,enemy_skill_triggers!$1:$1,0)+1),MATCH(J$1,enemy_skill_triggers!$1:$1,0)-MATCH($F$1,enemy_skill_triggers!$1:$1,0)+1,FALSE)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3" s="44" t="str">
        <f ca="1">VLOOKUP($F33,OFFSET(enemy_skill_triggers!$A$1,0,0,COUNTA(enemy_skill_triggers!$A:$A),MATCH(K$1,enemy_skill_triggers!$1:$1,0)-MATCH($F$1,enemy_skill_triggers!$1:$1,0)+1),MATCH(K$1,enemy_skill_triggers!$1:$1,0)-MATCH($F$1,enemy_skill_triggers!$1:$1,0)+1,FALSE)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3" s="44" t="str">
        <f ca="1">VLOOKUP($F33,OFFSET(enemy_skill_triggers!$A$1,0,0,COUNTA(enemy_skill_triggers!$A:$A),MATCH(L$1,enemy_skill_triggers!$1:$1,0)-MATCH($F$1,enemy_skill_triggers!$1:$1,0)+1),MATCH(L$1,enemy_skill_triggers!$1:$1,0)-MATCH($F$1,enemy_skill_triggers!$1:$1,0)+1,FALSE)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3" s="44" t="str">
        <f ca="1">VLOOKUP($F33,OFFSET(enemy_skill_triggers!$A$1,0,0,COUNTA(enemy_skill_triggers!$A:$A),MATCH(M$1,enemy_skill_triggers!$1:$1,0)-MATCH($F$1,enemy_skill_triggers!$1:$1,0)+1),MATCH(M$1,enemy_skill_triggers!$1:$1,0)-MATCH($F$1,enemy_skill_triggers!$1:$1,0)+1,FALSE)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3" s="44" t="str">
        <f ca="1">VLOOKUP($F33,OFFSET(enemy_skill_triggers!$A$1,0,0,COUNTA(enemy_skill_triggers!$A:$A),MATCH(N$1,enemy_skill_triggers!$1:$1,0)-MATCH($F$1,enemy_skill_triggers!$1:$1,0)+1),MATCH(N$1,enemy_skill_triggers!$1:$1,0)-MATCH($F$1,enemy_skill_triggers!$1:$1,0)+1,FALSE)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3" s="44">
        <f ca="1">VLOOKUP($F33,OFFSET(enemy_skill_triggers!$A$1,0,0,COUNTA(enemy_skill_triggers!$A:$A),MATCH(O$1,enemy_skill_triggers!$1:$1,0)-MATCH($F$1,enemy_skill_triggers!$1:$1,0)+1),MATCH(O$1,enemy_skill_triggers!$1:$1,0)-MATCH($F$1,enemy_skill_triggers!$1:$1,0)+1,FALSE)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33" s="43"/>
      <c r="Q33" s="43"/>
      <c r="R33" s="172"/>
    </row>
    <row r="34" spans="1:18" ht="21" customHeight="1" x14ac:dyDescent="0.15">
      <c r="A34" s="39" t="str">
        <f t="shared" si="1"/>
        <v>40034005_40034326</v>
      </c>
      <c r="B34" s="171">
        <v>40034005</v>
      </c>
      <c r="C34" s="43">
        <v>40034326</v>
      </c>
      <c r="D34" s="42" t="str">
        <f ca="1">VLOOKUP($C34,OFFSET(enemy_skills!$A$1,0,0,COUNTA(enemy_skills!$A:$A),MATCH(D$1,enemy_skills!$1:$1,0)-MATCH("enemy_skill_id",enemy_skills!$1:$1,0)+1),MATCH(D$1,enemy_skills!$1:$1,0)-MATCH("enemy_skill_id",enemy_skills!$1:$1,0)+1,FALSE)</f>
        <v>私も…参加しちゃうわ…うふふ</v>
      </c>
      <c r="E34" s="42" t="str">
        <f ca="1">VLOOKUP($C34,OFFSET(enemy_skills!$A$1,0,0,COUNTA(enemy_skills!$A:$A),MATCH(E$1,enemy_skills!$1:$1,0)-MATCH("enemy_skill_id",enemy_skills!$1:$1,0)+1),MATCH(E$1,enemy_skills!$1:$1,0)-MATCH("enemy_skill_id",enemy_skills!$1:$1,0)+1,FALSE)</f>
        <v>カーリーが攻撃に参加！_x000D_現在HPの10％ダメージ</v>
      </c>
      <c r="F34" s="43">
        <v>40034632</v>
      </c>
      <c r="G34" s="44">
        <f ca="1">VLOOKUP($F34,OFFSET(enemy_skill_triggers!$A$1,0,0,COUNTA(enemy_skill_triggers!$A:$A),MATCH(G$1,enemy_skill_triggers!$1:$1,0)-MATCH($F$1,enemy_skill_triggers!$1:$1,0)+1),MATCH(G$1,enemy_skill_triggers!$1:$1,0)-MATCH($F$1,enemy_skill_triggers!$1:$1,0)+1,FALSE)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4" s="44">
        <f ca="1">VLOOKUP($F34,OFFSET(enemy_skill_triggers!$A$1,0,0,COUNTA(enemy_skill_triggers!$A:$A),MATCH(H$1,enemy_skill_triggers!$1:$1,0)-MATCH($F$1,enemy_skill_triggers!$1:$1,0)+1),MATCH(H$1,enemy_skill_triggers!$1:$1,0)-MATCH($F$1,enemy_skill_triggers!$1:$1,0)+1,FALSE)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34" s="44">
        <f ca="1">VLOOKUP($F34,OFFSET(enemy_skill_triggers!$A$1,0,0,COUNTA(enemy_skill_triggers!$A:$A),MATCH(I$1,enemy_skill_triggers!$1:$1,0)-MATCH($F$1,enemy_skill_triggers!$1:$1,0)+1),MATCH(I$1,enemy_skill_triggers!$1:$1,0)-MATCH($F$1,enemy_skill_triggers!$1:$1,0)+1,FALSE)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4" s="44">
        <f ca="1">VLOOKUP($F34,OFFSET(enemy_skill_triggers!$A$1,0,0,COUNTA(enemy_skill_triggers!$A:$A),MATCH(J$1,enemy_skill_triggers!$1:$1,0)-MATCH($F$1,enemy_skill_triggers!$1:$1,0)+1),MATCH(J$1,enemy_skill_triggers!$1:$1,0)-MATCH($F$1,enemy_skill_triggers!$1:$1,0)+1,FALSE)</f>
        <v>55</v>
      </c>
      <c r="K34" s="44" t="str">
        <f ca="1">VLOOKUP($F34,OFFSET(enemy_skill_triggers!$A$1,0,0,COUNTA(enemy_skill_triggers!$A:$A),MATCH(K$1,enemy_skill_triggers!$1:$1,0)-MATCH($F$1,enemy_skill_triggers!$1:$1,0)+1),MATCH(K$1,enemy_skill_triggers!$1:$1,0)-MATCH($F$1,enemy_skill_triggers!$1:$1,0)+1,FALSE)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4" s="44">
        <f ca="1">VLOOKUP($F34,OFFSET(enemy_skill_triggers!$A$1,0,0,COUNTA(enemy_skill_triggers!$A:$A),MATCH(L$1,enemy_skill_triggers!$1:$1,0)-MATCH($F$1,enemy_skill_triggers!$1:$1,0)+1),MATCH(L$1,enemy_skill_triggers!$1:$1,0)-MATCH($F$1,enemy_skill_triggers!$1:$1,0)+1,FALSE)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4" s="44" t="str">
        <f ca="1">VLOOKUP($F34,OFFSET(enemy_skill_triggers!$A$1,0,0,COUNTA(enemy_skill_triggers!$A:$A),MATCH(M$1,enemy_skill_triggers!$1:$1,0)-MATCH($F$1,enemy_skill_triggers!$1:$1,0)+1),MATCH(M$1,enemy_skill_triggers!$1:$1,0)-MATCH($F$1,enemy_skill_triggers!$1:$1,0)+1,FALSE)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4" s="44" t="str">
        <f ca="1">VLOOKUP($F34,OFFSET(enemy_skill_triggers!$A$1,0,0,COUNTA(enemy_skill_triggers!$A:$A),MATCH(N$1,enemy_skill_triggers!$1:$1,0)-MATCH($F$1,enemy_skill_triggers!$1:$1,0)+1),MATCH(N$1,enemy_skill_triggers!$1:$1,0)-MATCH($F$1,enemy_skill_triggers!$1:$1,0)+1,FALSE)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4" s="44">
        <f ca="1">VLOOKUP($F34,OFFSET(enemy_skill_triggers!$A$1,0,0,COUNTA(enemy_skill_triggers!$A:$A),MATCH(O$1,enemy_skill_triggers!$1:$1,0)-MATCH($F$1,enemy_skill_triggers!$1:$1,0)+1),MATCH(O$1,enemy_skill_triggers!$1:$1,0)-MATCH($F$1,enemy_skill_triggers!$1:$1,0)+1,FALSE)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4" s="43"/>
      <c r="Q34" s="43"/>
      <c r="R34" s="172"/>
    </row>
    <row r="35" spans="1:18" ht="21" customHeight="1" thickBot="1" x14ac:dyDescent="0.2">
      <c r="A35" s="39" t="str">
        <f t="shared" si="1"/>
        <v>40034005_40034327</v>
      </c>
      <c r="B35" s="168">
        <v>40034005</v>
      </c>
      <c r="C35" s="132">
        <v>40034327</v>
      </c>
      <c r="D35" s="169" t="str">
        <f ca="1">VLOOKUP($C35,OFFSET(enemy_skills!$A$1,0,0,COUNTA(enemy_skills!$A:$A),MATCH(D$1,enemy_skills!$1:$1,0)-MATCH("enemy_skill_id",enemy_skills!$1:$1,0)+1),MATCH(D$1,enemy_skills!$1:$1,0)-MATCH("enemy_skill_id",enemy_skills!$1:$1,0)+1,FALSE)</f>
        <v>加速…するよ…</v>
      </c>
      <c r="E35" s="169" t="str">
        <f ca="1">VLOOKUP($C35,OFFSET(enemy_skills!$A$1,0,0,COUNTA(enemy_skills!$A:$A),MATCH(E$1,enemy_skills!$1:$1,0)-MATCH("enemy_skill_id",enemy_skills!$1:$1,0)+1),MATCH(E$1,enemy_skills!$1:$1,0)-MATCH("enemy_skill_id",enemy_skills!$1:$1,0)+1,FALSE)</f>
        <v>9ターンの間行動頻度UP</v>
      </c>
      <c r="F35" s="132">
        <v>40034633</v>
      </c>
      <c r="G35" s="136">
        <f ca="1">VLOOKUP($F35,OFFSET(enemy_skill_triggers!$A$1,0,0,COUNTA(enemy_skill_triggers!$A:$A),MATCH(G$1,enemy_skill_triggers!$1:$1,0)-MATCH($F$1,enemy_skill_triggers!$1:$1,0)+1),MATCH(G$1,enemy_skill_triggers!$1:$1,0)-MATCH($F$1,enemy_skill_triggers!$1:$1,0)+1,FALSE)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5" s="136">
        <f ca="1">VLOOKUP($F35,OFFSET(enemy_skill_triggers!$A$1,0,0,COUNTA(enemy_skill_triggers!$A:$A),MATCH(H$1,enemy_skill_triggers!$1:$1,0)-MATCH($F$1,enemy_skill_triggers!$1:$1,0)+1),MATCH(H$1,enemy_skill_triggers!$1:$1,0)-MATCH($F$1,enemy_skill_triggers!$1:$1,0)+1,FALSE)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35" s="136">
        <f ca="1">VLOOKUP($F35,OFFSET(enemy_skill_triggers!$A$1,0,0,COUNTA(enemy_skill_triggers!$A:$A),MATCH(I$1,enemy_skill_triggers!$1:$1,0)-MATCH($F$1,enemy_skill_triggers!$1:$1,0)+1),MATCH(I$1,enemy_skill_triggers!$1:$1,0)-MATCH($F$1,enemy_skill_triggers!$1:$1,0)+1,FALSE)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5" s="136">
        <f ca="1">VLOOKUP($F35,OFFSET(enemy_skill_triggers!$A$1,0,0,COUNTA(enemy_skill_triggers!$A:$A),MATCH(J$1,enemy_skill_triggers!$1:$1,0)-MATCH($F$1,enemy_skill_triggers!$1:$1,0)+1),MATCH(J$1,enemy_skill_triggers!$1:$1,0)-MATCH($F$1,enemy_skill_triggers!$1:$1,0)+1,FALSE)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35" s="136" t="str">
        <f ca="1">VLOOKUP($F35,OFFSET(enemy_skill_triggers!$A$1,0,0,COUNTA(enemy_skill_triggers!$A:$A),MATCH(K$1,enemy_skill_triggers!$1:$1,0)-MATCH($F$1,enemy_skill_triggers!$1:$1,0)+1),MATCH(K$1,enemy_skill_triggers!$1:$1,0)-MATCH($F$1,enemy_skill_triggers!$1:$1,0)+1,FALSE)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5" s="136">
        <f ca="1">VLOOKUP($F35,OFFSET(enemy_skill_triggers!$A$1,0,0,COUNTA(enemy_skill_triggers!$A:$A),MATCH(L$1,enemy_skill_triggers!$1:$1,0)-MATCH($F$1,enemy_skill_triggers!$1:$1,0)+1),MATCH(L$1,enemy_skill_triggers!$1:$1,0)-MATCH($F$1,enemy_skill_triggers!$1:$1,0)+1,FALSE)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5" s="136" t="str">
        <f ca="1">VLOOKUP($F35,OFFSET(enemy_skill_triggers!$A$1,0,0,COUNTA(enemy_skill_triggers!$A:$A),MATCH(M$1,enemy_skill_triggers!$1:$1,0)-MATCH($F$1,enemy_skill_triggers!$1:$1,0)+1),MATCH(M$1,enemy_skill_triggers!$1:$1,0)-MATCH($F$1,enemy_skill_triggers!$1:$1,0)+1,FALSE)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5" s="136" t="str">
        <f ca="1">VLOOKUP($F35,OFFSET(enemy_skill_triggers!$A$1,0,0,COUNTA(enemy_skill_triggers!$A:$A),MATCH(N$1,enemy_skill_triggers!$1:$1,0)-MATCH($F$1,enemy_skill_triggers!$1:$1,0)+1),MATCH(N$1,enemy_skill_triggers!$1:$1,0)-MATCH($F$1,enemy_skill_triggers!$1:$1,0)+1,FALSE)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5" s="136">
        <f ca="1">VLOOKUP($F35,OFFSET(enemy_skill_triggers!$A$1,0,0,COUNTA(enemy_skill_triggers!$A:$A),MATCH(O$1,enemy_skill_triggers!$1:$1,0)-MATCH($F$1,enemy_skill_triggers!$1:$1,0)+1),MATCH(O$1,enemy_skill_triggers!$1:$1,0)-MATCH($F$1,enemy_skill_triggers!$1:$1,0)+1,FALSE)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5" s="132"/>
      <c r="Q35" s="132"/>
      <c r="R35" s="170"/>
    </row>
    <row r="36" spans="1:18" ht="21" customHeight="1" x14ac:dyDescent="0.15">
      <c r="A36" s="39" t="str">
        <f t="shared" si="1"/>
        <v>40034006_40034328</v>
      </c>
      <c r="B36" s="123">
        <v>40034006</v>
      </c>
      <c r="C36" s="124">
        <v>40034328</v>
      </c>
      <c r="D36" s="166" t="str">
        <f ca="1">VLOOKUP($C36,OFFSET(enemy_skills!$A$1,0,0,COUNTA(enemy_skills!$A:$A),MATCH(D$1,enemy_skills!$1:$1,0)-MATCH("enemy_skill_id",enemy_skills!$1:$1,0)+1),MATCH(D$1,enemy_skills!$1:$1,0)-MATCH("enemy_skill_id",enemy_skills!$1:$1,0)+1,FALSE)</f>
        <v>戦闘訓練よ…</v>
      </c>
      <c r="E36" s="166" t="str">
        <f ca="1">VLOOKUP($C36,OFFSET(enemy_skills!$A$1,0,0,COUNTA(enemy_skills!$A:$A),MATCH(E$1,enemy_skills!$1:$1,0)-MATCH("enemy_skill_id",enemy_skills!$1:$1,0)+1),MATCH(E$1,enemy_skills!$1:$1,0)-MATCH("enemy_skill_id",enemy_skills!$1:$1,0)+1,FALSE)</f>
        <v>さらにドゥルガーの外見に変化！_x000D_相変わらずカーリーの声は隠せていない…</v>
      </c>
      <c r="F36" s="124">
        <v>40034634</v>
      </c>
      <c r="G36" s="128">
        <f ca="1">VLOOKUP($F36,OFFSET(enemy_skill_triggers!$A$1,0,0,COUNTA(enemy_skill_triggers!$A:$A),MATCH(G$1,enemy_skill_triggers!$1:$1,0)-MATCH($F$1,enemy_skill_triggers!$1:$1,0)+1),MATCH(G$1,enemy_skill_triggers!$1:$1,0)-MATCH($F$1,enemy_skill_triggers!$1:$1,0)+1,FALSE)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36" s="128">
        <f ca="1">VLOOKUP($F36,OFFSET(enemy_skill_triggers!$A$1,0,0,COUNTA(enemy_skill_triggers!$A:$A),MATCH(H$1,enemy_skill_triggers!$1:$1,0)-MATCH($F$1,enemy_skill_triggers!$1:$1,0)+1),MATCH(H$1,enemy_skill_triggers!$1:$1,0)-MATCH($F$1,enemy_skill_triggers!$1:$1,0)+1,FALSE)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36" s="128">
        <f ca="1">VLOOKUP($F36,OFFSET(enemy_skill_triggers!$A$1,0,0,COUNTA(enemy_skill_triggers!$A:$A),MATCH(I$1,enemy_skill_triggers!$1:$1,0)-MATCH($F$1,enemy_skill_triggers!$1:$1,0)+1),MATCH(I$1,enemy_skill_triggers!$1:$1,0)-MATCH($F$1,enemy_skill_triggers!$1:$1,0)+1,FALSE)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36" s="128" t="str">
        <f ca="1">VLOOKUP($F36,OFFSET(enemy_skill_triggers!$A$1,0,0,COUNTA(enemy_skill_triggers!$A:$A),MATCH(J$1,enemy_skill_triggers!$1:$1,0)-MATCH($F$1,enemy_skill_triggers!$1:$1,0)+1),MATCH(J$1,enemy_skill_triggers!$1:$1,0)-MATCH($F$1,enemy_skill_triggers!$1:$1,0)+1,FALSE)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6" s="128" t="str">
        <f ca="1">VLOOKUP($F36,OFFSET(enemy_skill_triggers!$A$1,0,0,COUNTA(enemy_skill_triggers!$A:$A),MATCH(K$1,enemy_skill_triggers!$1:$1,0)-MATCH($F$1,enemy_skill_triggers!$1:$1,0)+1),MATCH(K$1,enemy_skill_triggers!$1:$1,0)-MATCH($F$1,enemy_skill_triggers!$1:$1,0)+1,FALSE)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6" s="128">
        <f ca="1">VLOOKUP($F36,OFFSET(enemy_skill_triggers!$A$1,0,0,COUNTA(enemy_skill_triggers!$A:$A),MATCH(L$1,enemy_skill_triggers!$1:$1,0)-MATCH($F$1,enemy_skill_triggers!$1:$1,0)+1),MATCH(L$1,enemy_skill_triggers!$1:$1,0)-MATCH($F$1,enemy_skill_triggers!$1:$1,0)+1,FALSE)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36" s="128" t="str">
        <f ca="1">VLOOKUP($F36,OFFSET(enemy_skill_triggers!$A$1,0,0,COUNTA(enemy_skill_triggers!$A:$A),MATCH(M$1,enemy_skill_triggers!$1:$1,0)-MATCH($F$1,enemy_skill_triggers!$1:$1,0)+1),MATCH(M$1,enemy_skill_triggers!$1:$1,0)-MATCH($F$1,enemy_skill_triggers!$1:$1,0)+1,FALSE)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6" s="128" t="str">
        <f ca="1">VLOOKUP($F36,OFFSET(enemy_skill_triggers!$A$1,0,0,COUNTA(enemy_skill_triggers!$A:$A),MATCH(N$1,enemy_skill_triggers!$1:$1,0)-MATCH($F$1,enemy_skill_triggers!$1:$1,0)+1),MATCH(N$1,enemy_skill_triggers!$1:$1,0)-MATCH($F$1,enemy_skill_triggers!$1:$1,0)+1,FALSE)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6" s="128">
        <f ca="1">VLOOKUP($F36,OFFSET(enemy_skill_triggers!$A$1,0,0,COUNTA(enemy_skill_triggers!$A:$A),MATCH(O$1,enemy_skill_triggers!$1:$1,0)-MATCH($F$1,enemy_skill_triggers!$1:$1,0)+1),MATCH(O$1,enemy_skill_triggers!$1:$1,0)-MATCH($F$1,enemy_skill_triggers!$1:$1,0)+1,FALSE)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36" s="124"/>
      <c r="Q36" s="124"/>
      <c r="R36" s="167"/>
    </row>
    <row r="37" spans="1:18" ht="21" customHeight="1" x14ac:dyDescent="0.15">
      <c r="A37" s="39" t="str">
        <f t="shared" si="1"/>
        <v>40034006_40034329</v>
      </c>
      <c r="B37" s="171">
        <v>40034006</v>
      </c>
      <c r="C37" s="43">
        <v>40034329</v>
      </c>
      <c r="D37" s="42" t="str">
        <f ca="1">VLOOKUP($C37,OFFSET(enemy_skills!$A$1,0,0,COUNTA(enemy_skills!$A:$A),MATCH(D$1,enemy_skills!$1:$1,0)-MATCH("enemy_skill_id",enemy_skills!$1:$1,0)+1),MATCH(D$1,enemy_skills!$1:$1,0)-MATCH("enemy_skill_id",enemy_skills!$1:$1,0)+1,FALSE)</f>
        <v>永遠の倦怠</v>
      </c>
      <c r="E37" s="42" t="str">
        <f ca="1">VLOOKUP($C37,OFFSET(enemy_skills!$A$1,0,0,COUNTA(enemy_skills!$A:$A),MATCH(E$1,enemy_skills!$1:$1,0)-MATCH("enemy_skill_id",enemy_skills!$1:$1,0)+1),MATCH(E$1,enemy_skills!$1:$1,0)-MATCH("enemy_skill_id",enemy_skills!$1:$1,0)+1,FALSE)</f>
        <v>解除するまで全ユニットの攻撃力DOWN</v>
      </c>
      <c r="F37" s="43">
        <v>40034635</v>
      </c>
      <c r="G37" s="44">
        <f ca="1">VLOOKUP($F37,OFFSET(enemy_skill_triggers!$A$1,0,0,COUNTA(enemy_skill_triggers!$A:$A),MATCH(G$1,enemy_skill_triggers!$1:$1,0)-MATCH($F$1,enemy_skill_triggers!$1:$1,0)+1),MATCH(G$1,enemy_skill_triggers!$1:$1,0)-MATCH($F$1,enemy_skill_triggers!$1:$1,0)+1,FALSE)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7" s="44">
        <f ca="1">VLOOKUP($F37,OFFSET(enemy_skill_triggers!$A$1,0,0,COUNTA(enemy_skill_triggers!$A:$A),MATCH(H$1,enemy_skill_triggers!$1:$1,0)-MATCH($F$1,enemy_skill_triggers!$1:$1,0)+1),MATCH(H$1,enemy_skill_triggers!$1:$1,0)-MATCH($F$1,enemy_skill_triggers!$1:$1,0)+1,FALSE)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37" s="44">
        <f ca="1">VLOOKUP($F37,OFFSET(enemy_skill_triggers!$A$1,0,0,COUNTA(enemy_skill_triggers!$A:$A),MATCH(I$1,enemy_skill_triggers!$1:$1,0)-MATCH($F$1,enemy_skill_triggers!$1:$1,0)+1),MATCH(I$1,enemy_skill_triggers!$1:$1,0)-MATCH($F$1,enemy_skill_triggers!$1:$1,0)+1,FALSE)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37" s="44" t="str">
        <f ca="1">VLOOKUP($F37,OFFSET(enemy_skill_triggers!$A$1,0,0,COUNTA(enemy_skill_triggers!$A:$A),MATCH(J$1,enemy_skill_triggers!$1:$1,0)-MATCH($F$1,enemy_skill_triggers!$1:$1,0)+1),MATCH(J$1,enemy_skill_triggers!$1:$1,0)-MATCH($F$1,enemy_skill_triggers!$1:$1,0)+1,FALSE)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7" s="44" t="str">
        <f ca="1">VLOOKUP($F37,OFFSET(enemy_skill_triggers!$A$1,0,0,COUNTA(enemy_skill_triggers!$A:$A),MATCH(K$1,enemy_skill_triggers!$1:$1,0)-MATCH($F$1,enemy_skill_triggers!$1:$1,0)+1),MATCH(K$1,enemy_skill_triggers!$1:$1,0)-MATCH($F$1,enemy_skill_triggers!$1:$1,0)+1,FALSE)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7" s="44" t="str">
        <f ca="1">VLOOKUP($F37,OFFSET(enemy_skill_triggers!$A$1,0,0,COUNTA(enemy_skill_triggers!$A:$A),MATCH(L$1,enemy_skill_triggers!$1:$1,0)-MATCH($F$1,enemy_skill_triggers!$1:$1,0)+1),MATCH(L$1,enemy_skill_triggers!$1:$1,0)-MATCH($F$1,enemy_skill_triggers!$1:$1,0)+1,FALSE)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7" s="44" t="str">
        <f ca="1">VLOOKUP($F37,OFFSET(enemy_skill_triggers!$A$1,0,0,COUNTA(enemy_skill_triggers!$A:$A),MATCH(M$1,enemy_skill_triggers!$1:$1,0)-MATCH($F$1,enemy_skill_triggers!$1:$1,0)+1),MATCH(M$1,enemy_skill_triggers!$1:$1,0)-MATCH($F$1,enemy_skill_triggers!$1:$1,0)+1,FALSE)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7" s="44" t="str">
        <f ca="1">VLOOKUP($F37,OFFSET(enemy_skill_triggers!$A$1,0,0,COUNTA(enemy_skill_triggers!$A:$A),MATCH(N$1,enemy_skill_triggers!$1:$1,0)-MATCH($F$1,enemy_skill_triggers!$1:$1,0)+1),MATCH(N$1,enemy_skill_triggers!$1:$1,0)-MATCH($F$1,enemy_skill_triggers!$1:$1,0)+1,FALSE)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7" s="44">
        <f ca="1">VLOOKUP($F37,OFFSET(enemy_skill_triggers!$A$1,0,0,COUNTA(enemy_skill_triggers!$A:$A),MATCH(O$1,enemy_skill_triggers!$1:$1,0)-MATCH($F$1,enemy_skill_triggers!$1:$1,0)+1),MATCH(O$1,enemy_skill_triggers!$1:$1,0)-MATCH($F$1,enemy_skill_triggers!$1:$1,0)+1,FALSE)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37" s="43"/>
      <c r="Q37" s="43"/>
      <c r="R37" s="172"/>
    </row>
    <row r="38" spans="1:18" ht="21" customHeight="1" x14ac:dyDescent="0.15">
      <c r="A38" s="39" t="str">
        <f t="shared" si="1"/>
        <v>40034006_40034330</v>
      </c>
      <c r="B38" s="171">
        <v>40034006</v>
      </c>
      <c r="C38" s="43">
        <v>40034330</v>
      </c>
      <c r="D38" s="42" t="str">
        <f ca="1">VLOOKUP($C38,OFFSET(enemy_skills!$A$1,0,0,COUNTA(enemy_skills!$A:$A),MATCH(D$1,enemy_skills!$1:$1,0)-MATCH("enemy_skill_id",enemy_skills!$1:$1,0)+1),MATCH(D$1,enemy_skills!$1:$1,0)-MATCH("enemy_skill_id",enemy_skills!$1:$1,0)+1,FALSE)</f>
        <v>緊急治療</v>
      </c>
      <c r="E38" s="42" t="str">
        <f ca="1">VLOOKUP($C38,OFFSET(enemy_skills!$A$1,0,0,COUNTA(enemy_skills!$A:$A),MATCH(E$1,enemy_skills!$1:$1,0)-MATCH("enemy_skill_id",enemy_skills!$1:$1,0)+1),MATCH(E$1,enemy_skills!$1:$1,0)-MATCH("enemy_skill_id",enemy_skills!$1:$1,0)+1,FALSE)</f>
        <v>お邪魔パネルを吸収して回復</v>
      </c>
      <c r="F38" s="43">
        <v>40034636</v>
      </c>
      <c r="G38" s="44">
        <f ca="1">VLOOKUP($F38,OFFSET(enemy_skill_triggers!$A$1,0,0,COUNTA(enemy_skill_triggers!$A:$A),MATCH(G$1,enemy_skill_triggers!$1:$1,0)-MATCH($F$1,enemy_skill_triggers!$1:$1,0)+1),MATCH(G$1,enemy_skill_triggers!$1:$1,0)-MATCH($F$1,enemy_skill_triggers!$1:$1,0)+1,FALSE)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8" s="44">
        <f ca="1">VLOOKUP($F38,OFFSET(enemy_skill_triggers!$A$1,0,0,COUNTA(enemy_skill_triggers!$A:$A),MATCH(H$1,enemy_skill_triggers!$1:$1,0)-MATCH($F$1,enemy_skill_triggers!$1:$1,0)+1),MATCH(H$1,enemy_skill_triggers!$1:$1,0)-MATCH($F$1,enemy_skill_triggers!$1:$1,0)+1,FALSE)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38" s="44">
        <f ca="1">VLOOKUP($F38,OFFSET(enemy_skill_triggers!$A$1,0,0,COUNTA(enemy_skill_triggers!$A:$A),MATCH(I$1,enemy_skill_triggers!$1:$1,0)-MATCH($F$1,enemy_skill_triggers!$1:$1,0)+1),MATCH(I$1,enemy_skill_triggers!$1:$1,0)-MATCH($F$1,enemy_skill_triggers!$1:$1,0)+1,FALSE)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38" s="44" t="str">
        <f ca="1">VLOOKUP($F38,OFFSET(enemy_skill_triggers!$A$1,0,0,COUNTA(enemy_skill_triggers!$A:$A),MATCH(J$1,enemy_skill_triggers!$1:$1,0)-MATCH($F$1,enemy_skill_triggers!$1:$1,0)+1),MATCH(J$1,enemy_skill_triggers!$1:$1,0)-MATCH($F$1,enemy_skill_triggers!$1:$1,0)+1,FALSE)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8" s="44" t="str">
        <f ca="1">VLOOKUP($F38,OFFSET(enemy_skill_triggers!$A$1,0,0,COUNTA(enemy_skill_triggers!$A:$A),MATCH(K$1,enemy_skill_triggers!$1:$1,0)-MATCH($F$1,enemy_skill_triggers!$1:$1,0)+1),MATCH(K$1,enemy_skill_triggers!$1:$1,0)-MATCH($F$1,enemy_skill_triggers!$1:$1,0)+1,FALSE)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8" s="44" t="str">
        <f ca="1">VLOOKUP($F38,OFFSET(enemy_skill_triggers!$A$1,0,0,COUNTA(enemy_skill_triggers!$A:$A),MATCH(L$1,enemy_skill_triggers!$1:$1,0)-MATCH($F$1,enemy_skill_triggers!$1:$1,0)+1),MATCH(L$1,enemy_skill_triggers!$1:$1,0)-MATCH($F$1,enemy_skill_triggers!$1:$1,0)+1,FALSE)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8" s="44" t="str">
        <f ca="1">VLOOKUP($F38,OFFSET(enemy_skill_triggers!$A$1,0,0,COUNTA(enemy_skill_triggers!$A:$A),MATCH(M$1,enemy_skill_triggers!$1:$1,0)-MATCH($F$1,enemy_skill_triggers!$1:$1,0)+1),MATCH(M$1,enemy_skill_triggers!$1:$1,0)-MATCH($F$1,enemy_skill_triggers!$1:$1,0)+1,FALSE)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8" s="44" t="str">
        <f ca="1">VLOOKUP($F38,OFFSET(enemy_skill_triggers!$A$1,0,0,COUNTA(enemy_skill_triggers!$A:$A),MATCH(N$1,enemy_skill_triggers!$1:$1,0)-MATCH($F$1,enemy_skill_triggers!$1:$1,0)+1),MATCH(N$1,enemy_skill_triggers!$1:$1,0)-MATCH($F$1,enemy_skill_triggers!$1:$1,0)+1,FALSE)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8" s="44">
        <f ca="1">VLOOKUP($F38,OFFSET(enemy_skill_triggers!$A$1,0,0,COUNTA(enemy_skill_triggers!$A:$A),MATCH(O$1,enemy_skill_triggers!$1:$1,0)-MATCH($F$1,enemy_skill_triggers!$1:$1,0)+1),MATCH(O$1,enemy_skill_triggers!$1:$1,0)-MATCH($F$1,enemy_skill_triggers!$1:$1,0)+1,FALSE)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38" s="43"/>
      <c r="Q38" s="43"/>
      <c r="R38" s="172"/>
    </row>
    <row r="39" spans="1:18" ht="21" customHeight="1" x14ac:dyDescent="0.15">
      <c r="A39" s="39" t="str">
        <f t="shared" si="1"/>
        <v>40034006_40034331</v>
      </c>
      <c r="B39" s="171">
        <v>40034006</v>
      </c>
      <c r="C39" s="43">
        <v>40034331</v>
      </c>
      <c r="D39" s="42" t="str">
        <f ca="1">VLOOKUP($C39,OFFSET(enemy_skills!$A$1,0,0,COUNTA(enemy_skills!$A:$A),MATCH(D$1,enemy_skills!$1:$1,0)-MATCH("enemy_skill_id",enemy_skills!$1:$1,0)+1),MATCH(D$1,enemy_skills!$1:$1,0)-MATCH("enemy_skill_id",enemy_skills!$1:$1,0)+1,FALSE)</f>
        <v>復旧リソース散逸</v>
      </c>
      <c r="E39" s="42" t="str">
        <f ca="1">VLOOKUP($C39,OFFSET(enemy_skills!$A$1,0,0,COUNTA(enemy_skills!$A:$A),MATCH(E$1,enemy_skills!$1:$1,0)-MATCH("enemy_skill_id",enemy_skills!$1:$1,0)+1),MATCH(E$1,enemy_skills!$1:$1,0)-MATCH("enemy_skill_id",enemy_skills!$1:$1,0)+1,FALSE)</f>
        <v>ハートパネルを緑パネルに変換</v>
      </c>
      <c r="F39" s="43">
        <v>40034637</v>
      </c>
      <c r="G39" s="44">
        <f ca="1">VLOOKUP($F39,OFFSET(enemy_skill_triggers!$A$1,0,0,COUNTA(enemy_skill_triggers!$A:$A),MATCH(G$1,enemy_skill_triggers!$1:$1,0)-MATCH($F$1,enemy_skill_triggers!$1:$1,0)+1),MATCH(G$1,enemy_skill_triggers!$1:$1,0)-MATCH($F$1,enemy_skill_triggers!$1:$1,0)+1,FALSE)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39" s="44">
        <f ca="1">VLOOKUP($F39,OFFSET(enemy_skill_triggers!$A$1,0,0,COUNTA(enemy_skill_triggers!$A:$A),MATCH(H$1,enemy_skill_triggers!$1:$1,0)-MATCH($F$1,enemy_skill_triggers!$1:$1,0)+1),MATCH(H$1,enemy_skill_triggers!$1:$1,0)-MATCH($F$1,enemy_skill_triggers!$1:$1,0)+1,FALSE)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39" s="44">
        <f ca="1">VLOOKUP($F39,OFFSET(enemy_skill_triggers!$A$1,0,0,COUNTA(enemy_skill_triggers!$A:$A),MATCH(I$1,enemy_skill_triggers!$1:$1,0)-MATCH($F$1,enemy_skill_triggers!$1:$1,0)+1),MATCH(I$1,enemy_skill_triggers!$1:$1,0)-MATCH($F$1,enemy_skill_triggers!$1:$1,0)+1,FALSE)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39" s="44" t="str">
        <f ca="1">VLOOKUP($F39,OFFSET(enemy_skill_triggers!$A$1,0,0,COUNTA(enemy_skill_triggers!$A:$A),MATCH(J$1,enemy_skill_triggers!$1:$1,0)-MATCH($F$1,enemy_skill_triggers!$1:$1,0)+1),MATCH(J$1,enemy_skill_triggers!$1:$1,0)-MATCH($F$1,enemy_skill_triggers!$1:$1,0)+1,FALSE)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39" s="44" t="str">
        <f ca="1">VLOOKUP($F39,OFFSET(enemy_skill_triggers!$A$1,0,0,COUNTA(enemy_skill_triggers!$A:$A),MATCH(K$1,enemy_skill_triggers!$1:$1,0)-MATCH($F$1,enemy_skill_triggers!$1:$1,0)+1),MATCH(K$1,enemy_skill_triggers!$1:$1,0)-MATCH($F$1,enemy_skill_triggers!$1:$1,0)+1,FALSE)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39" s="44" t="str">
        <f ca="1">VLOOKUP($F39,OFFSET(enemy_skill_triggers!$A$1,0,0,COUNTA(enemy_skill_triggers!$A:$A),MATCH(L$1,enemy_skill_triggers!$1:$1,0)-MATCH($F$1,enemy_skill_triggers!$1:$1,0)+1),MATCH(L$1,enemy_skill_triggers!$1:$1,0)-MATCH($F$1,enemy_skill_triggers!$1:$1,0)+1,FALSE)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39" s="44" t="str">
        <f ca="1">VLOOKUP($F39,OFFSET(enemy_skill_triggers!$A$1,0,0,COUNTA(enemy_skill_triggers!$A:$A),MATCH(M$1,enemy_skill_triggers!$1:$1,0)-MATCH($F$1,enemy_skill_triggers!$1:$1,0)+1),MATCH(M$1,enemy_skill_triggers!$1:$1,0)-MATCH($F$1,enemy_skill_triggers!$1:$1,0)+1,FALSE)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39" s="44" t="str">
        <f ca="1">VLOOKUP($F39,OFFSET(enemy_skill_triggers!$A$1,0,0,COUNTA(enemy_skill_triggers!$A:$A),MATCH(N$1,enemy_skill_triggers!$1:$1,0)-MATCH($F$1,enemy_skill_triggers!$1:$1,0)+1),MATCH(N$1,enemy_skill_triggers!$1:$1,0)-MATCH($F$1,enemy_skill_triggers!$1:$1,0)+1,FALSE)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39" s="44">
        <f ca="1">VLOOKUP($F39,OFFSET(enemy_skill_triggers!$A$1,0,0,COUNTA(enemy_skill_triggers!$A:$A),MATCH(O$1,enemy_skill_triggers!$1:$1,0)-MATCH($F$1,enemy_skill_triggers!$1:$1,0)+1),MATCH(O$1,enemy_skill_triggers!$1:$1,0)-MATCH($F$1,enemy_skill_triggers!$1:$1,0)+1,FALSE)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39" s="43"/>
      <c r="Q39" s="43"/>
      <c r="R39" s="172"/>
    </row>
    <row r="40" spans="1:18" ht="21" customHeight="1" x14ac:dyDescent="0.15">
      <c r="A40" s="39" t="str">
        <f t="shared" si="1"/>
        <v>40034006_40034332</v>
      </c>
      <c r="B40" s="171">
        <v>40034006</v>
      </c>
      <c r="C40" s="43">
        <v>40034332</v>
      </c>
      <c r="D40" s="42" t="str">
        <f ca="1">VLOOKUP($C40,OFFSET(enemy_skills!$A$1,0,0,COUNTA(enemy_skills!$A:$A),MATCH(D$1,enemy_skills!$1:$1,0)-MATCH("enemy_skill_id",enemy_skills!$1:$1,0)+1),MATCH(D$1,enemy_skills!$1:$1,0)-MATCH("enemy_skill_id",enemy_skills!$1:$1,0)+1,FALSE)</f>
        <v>イエローチャージ</v>
      </c>
      <c r="E40" s="42" t="str">
        <f ca="1">VLOOKUP($C40,OFFSET(enemy_skills!$A$1,0,0,COUNTA(enemy_skills!$A:$A),MATCH(E$1,enemy_skills!$1:$1,0)-MATCH("enemy_skill_id",enemy_skills!$1:$1,0)+1),MATCH(E$1,enemy_skills!$1:$1,0)-MATCH("enemy_skill_id",enemy_skills!$1:$1,0)+1,FALSE)</f>
        <v>黄パネルを吸収して全体攻撃</v>
      </c>
      <c r="F40" s="43">
        <v>40034638</v>
      </c>
      <c r="G40" s="44">
        <f ca="1">VLOOKUP($F40,OFFSET(enemy_skill_triggers!$A$1,0,0,COUNTA(enemy_skill_triggers!$A:$A),MATCH(G$1,enemy_skill_triggers!$1:$1,0)-MATCH($F$1,enemy_skill_triggers!$1:$1,0)+1),MATCH(G$1,enemy_skill_triggers!$1:$1,0)-MATCH($F$1,enemy_skill_triggers!$1:$1,0)+1,FALSE)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0" s="44">
        <f ca="1">VLOOKUP($F40,OFFSET(enemy_skill_triggers!$A$1,0,0,COUNTA(enemy_skill_triggers!$A:$A),MATCH(H$1,enemy_skill_triggers!$1:$1,0)-MATCH($F$1,enemy_skill_triggers!$1:$1,0)+1),MATCH(H$1,enemy_skill_triggers!$1:$1,0)-MATCH($F$1,enemy_skill_triggers!$1:$1,0)+1,FALSE)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0" s="44">
        <f ca="1">VLOOKUP($F40,OFFSET(enemy_skill_triggers!$A$1,0,0,COUNTA(enemy_skill_triggers!$A:$A),MATCH(I$1,enemy_skill_triggers!$1:$1,0)-MATCH($F$1,enemy_skill_triggers!$1:$1,0)+1),MATCH(I$1,enemy_skill_triggers!$1:$1,0)-MATCH($F$1,enemy_skill_triggers!$1:$1,0)+1,FALSE)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40" s="44" t="str">
        <f ca="1">VLOOKUP($F40,OFFSET(enemy_skill_triggers!$A$1,0,0,COUNTA(enemy_skill_triggers!$A:$A),MATCH(J$1,enemy_skill_triggers!$1:$1,0)-MATCH($F$1,enemy_skill_triggers!$1:$1,0)+1),MATCH(J$1,enemy_skill_triggers!$1:$1,0)-MATCH($F$1,enemy_skill_triggers!$1:$1,0)+1,FALSE)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0" s="44" t="str">
        <f ca="1">VLOOKUP($F40,OFFSET(enemy_skill_triggers!$A$1,0,0,COUNTA(enemy_skill_triggers!$A:$A),MATCH(K$1,enemy_skill_triggers!$1:$1,0)-MATCH($F$1,enemy_skill_triggers!$1:$1,0)+1),MATCH(K$1,enemy_skill_triggers!$1:$1,0)-MATCH($F$1,enemy_skill_triggers!$1:$1,0)+1,FALSE)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0" s="44" t="str">
        <f ca="1">VLOOKUP($F40,OFFSET(enemy_skill_triggers!$A$1,0,0,COUNTA(enemy_skill_triggers!$A:$A),MATCH(L$1,enemy_skill_triggers!$1:$1,0)-MATCH($F$1,enemy_skill_triggers!$1:$1,0)+1),MATCH(L$1,enemy_skill_triggers!$1:$1,0)-MATCH($F$1,enemy_skill_triggers!$1:$1,0)+1,FALSE)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40" s="44" t="str">
        <f ca="1">VLOOKUP($F40,OFFSET(enemy_skill_triggers!$A$1,0,0,COUNTA(enemy_skill_triggers!$A:$A),MATCH(M$1,enemy_skill_triggers!$1:$1,0)-MATCH($F$1,enemy_skill_triggers!$1:$1,0)+1),MATCH(M$1,enemy_skill_triggers!$1:$1,0)-MATCH($F$1,enemy_skill_triggers!$1:$1,0)+1,FALSE)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0" s="44" t="str">
        <f ca="1">VLOOKUP($F40,OFFSET(enemy_skill_triggers!$A$1,0,0,COUNTA(enemy_skill_triggers!$A:$A),MATCH(N$1,enemy_skill_triggers!$1:$1,0)-MATCH($F$1,enemy_skill_triggers!$1:$1,0)+1),MATCH(N$1,enemy_skill_triggers!$1:$1,0)-MATCH($F$1,enemy_skill_triggers!$1:$1,0)+1,FALSE)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0" s="44">
        <f ca="1">VLOOKUP($F40,OFFSET(enemy_skill_triggers!$A$1,0,0,COUNTA(enemy_skill_triggers!$A:$A),MATCH(O$1,enemy_skill_triggers!$1:$1,0)-MATCH($F$1,enemy_skill_triggers!$1:$1,0)+1),MATCH(O$1,enemy_skill_triggers!$1:$1,0)-MATCH($F$1,enemy_skill_triggers!$1:$1,0)+1,FALSE)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40" s="43"/>
      <c r="Q40" s="43"/>
      <c r="R40" s="172"/>
    </row>
    <row r="41" spans="1:18" ht="21" customHeight="1" x14ac:dyDescent="0.15">
      <c r="A41" s="39" t="str">
        <f t="shared" si="1"/>
        <v>40034006_40034333</v>
      </c>
      <c r="B41" s="171">
        <v>40034006</v>
      </c>
      <c r="C41" s="43">
        <v>40034333</v>
      </c>
      <c r="D41" s="42" t="str">
        <f ca="1">VLOOKUP($C41,OFFSET(enemy_skills!$A$1,0,0,COUNTA(enemy_skills!$A:$A),MATCH(D$1,enemy_skills!$1:$1,0)-MATCH("enemy_skill_id",enemy_skills!$1:$1,0)+1),MATCH(D$1,enemy_skills!$1:$1,0)-MATCH("enemy_skill_id",enemy_skills!$1:$1,0)+1,FALSE)</f>
        <v>ドゥルガーさんと戦う練習…</v>
      </c>
      <c r="E41" s="42" t="str">
        <f ca="1">VLOOKUP($C41,OFFSET(enemy_skills!$A$1,0,0,COUNTA(enemy_skills!$A:$A),MATCH(E$1,enemy_skills!$1:$1,0)-MATCH("enemy_skill_id",enemy_skills!$1:$1,0)+1),MATCH(E$1,enemy_skills!$1:$1,0)-MATCH("enemy_skill_id",enemy_skills!$1:$1,0)+1,FALSE)</f>
        <v>カーリーが攻撃に参加！_x000D_現在HPの10％ダメージ</v>
      </c>
      <c r="F41" s="43">
        <v>40034639</v>
      </c>
      <c r="G41" s="44">
        <f ca="1">VLOOKUP($F41,OFFSET(enemy_skill_triggers!$A$1,0,0,COUNTA(enemy_skill_triggers!$A:$A),MATCH(G$1,enemy_skill_triggers!$1:$1,0)-MATCH($F$1,enemy_skill_triggers!$1:$1,0)+1),MATCH(G$1,enemy_skill_triggers!$1:$1,0)-MATCH($F$1,enemy_skill_triggers!$1:$1,0)+1,FALSE)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1" s="44">
        <f ca="1">VLOOKUP($F41,OFFSET(enemy_skill_triggers!$A$1,0,0,COUNTA(enemy_skill_triggers!$A:$A),MATCH(H$1,enemy_skill_triggers!$1:$1,0)-MATCH($F$1,enemy_skill_triggers!$1:$1,0)+1),MATCH(H$1,enemy_skill_triggers!$1:$1,0)-MATCH($F$1,enemy_skill_triggers!$1:$1,0)+1,FALSE)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1" s="44">
        <f ca="1">VLOOKUP($F41,OFFSET(enemy_skill_triggers!$A$1,0,0,COUNTA(enemy_skill_triggers!$A:$A),MATCH(I$1,enemy_skill_triggers!$1:$1,0)-MATCH($F$1,enemy_skill_triggers!$1:$1,0)+1),MATCH(I$1,enemy_skill_triggers!$1:$1,0)-MATCH($F$1,enemy_skill_triggers!$1:$1,0)+1,FALSE)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1" s="44">
        <f ca="1">VLOOKUP($F41,OFFSET(enemy_skill_triggers!$A$1,0,0,COUNTA(enemy_skill_triggers!$A:$A),MATCH(J$1,enemy_skill_triggers!$1:$1,0)-MATCH($F$1,enemy_skill_triggers!$1:$1,0)+1),MATCH(J$1,enemy_skill_triggers!$1:$1,0)-MATCH($F$1,enemy_skill_triggers!$1:$1,0)+1,FALSE)</f>
        <v>55</v>
      </c>
      <c r="K41" s="44" t="str">
        <f ca="1">VLOOKUP($F41,OFFSET(enemy_skill_triggers!$A$1,0,0,COUNTA(enemy_skill_triggers!$A:$A),MATCH(K$1,enemy_skill_triggers!$1:$1,0)-MATCH($F$1,enemy_skill_triggers!$1:$1,0)+1),MATCH(K$1,enemy_skill_triggers!$1:$1,0)-MATCH($F$1,enemy_skill_triggers!$1:$1,0)+1,FALSE)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1" s="44">
        <f ca="1">VLOOKUP($F41,OFFSET(enemy_skill_triggers!$A$1,0,0,COUNTA(enemy_skill_triggers!$A:$A),MATCH(L$1,enemy_skill_triggers!$1:$1,0)-MATCH($F$1,enemy_skill_triggers!$1:$1,0)+1),MATCH(L$1,enemy_skill_triggers!$1:$1,0)-MATCH($F$1,enemy_skill_triggers!$1:$1,0)+1,FALSE)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1" s="44" t="str">
        <f ca="1">VLOOKUP($F41,OFFSET(enemy_skill_triggers!$A$1,0,0,COUNTA(enemy_skill_triggers!$A:$A),MATCH(M$1,enemy_skill_triggers!$1:$1,0)-MATCH($F$1,enemy_skill_triggers!$1:$1,0)+1),MATCH(M$1,enemy_skill_triggers!$1:$1,0)-MATCH($F$1,enemy_skill_triggers!$1:$1,0)+1,FALSE)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1" s="44" t="str">
        <f ca="1">VLOOKUP($F41,OFFSET(enemy_skill_triggers!$A$1,0,0,COUNTA(enemy_skill_triggers!$A:$A),MATCH(N$1,enemy_skill_triggers!$1:$1,0)-MATCH($F$1,enemy_skill_triggers!$1:$1,0)+1),MATCH(N$1,enemy_skill_triggers!$1:$1,0)-MATCH($F$1,enemy_skill_triggers!$1:$1,0)+1,FALSE)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1" s="44">
        <f ca="1">VLOOKUP($F41,OFFSET(enemy_skill_triggers!$A$1,0,0,COUNTA(enemy_skill_triggers!$A:$A),MATCH(O$1,enemy_skill_triggers!$1:$1,0)-MATCH($F$1,enemy_skill_triggers!$1:$1,0)+1),MATCH(O$1,enemy_skill_triggers!$1:$1,0)-MATCH($F$1,enemy_skill_triggers!$1:$1,0)+1,FALSE)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1" s="43"/>
      <c r="Q41" s="43"/>
      <c r="R41" s="172"/>
    </row>
    <row r="42" spans="1:18" ht="21" customHeight="1" thickBot="1" x14ac:dyDescent="0.2">
      <c r="A42" s="39" t="str">
        <f t="shared" si="1"/>
        <v>40034006_40034334</v>
      </c>
      <c r="B42" s="168">
        <v>40034006</v>
      </c>
      <c r="C42" s="132">
        <v>40034334</v>
      </c>
      <c r="D42" s="169" t="str">
        <f ca="1">VLOOKUP($C42,OFFSET(enemy_skills!$A$1,0,0,COUNTA(enemy_skills!$A:$A),MATCH(D$1,enemy_skills!$1:$1,0)-MATCH("enemy_skill_id",enemy_skills!$1:$1,0)+1),MATCH(D$1,enemy_skills!$1:$1,0)-MATCH("enemy_skill_id",enemy_skills!$1:$1,0)+1,FALSE)</f>
        <v>加速…するよ…</v>
      </c>
      <c r="E42" s="169" t="str">
        <f ca="1">VLOOKUP($C42,OFFSET(enemy_skills!$A$1,0,0,COUNTA(enemy_skills!$A:$A),MATCH(E$1,enemy_skills!$1:$1,0)-MATCH("enemy_skill_id",enemy_skills!$1:$1,0)+1),MATCH(E$1,enemy_skills!$1:$1,0)-MATCH("enemy_skill_id",enemy_skills!$1:$1,0)+1,FALSE)</f>
        <v>9ターンの間行動頻度UP</v>
      </c>
      <c r="F42" s="132">
        <v>40034640</v>
      </c>
      <c r="G42" s="136">
        <f ca="1">VLOOKUP($F42,OFFSET(enemy_skill_triggers!$A$1,0,0,COUNTA(enemy_skill_triggers!$A:$A),MATCH(G$1,enemy_skill_triggers!$1:$1,0)-MATCH($F$1,enemy_skill_triggers!$1:$1,0)+1),MATCH(G$1,enemy_skill_triggers!$1:$1,0)-MATCH($F$1,enemy_skill_triggers!$1:$1,0)+1,FALSE)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42" s="136">
        <f ca="1">VLOOKUP($F42,OFFSET(enemy_skill_triggers!$A$1,0,0,COUNTA(enemy_skill_triggers!$A:$A),MATCH(H$1,enemy_skill_triggers!$1:$1,0)-MATCH($F$1,enemy_skill_triggers!$1:$1,0)+1),MATCH(H$1,enemy_skill_triggers!$1:$1,0)-MATCH($F$1,enemy_skill_triggers!$1:$1,0)+1,FALSE)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2" s="136">
        <f ca="1">VLOOKUP($F42,OFFSET(enemy_skill_triggers!$A$1,0,0,COUNTA(enemy_skill_triggers!$A:$A),MATCH(I$1,enemy_skill_triggers!$1:$1,0)-MATCH($F$1,enemy_skill_triggers!$1:$1,0)+1),MATCH(I$1,enemy_skill_triggers!$1:$1,0)-MATCH($F$1,enemy_skill_triggers!$1:$1,0)+1,FALSE)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2" s="136">
        <f ca="1">VLOOKUP($F42,OFFSET(enemy_skill_triggers!$A$1,0,0,COUNTA(enemy_skill_triggers!$A:$A),MATCH(J$1,enemy_skill_triggers!$1:$1,0)-MATCH($F$1,enemy_skill_triggers!$1:$1,0)+1),MATCH(J$1,enemy_skill_triggers!$1:$1,0)-MATCH($F$1,enemy_skill_triggers!$1:$1,0)+1,FALSE)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42" s="136" t="str">
        <f ca="1">VLOOKUP($F42,OFFSET(enemy_skill_triggers!$A$1,0,0,COUNTA(enemy_skill_triggers!$A:$A),MATCH(K$1,enemy_skill_triggers!$1:$1,0)-MATCH($F$1,enemy_skill_triggers!$1:$1,0)+1),MATCH(K$1,enemy_skill_triggers!$1:$1,0)-MATCH($F$1,enemy_skill_triggers!$1:$1,0)+1,FALSE)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2" s="136">
        <f ca="1">VLOOKUP($F42,OFFSET(enemy_skill_triggers!$A$1,0,0,COUNTA(enemy_skill_triggers!$A:$A),MATCH(L$1,enemy_skill_triggers!$1:$1,0)-MATCH($F$1,enemy_skill_triggers!$1:$1,0)+1),MATCH(L$1,enemy_skill_triggers!$1:$1,0)-MATCH($F$1,enemy_skill_triggers!$1:$1,0)+1,FALSE)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2" s="136" t="str">
        <f ca="1">VLOOKUP($F42,OFFSET(enemy_skill_triggers!$A$1,0,0,COUNTA(enemy_skill_triggers!$A:$A),MATCH(M$1,enemy_skill_triggers!$1:$1,0)-MATCH($F$1,enemy_skill_triggers!$1:$1,0)+1),MATCH(M$1,enemy_skill_triggers!$1:$1,0)-MATCH($F$1,enemy_skill_triggers!$1:$1,0)+1,FALSE)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2" s="136" t="str">
        <f ca="1">VLOOKUP($F42,OFFSET(enemy_skill_triggers!$A$1,0,0,COUNTA(enemy_skill_triggers!$A:$A),MATCH(N$1,enemy_skill_triggers!$1:$1,0)-MATCH($F$1,enemy_skill_triggers!$1:$1,0)+1),MATCH(N$1,enemy_skill_triggers!$1:$1,0)-MATCH($F$1,enemy_skill_triggers!$1:$1,0)+1,FALSE)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42" s="136">
        <f ca="1">VLOOKUP($F42,OFFSET(enemy_skill_triggers!$A$1,0,0,COUNTA(enemy_skill_triggers!$A:$A),MATCH(O$1,enemy_skill_triggers!$1:$1,0)-MATCH($F$1,enemy_skill_triggers!$1:$1,0)+1),MATCH(O$1,enemy_skill_triggers!$1:$1,0)-MATCH($F$1,enemy_skill_triggers!$1:$1,0)+1,FALSE)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2" s="132"/>
      <c r="Q42" s="132"/>
      <c r="R42" s="170"/>
    </row>
    <row r="43" spans="1:18" ht="21" customHeight="1" x14ac:dyDescent="0.15">
      <c r="A43" s="39" t="str">
        <f t="shared" si="1"/>
        <v>40034007_40034335</v>
      </c>
      <c r="B43" s="123">
        <v>40034007</v>
      </c>
      <c r="C43" s="124">
        <v>40034335</v>
      </c>
      <c r="D43" s="166" t="str">
        <f ca="1">VLOOKUP($C43,OFFSET(enemy_skills!$A$1,0,0,COUNTA(enemy_skills!$A:$A),MATCH(D$1,enemy_skills!$1:$1,0)-MATCH("enemy_skill_id",enemy_skills!$1:$1,0)+1),MATCH(D$1,enemy_skills!$1:$1,0)-MATCH("enemy_skill_id",enemy_skills!$1:$1,0)+1,FALSE)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43" s="166" t="str">
        <f ca="1">VLOOKUP($C43,OFFSET(enemy_skills!$A$1,0,0,COUNTA(enemy_skills!$A:$A),MATCH(E$1,enemy_skills!$1:$1,0)-MATCH("enemy_skill_id",enemy_skills!$1:$1,0)+1),MATCH(E$1,enemy_skills!$1:$1,0)-MATCH("enemy_skill_id",enemy_skills!$1:$1,0)+1,FALSE)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43" s="124">
        <v>40034641</v>
      </c>
      <c r="G43" s="128">
        <f ca="1">VLOOKUP($F43,OFFSET(enemy_skill_triggers!$A$1,0,0,COUNTA(enemy_skill_triggers!$A:$A),MATCH(G$1,enemy_skill_triggers!$1:$1,0)-MATCH($F$1,enemy_skill_triggers!$1:$1,0)+1),MATCH(G$1,enemy_skill_triggers!$1:$1,0)-MATCH($F$1,enemy_skill_triggers!$1:$1,0)+1,FALSE)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3" s="128">
        <f ca="1">VLOOKUP($F43,OFFSET(enemy_skill_triggers!$A$1,0,0,COUNTA(enemy_skill_triggers!$A:$A),MATCH(H$1,enemy_skill_triggers!$1:$1,0)-MATCH($F$1,enemy_skill_triggers!$1:$1,0)+1),MATCH(H$1,enemy_skill_triggers!$1:$1,0)-MATCH($F$1,enemy_skill_triggers!$1:$1,0)+1,FALSE)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43" s="128">
        <f ca="1">VLOOKUP($F43,OFFSET(enemy_skill_triggers!$A$1,0,0,COUNTA(enemy_skill_triggers!$A:$A),MATCH(I$1,enemy_skill_triggers!$1:$1,0)-MATCH($F$1,enemy_skill_triggers!$1:$1,0)+1),MATCH(I$1,enemy_skill_triggers!$1:$1,0)-MATCH($F$1,enemy_skill_triggers!$1:$1,0)+1,FALSE)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3" s="128" t="str">
        <f ca="1">VLOOKUP($F43,OFFSET(enemy_skill_triggers!$A$1,0,0,COUNTA(enemy_skill_triggers!$A:$A),MATCH(J$1,enemy_skill_triggers!$1:$1,0)-MATCH($F$1,enemy_skill_triggers!$1:$1,0)+1),MATCH(J$1,enemy_skill_triggers!$1:$1,0)-MATCH($F$1,enemy_skill_triggers!$1:$1,0)+1,FALSE)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3" s="128" t="str">
        <f ca="1">VLOOKUP($F43,OFFSET(enemy_skill_triggers!$A$1,0,0,COUNTA(enemy_skill_triggers!$A:$A),MATCH(K$1,enemy_skill_triggers!$1:$1,0)-MATCH($F$1,enemy_skill_triggers!$1:$1,0)+1),MATCH(K$1,enemy_skill_triggers!$1:$1,0)-MATCH($F$1,enemy_skill_triggers!$1:$1,0)+1,FALSE)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3" s="128">
        <f ca="1">VLOOKUP($F43,OFFSET(enemy_skill_triggers!$A$1,0,0,COUNTA(enemy_skill_triggers!$A:$A),MATCH(L$1,enemy_skill_triggers!$1:$1,0)-MATCH($F$1,enemy_skill_triggers!$1:$1,0)+1),MATCH(L$1,enemy_skill_triggers!$1:$1,0)-MATCH($F$1,enemy_skill_triggers!$1:$1,0)+1,FALSE)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3" s="128" t="str">
        <f ca="1">VLOOKUP($F43,OFFSET(enemy_skill_triggers!$A$1,0,0,COUNTA(enemy_skill_triggers!$A:$A),MATCH(M$1,enemy_skill_triggers!$1:$1,0)-MATCH($F$1,enemy_skill_triggers!$1:$1,0)+1),MATCH(M$1,enemy_skill_triggers!$1:$1,0)-MATCH($F$1,enemy_skill_triggers!$1:$1,0)+1,FALSE)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3" s="128">
        <f ca="1">VLOOKUP($F43,OFFSET(enemy_skill_triggers!$A$1,0,0,COUNTA(enemy_skill_triggers!$A:$A),MATCH(N$1,enemy_skill_triggers!$1:$1,0)-MATCH($F$1,enemy_skill_triggers!$1:$1,0)+1),MATCH(N$1,enemy_skill_triggers!$1:$1,0)-MATCH($F$1,enemy_skill_triggers!$1:$1,0)+1,FALSE)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43" s="128">
        <f ca="1">VLOOKUP($F43,OFFSET(enemy_skill_triggers!$A$1,0,0,COUNTA(enemy_skill_triggers!$A:$A),MATCH(O$1,enemy_skill_triggers!$1:$1,0)-MATCH($F$1,enemy_skill_triggers!$1:$1,0)+1),MATCH(O$1,enemy_skill_triggers!$1:$1,0)-MATCH($F$1,enemy_skill_triggers!$1:$1,0)+1,FALSE)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3" s="124"/>
      <c r="Q43" s="124"/>
      <c r="R43" s="167"/>
    </row>
    <row r="44" spans="1:18" ht="21" customHeight="1" x14ac:dyDescent="0.15">
      <c r="A44" s="39" t="str">
        <f t="shared" si="1"/>
        <v>40034007_40034335</v>
      </c>
      <c r="B44" s="171">
        <v>40034007</v>
      </c>
      <c r="C44" s="43">
        <v>40034335</v>
      </c>
      <c r="D44" s="42" t="str">
        <f ca="1">VLOOKUP($C44,OFFSET(enemy_skills!$A$1,0,0,COUNTA(enemy_skills!$A:$A),MATCH(D$1,enemy_skills!$1:$1,0)-MATCH("enemy_skill_id",enemy_skills!$1:$1,0)+1),MATCH(D$1,enemy_skills!$1:$1,0)-MATCH("enemy_skill_id",enemy_skills!$1:$1,0)+1,FALSE)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44" s="42" t="str">
        <f ca="1">VLOOKUP($C44,OFFSET(enemy_skills!$A$1,0,0,COUNTA(enemy_skills!$A:$A),MATCH(E$1,enemy_skills!$1:$1,0)-MATCH("enemy_skill_id",enemy_skills!$1:$1,0)+1),MATCH(E$1,enemy_skills!$1:$1,0)-MATCH("enemy_skill_id",enemy_skills!$1:$1,0)+1,FALSE)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44" s="43">
        <v>40034642</v>
      </c>
      <c r="G44" s="44">
        <f ca="1">VLOOKUP($F44,OFFSET(enemy_skill_triggers!$A$1,0,0,COUNTA(enemy_skill_triggers!$A:$A),MATCH(G$1,enemy_skill_triggers!$1:$1,0)-MATCH($F$1,enemy_skill_triggers!$1:$1,0)+1),MATCH(G$1,enemy_skill_triggers!$1:$1,0)-MATCH($F$1,enemy_skill_triggers!$1:$1,0)+1,FALSE)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4" s="44">
        <f ca="1">VLOOKUP($F44,OFFSET(enemy_skill_triggers!$A$1,0,0,COUNTA(enemy_skill_triggers!$A:$A),MATCH(H$1,enemy_skill_triggers!$1:$1,0)-MATCH($F$1,enemy_skill_triggers!$1:$1,0)+1),MATCH(H$1,enemy_skill_triggers!$1:$1,0)-MATCH($F$1,enemy_skill_triggers!$1:$1,0)+1,FALSE)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44" s="44">
        <f ca="1">VLOOKUP($F44,OFFSET(enemy_skill_triggers!$A$1,0,0,COUNTA(enemy_skill_triggers!$A:$A),MATCH(I$1,enemy_skill_triggers!$1:$1,0)-MATCH($F$1,enemy_skill_triggers!$1:$1,0)+1),MATCH(I$1,enemy_skill_triggers!$1:$1,0)-MATCH($F$1,enemy_skill_triggers!$1:$1,0)+1,FALSE)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4" s="44" t="str">
        <f ca="1">VLOOKUP($F44,OFFSET(enemy_skill_triggers!$A$1,0,0,COUNTA(enemy_skill_triggers!$A:$A),MATCH(J$1,enemy_skill_triggers!$1:$1,0)-MATCH($F$1,enemy_skill_triggers!$1:$1,0)+1),MATCH(J$1,enemy_skill_triggers!$1:$1,0)-MATCH($F$1,enemy_skill_triggers!$1:$1,0)+1,FALSE)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4" s="44" t="str">
        <f ca="1">VLOOKUP($F44,OFFSET(enemy_skill_triggers!$A$1,0,0,COUNTA(enemy_skill_triggers!$A:$A),MATCH(K$1,enemy_skill_triggers!$1:$1,0)-MATCH($F$1,enemy_skill_triggers!$1:$1,0)+1),MATCH(K$1,enemy_skill_triggers!$1:$1,0)-MATCH($F$1,enemy_skill_triggers!$1:$1,0)+1,FALSE)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4" s="44">
        <f ca="1">VLOOKUP($F44,OFFSET(enemy_skill_triggers!$A$1,0,0,COUNTA(enemy_skill_triggers!$A:$A),MATCH(L$1,enemy_skill_triggers!$1:$1,0)-MATCH($F$1,enemy_skill_triggers!$1:$1,0)+1),MATCH(L$1,enemy_skill_triggers!$1:$1,0)-MATCH($F$1,enemy_skill_triggers!$1:$1,0)+1,FALSE)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4" s="44" t="str">
        <f ca="1">VLOOKUP($F44,OFFSET(enemy_skill_triggers!$A$1,0,0,COUNTA(enemy_skill_triggers!$A:$A),MATCH(M$1,enemy_skill_triggers!$1:$1,0)-MATCH($F$1,enemy_skill_triggers!$1:$1,0)+1),MATCH(M$1,enemy_skill_triggers!$1:$1,0)-MATCH($F$1,enemy_skill_triggers!$1:$1,0)+1,FALSE)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4" s="44">
        <f ca="1">VLOOKUP($F44,OFFSET(enemy_skill_triggers!$A$1,0,0,COUNTA(enemy_skill_triggers!$A:$A),MATCH(N$1,enemy_skill_triggers!$1:$1,0)-MATCH($F$1,enemy_skill_triggers!$1:$1,0)+1),MATCH(N$1,enemy_skill_triggers!$1:$1,0)-MATCH($F$1,enemy_skill_triggers!$1:$1,0)+1,FALSE)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44" s="44">
        <f ca="1">VLOOKUP($F44,OFFSET(enemy_skill_triggers!$A$1,0,0,COUNTA(enemy_skill_triggers!$A:$A),MATCH(O$1,enemy_skill_triggers!$1:$1,0)-MATCH($F$1,enemy_skill_triggers!$1:$1,0)+1),MATCH(O$1,enemy_skill_triggers!$1:$1,0)-MATCH($F$1,enemy_skill_triggers!$1:$1,0)+1,FALSE)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4" s="43"/>
      <c r="Q44" s="43"/>
      <c r="R44" s="172"/>
    </row>
    <row r="45" spans="1:18" ht="21" customHeight="1" x14ac:dyDescent="0.15">
      <c r="A45" s="39" t="str">
        <f t="shared" ref="A45" si="2">B45&amp;"_"&amp;C45</f>
        <v>40034007_40034335</v>
      </c>
      <c r="B45" s="171">
        <v>40034007</v>
      </c>
      <c r="C45" s="43">
        <v>40034335</v>
      </c>
      <c r="D45" s="42" t="str">
        <f ca="1">VLOOKUP($C45,OFFSET(enemy_skills!$A$1,0,0,COUNTA(enemy_skills!$A:$A),MATCH(D$1,enemy_skills!$1:$1,0)-MATCH("enemy_skill_id",enemy_skills!$1:$1,0)+1),MATCH(D$1,enemy_skills!$1:$1,0)-MATCH("enemy_skill_id",enemy_skills!$1:$1,0)+1,FALSE)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45" s="42" t="str">
        <f ca="1">VLOOKUP($C45,OFFSET(enemy_skills!$A$1,0,0,COUNTA(enemy_skills!$A:$A),MATCH(E$1,enemy_skills!$1:$1,0)-MATCH("enemy_skill_id",enemy_skills!$1:$1,0)+1),MATCH(E$1,enemy_skills!$1:$1,0)-MATCH("enemy_skill_id",enemy_skills!$1:$1,0)+1,FALSE)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45" s="43">
        <v>40034643</v>
      </c>
      <c r="G45" s="44">
        <f ca="1">VLOOKUP($F45,OFFSET(enemy_skill_triggers!$A$1,0,0,COUNTA(enemy_skill_triggers!$A:$A),MATCH(G$1,enemy_skill_triggers!$1:$1,0)-MATCH($F$1,enemy_skill_triggers!$1:$1,0)+1),MATCH(G$1,enemy_skill_triggers!$1:$1,0)-MATCH($F$1,enemy_skill_triggers!$1:$1,0)+1,FALSE)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5" s="44">
        <f ca="1">VLOOKUP($F45,OFFSET(enemy_skill_triggers!$A$1,0,0,COUNTA(enemy_skill_triggers!$A:$A),MATCH(H$1,enemy_skill_triggers!$1:$1,0)-MATCH($F$1,enemy_skill_triggers!$1:$1,0)+1),MATCH(H$1,enemy_skill_triggers!$1:$1,0)-MATCH($F$1,enemy_skill_triggers!$1:$1,0)+1,FALSE)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45" s="44">
        <f ca="1">VLOOKUP($F45,OFFSET(enemy_skill_triggers!$A$1,0,0,COUNTA(enemy_skill_triggers!$A:$A),MATCH(I$1,enemy_skill_triggers!$1:$1,0)-MATCH($F$1,enemy_skill_triggers!$1:$1,0)+1),MATCH(I$1,enemy_skill_triggers!$1:$1,0)-MATCH($F$1,enemy_skill_triggers!$1:$1,0)+1,FALSE)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5" s="44" t="str">
        <f ca="1">VLOOKUP($F45,OFFSET(enemy_skill_triggers!$A$1,0,0,COUNTA(enemy_skill_triggers!$A:$A),MATCH(J$1,enemy_skill_triggers!$1:$1,0)-MATCH($F$1,enemy_skill_triggers!$1:$1,0)+1),MATCH(J$1,enemy_skill_triggers!$1:$1,0)-MATCH($F$1,enemy_skill_triggers!$1:$1,0)+1,FALSE)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5" s="44" t="str">
        <f ca="1">VLOOKUP($F45,OFFSET(enemy_skill_triggers!$A$1,0,0,COUNTA(enemy_skill_triggers!$A:$A),MATCH(K$1,enemy_skill_triggers!$1:$1,0)-MATCH($F$1,enemy_skill_triggers!$1:$1,0)+1),MATCH(K$1,enemy_skill_triggers!$1:$1,0)-MATCH($F$1,enemy_skill_triggers!$1:$1,0)+1,FALSE)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5" s="44">
        <f ca="1">VLOOKUP($F45,OFFSET(enemy_skill_triggers!$A$1,0,0,COUNTA(enemy_skill_triggers!$A:$A),MATCH(L$1,enemy_skill_triggers!$1:$1,0)-MATCH($F$1,enemy_skill_triggers!$1:$1,0)+1),MATCH(L$1,enemy_skill_triggers!$1:$1,0)-MATCH($F$1,enemy_skill_triggers!$1:$1,0)+1,FALSE)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5" s="44" t="str">
        <f ca="1">VLOOKUP($F45,OFFSET(enemy_skill_triggers!$A$1,0,0,COUNTA(enemy_skill_triggers!$A:$A),MATCH(M$1,enemy_skill_triggers!$1:$1,0)-MATCH($F$1,enemy_skill_triggers!$1:$1,0)+1),MATCH(M$1,enemy_skill_triggers!$1:$1,0)-MATCH($F$1,enemy_skill_triggers!$1:$1,0)+1,FALSE)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5" s="44">
        <f ca="1">VLOOKUP($F45,OFFSET(enemy_skill_triggers!$A$1,0,0,COUNTA(enemy_skill_triggers!$A:$A),MATCH(N$1,enemy_skill_triggers!$1:$1,0)-MATCH($F$1,enemy_skill_triggers!$1:$1,0)+1),MATCH(N$1,enemy_skill_triggers!$1:$1,0)-MATCH($F$1,enemy_skill_triggers!$1:$1,0)+1,FALSE)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45" s="44">
        <f ca="1">VLOOKUP($F45,OFFSET(enemy_skill_triggers!$A$1,0,0,COUNTA(enemy_skill_triggers!$A:$A),MATCH(O$1,enemy_skill_triggers!$1:$1,0)-MATCH($F$1,enemy_skill_triggers!$1:$1,0)+1),MATCH(O$1,enemy_skill_triggers!$1:$1,0)-MATCH($F$1,enemy_skill_triggers!$1:$1,0)+1,FALSE)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5" s="43"/>
      <c r="Q45" s="43"/>
      <c r="R45" s="172"/>
    </row>
    <row r="46" spans="1:18" ht="21" customHeight="1" x14ac:dyDescent="0.15">
      <c r="A46" s="39" t="str">
        <f t="shared" si="1"/>
        <v>40034007_40034336</v>
      </c>
      <c r="B46" s="171">
        <v>40034007</v>
      </c>
      <c r="C46" s="43">
        <v>40034336</v>
      </c>
      <c r="D46" s="42" t="str">
        <f ca="1">VLOOKUP($C46,OFFSET(enemy_skills!$A$1,0,0,COUNTA(enemy_skills!$A:$A),MATCH(D$1,enemy_skills!$1:$1,0)-MATCH("enemy_skill_id",enemy_skills!$1:$1,0)+1),MATCH(D$1,enemy_skills!$1:$1,0)-MATCH("enemy_skill_id",enemy_skills!$1:$1,0)+1,FALSE)</f>
        <v>…へぇ…あくまでも邪魔、するんですね…ドゥルガーさん</v>
      </c>
      <c r="E46" s="42" t="str">
        <f ca="1">VLOOKUP($C46,OFFSET(enemy_skills!$A$1,0,0,COUNTA(enemy_skills!$A:$A),MATCH(E$1,enemy_skills!$1:$1,0)-MATCH("enemy_skill_id",enemy_skills!$1:$1,0)+1),MATCH(E$1,enemy_skills!$1:$1,0)-MATCH("enemy_skill_id",enemy_skills!$1:$1,0)+1,FALSE)</f>
        <v>…貴女も…シヴァ様の事を…負けない！_x000D_状態異常無効+種族Unknownに大ダメージ</v>
      </c>
      <c r="F46" s="43">
        <v>40034644</v>
      </c>
      <c r="G46" s="44">
        <f ca="1">VLOOKUP($F46,OFFSET(enemy_skill_triggers!$A$1,0,0,COUNTA(enemy_skill_triggers!$A:$A),MATCH(G$1,enemy_skill_triggers!$1:$1,0)-MATCH($F$1,enemy_skill_triggers!$1:$1,0)+1),MATCH(G$1,enemy_skill_triggers!$1:$1,0)-MATCH($F$1,enemy_skill_triggers!$1:$1,0)+1,FALSE)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6" s="44">
        <f ca="1">VLOOKUP($F46,OFFSET(enemy_skill_triggers!$A$1,0,0,COUNTA(enemy_skill_triggers!$A:$A),MATCH(H$1,enemy_skill_triggers!$1:$1,0)-MATCH($F$1,enemy_skill_triggers!$1:$1,0)+1),MATCH(H$1,enemy_skill_triggers!$1:$1,0)-MATCH($F$1,enemy_skill_triggers!$1:$1,0)+1,FALSE)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46" s="44">
        <f ca="1">VLOOKUP($F46,OFFSET(enemy_skill_triggers!$A$1,0,0,COUNTA(enemy_skill_triggers!$A:$A),MATCH(I$1,enemy_skill_triggers!$1:$1,0)-MATCH($F$1,enemy_skill_triggers!$1:$1,0)+1),MATCH(I$1,enemy_skill_triggers!$1:$1,0)-MATCH($F$1,enemy_skill_triggers!$1:$1,0)+1,FALSE)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6" s="44" t="str">
        <f ca="1">VLOOKUP($F46,OFFSET(enemy_skill_triggers!$A$1,0,0,COUNTA(enemy_skill_triggers!$A:$A),MATCH(J$1,enemy_skill_triggers!$1:$1,0)-MATCH($F$1,enemy_skill_triggers!$1:$1,0)+1),MATCH(J$1,enemy_skill_triggers!$1:$1,0)-MATCH($F$1,enemy_skill_triggers!$1:$1,0)+1,FALSE)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6" s="44" t="str">
        <f ca="1">VLOOKUP($F46,OFFSET(enemy_skill_triggers!$A$1,0,0,COUNTA(enemy_skill_triggers!$A:$A),MATCH(K$1,enemy_skill_triggers!$1:$1,0)-MATCH($F$1,enemy_skill_triggers!$1:$1,0)+1),MATCH(K$1,enemy_skill_triggers!$1:$1,0)-MATCH($F$1,enemy_skill_triggers!$1:$1,0)+1,FALSE)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6" s="44">
        <f ca="1">VLOOKUP($F46,OFFSET(enemy_skill_triggers!$A$1,0,0,COUNTA(enemy_skill_triggers!$A:$A),MATCH(L$1,enemy_skill_triggers!$1:$1,0)-MATCH($F$1,enemy_skill_triggers!$1:$1,0)+1),MATCH(L$1,enemy_skill_triggers!$1:$1,0)-MATCH($F$1,enemy_skill_triggers!$1:$1,0)+1,FALSE)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6" s="44" t="str">
        <f ca="1">VLOOKUP($F46,OFFSET(enemy_skill_triggers!$A$1,0,0,COUNTA(enemy_skill_triggers!$A:$A),MATCH(M$1,enemy_skill_triggers!$1:$1,0)-MATCH($F$1,enemy_skill_triggers!$1:$1,0)+1),MATCH(M$1,enemy_skill_triggers!$1:$1,0)-MATCH($F$1,enemy_skill_triggers!$1:$1,0)+1,FALSE)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6" s="44">
        <f ca="1">VLOOKUP($F46,OFFSET(enemy_skill_triggers!$A$1,0,0,COUNTA(enemy_skill_triggers!$A:$A),MATCH(N$1,enemy_skill_triggers!$1:$1,0)-MATCH($F$1,enemy_skill_triggers!$1:$1,0)+1),MATCH(N$1,enemy_skill_triggers!$1:$1,0)-MATCH($F$1,enemy_skill_triggers!$1:$1,0)+1,FALSE)</f>
        <v>1155</v>
      </c>
      <c r="O46" s="44">
        <f ca="1">VLOOKUP($F46,OFFSET(enemy_skill_triggers!$A$1,0,0,COUNTA(enemy_skill_triggers!$A:$A),MATCH(O$1,enemy_skill_triggers!$1:$1,0)-MATCH($F$1,enemy_skill_triggers!$1:$1,0)+1),MATCH(O$1,enemy_skill_triggers!$1:$1,0)-MATCH($F$1,enemy_skill_triggers!$1:$1,0)+1,FALSE)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6" s="43"/>
      <c r="Q46" s="43"/>
      <c r="R46" s="172"/>
    </row>
    <row r="47" spans="1:18" ht="21" customHeight="1" x14ac:dyDescent="0.15">
      <c r="A47" s="39" t="str">
        <f t="shared" si="1"/>
        <v>40034007_40034336</v>
      </c>
      <c r="B47" s="171">
        <v>40034007</v>
      </c>
      <c r="C47" s="43">
        <v>40034336</v>
      </c>
      <c r="D47" s="42" t="str">
        <f ca="1">VLOOKUP($C47,OFFSET(enemy_skills!$A$1,0,0,COUNTA(enemy_skills!$A:$A),MATCH(D$1,enemy_skills!$1:$1,0)-MATCH("enemy_skill_id",enemy_skills!$1:$1,0)+1),MATCH(D$1,enemy_skills!$1:$1,0)-MATCH("enemy_skill_id",enemy_skills!$1:$1,0)+1,FALSE)</f>
        <v>…へぇ…あくまでも邪魔、するんですね…ドゥルガーさん</v>
      </c>
      <c r="E47" s="42" t="str">
        <f ca="1">VLOOKUP($C47,OFFSET(enemy_skills!$A$1,0,0,COUNTA(enemy_skills!$A:$A),MATCH(E$1,enemy_skills!$1:$1,0)-MATCH("enemy_skill_id",enemy_skills!$1:$1,0)+1),MATCH(E$1,enemy_skills!$1:$1,0)-MATCH("enemy_skill_id",enemy_skills!$1:$1,0)+1,FALSE)</f>
        <v>…貴女も…シヴァ様の事を…負けない！_x000D_状態異常無効+種族Unknownに大ダメージ</v>
      </c>
      <c r="F47" s="43">
        <v>40034645</v>
      </c>
      <c r="G47" s="44">
        <f ca="1">VLOOKUP($F47,OFFSET(enemy_skill_triggers!$A$1,0,0,COUNTA(enemy_skill_triggers!$A:$A),MATCH(G$1,enemy_skill_triggers!$1:$1,0)-MATCH($F$1,enemy_skill_triggers!$1:$1,0)+1),MATCH(G$1,enemy_skill_triggers!$1:$1,0)-MATCH($F$1,enemy_skill_triggers!$1:$1,0)+1,FALSE)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7" s="44">
        <f ca="1">VLOOKUP($F47,OFFSET(enemy_skill_triggers!$A$1,0,0,COUNTA(enemy_skill_triggers!$A:$A),MATCH(H$1,enemy_skill_triggers!$1:$1,0)-MATCH($F$1,enemy_skill_triggers!$1:$1,0)+1),MATCH(H$1,enemy_skill_triggers!$1:$1,0)-MATCH($F$1,enemy_skill_triggers!$1:$1,0)+1,FALSE)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47" s="44">
        <f ca="1">VLOOKUP($F47,OFFSET(enemy_skill_triggers!$A$1,0,0,COUNTA(enemy_skill_triggers!$A:$A),MATCH(I$1,enemy_skill_triggers!$1:$1,0)-MATCH($F$1,enemy_skill_triggers!$1:$1,0)+1),MATCH(I$1,enemy_skill_triggers!$1:$1,0)-MATCH($F$1,enemy_skill_triggers!$1:$1,0)+1,FALSE)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7" s="44" t="str">
        <f ca="1">VLOOKUP($F47,OFFSET(enemy_skill_triggers!$A$1,0,0,COUNTA(enemy_skill_triggers!$A:$A),MATCH(J$1,enemy_skill_triggers!$1:$1,0)-MATCH($F$1,enemy_skill_triggers!$1:$1,0)+1),MATCH(J$1,enemy_skill_triggers!$1:$1,0)-MATCH($F$1,enemy_skill_triggers!$1:$1,0)+1,FALSE)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7" s="44" t="str">
        <f ca="1">VLOOKUP($F47,OFFSET(enemy_skill_triggers!$A$1,0,0,COUNTA(enemy_skill_triggers!$A:$A),MATCH(K$1,enemy_skill_triggers!$1:$1,0)-MATCH($F$1,enemy_skill_triggers!$1:$1,0)+1),MATCH(K$1,enemy_skill_triggers!$1:$1,0)-MATCH($F$1,enemy_skill_triggers!$1:$1,0)+1,FALSE)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7" s="44">
        <f ca="1">VLOOKUP($F47,OFFSET(enemy_skill_triggers!$A$1,0,0,COUNTA(enemy_skill_triggers!$A:$A),MATCH(L$1,enemy_skill_triggers!$1:$1,0)-MATCH($F$1,enemy_skill_triggers!$1:$1,0)+1),MATCH(L$1,enemy_skill_triggers!$1:$1,0)-MATCH($F$1,enemy_skill_triggers!$1:$1,0)+1,FALSE)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7" s="44" t="str">
        <f ca="1">VLOOKUP($F47,OFFSET(enemy_skill_triggers!$A$1,0,0,COUNTA(enemy_skill_triggers!$A:$A),MATCH(M$1,enemy_skill_triggers!$1:$1,0)-MATCH($F$1,enemy_skill_triggers!$1:$1,0)+1),MATCH(M$1,enemy_skill_triggers!$1:$1,0)-MATCH($F$1,enemy_skill_triggers!$1:$1,0)+1,FALSE)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7" s="44">
        <f ca="1">VLOOKUP($F47,OFFSET(enemy_skill_triggers!$A$1,0,0,COUNTA(enemy_skill_triggers!$A:$A),MATCH(N$1,enemy_skill_triggers!$1:$1,0)-MATCH($F$1,enemy_skill_triggers!$1:$1,0)+1),MATCH(N$1,enemy_skill_triggers!$1:$1,0)-MATCH($F$1,enemy_skill_triggers!$1:$1,0)+1,FALSE)</f>
        <v>1156</v>
      </c>
      <c r="O47" s="44">
        <f ca="1">VLOOKUP($F47,OFFSET(enemy_skill_triggers!$A$1,0,0,COUNTA(enemy_skill_triggers!$A:$A),MATCH(O$1,enemy_skill_triggers!$1:$1,0)-MATCH($F$1,enemy_skill_triggers!$1:$1,0)+1),MATCH(O$1,enemy_skill_triggers!$1:$1,0)-MATCH($F$1,enemy_skill_triggers!$1:$1,0)+1,FALSE)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7" s="43"/>
      <c r="Q47" s="43"/>
      <c r="R47" s="172"/>
    </row>
    <row r="48" spans="1:18" ht="21" customHeight="1" x14ac:dyDescent="0.15">
      <c r="A48" s="39" t="str">
        <f t="shared" si="1"/>
        <v>40034007_40034337</v>
      </c>
      <c r="B48" s="171">
        <v>40034007</v>
      </c>
      <c r="C48" s="43">
        <v>40034337</v>
      </c>
      <c r="D48" s="42" t="str">
        <f ca="1">VLOOKUP($C48,OFFSET(enemy_skills!$A$1,0,0,COUNTA(enemy_skills!$A:$A),MATCH(D$1,enemy_skills!$1:$1,0)-MATCH("enemy_skill_id",enemy_skills!$1:$1,0)+1),MATCH(D$1,enemy_skills!$1:$1,0)-MATCH("enemy_skill_id",enemy_skills!$1:$1,0)+1,FALSE)</f>
        <v>…パールヴァティ……さん…は…_x000D_私が…消去…してあげます…</v>
      </c>
      <c r="E48" s="42" t="str">
        <f ca="1">VLOOKUP($C48,OFFSET(enemy_skills!$A$1,0,0,COUNTA(enemy_skills!$A:$A),MATCH(E$1,enemy_skills!$1:$1,0)-MATCH("enemy_skill_id",enemy_skills!$1:$1,0)+1),MATCH(E$1,enemy_skills!$1:$1,0)-MATCH("enemy_skill_id",enemy_skills!$1:$1,0)+1,FALSE)</f>
        <v>うふふ…あはははははははは！_x000D_状態異常無効+種族Unknownに大ダメージ</v>
      </c>
      <c r="F48" s="43">
        <v>40034646</v>
      </c>
      <c r="G48" s="44">
        <f ca="1">VLOOKUP($F48,OFFSET(enemy_skill_triggers!$A$1,0,0,COUNTA(enemy_skill_triggers!$A:$A),MATCH(G$1,enemy_skill_triggers!$1:$1,0)-MATCH($F$1,enemy_skill_triggers!$1:$1,0)+1),MATCH(G$1,enemy_skill_triggers!$1:$1,0)-MATCH($F$1,enemy_skill_triggers!$1:$1,0)+1,FALSE)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8" s="44">
        <f ca="1">VLOOKUP($F48,OFFSET(enemy_skill_triggers!$A$1,0,0,COUNTA(enemy_skill_triggers!$A:$A),MATCH(H$1,enemy_skill_triggers!$1:$1,0)-MATCH($F$1,enemy_skill_triggers!$1:$1,0)+1),MATCH(H$1,enemy_skill_triggers!$1:$1,0)-MATCH($F$1,enemy_skill_triggers!$1:$1,0)+1,FALSE)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48" s="44">
        <f ca="1">VLOOKUP($F48,OFFSET(enemy_skill_triggers!$A$1,0,0,COUNTA(enemy_skill_triggers!$A:$A),MATCH(I$1,enemy_skill_triggers!$1:$1,0)-MATCH($F$1,enemy_skill_triggers!$1:$1,0)+1),MATCH(I$1,enemy_skill_triggers!$1:$1,0)-MATCH($F$1,enemy_skill_triggers!$1:$1,0)+1,FALSE)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8" s="44" t="str">
        <f ca="1">VLOOKUP($F48,OFFSET(enemy_skill_triggers!$A$1,0,0,COUNTA(enemy_skill_triggers!$A:$A),MATCH(J$1,enemy_skill_triggers!$1:$1,0)-MATCH($F$1,enemy_skill_triggers!$1:$1,0)+1),MATCH(J$1,enemy_skill_triggers!$1:$1,0)-MATCH($F$1,enemy_skill_triggers!$1:$1,0)+1,FALSE)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8" s="44" t="str">
        <f ca="1">VLOOKUP($F48,OFFSET(enemy_skill_triggers!$A$1,0,0,COUNTA(enemy_skill_triggers!$A:$A),MATCH(K$1,enemy_skill_triggers!$1:$1,0)-MATCH($F$1,enemy_skill_triggers!$1:$1,0)+1),MATCH(K$1,enemy_skill_triggers!$1:$1,0)-MATCH($F$1,enemy_skill_triggers!$1:$1,0)+1,FALSE)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8" s="44">
        <f ca="1">VLOOKUP($F48,OFFSET(enemy_skill_triggers!$A$1,0,0,COUNTA(enemy_skill_triggers!$A:$A),MATCH(L$1,enemy_skill_triggers!$1:$1,0)-MATCH($F$1,enemy_skill_triggers!$1:$1,0)+1),MATCH(L$1,enemy_skill_triggers!$1:$1,0)-MATCH($F$1,enemy_skill_triggers!$1:$1,0)+1,FALSE)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8" s="44" t="str">
        <f ca="1">VLOOKUP($F48,OFFSET(enemy_skill_triggers!$A$1,0,0,COUNTA(enemy_skill_triggers!$A:$A),MATCH(M$1,enemy_skill_triggers!$1:$1,0)-MATCH($F$1,enemy_skill_triggers!$1:$1,0)+1),MATCH(M$1,enemy_skill_triggers!$1:$1,0)-MATCH($F$1,enemy_skill_triggers!$1:$1,0)+1,FALSE)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8" s="44">
        <f ca="1">VLOOKUP($F48,OFFSET(enemy_skill_triggers!$A$1,0,0,COUNTA(enemy_skill_triggers!$A:$A),MATCH(N$1,enemy_skill_triggers!$1:$1,0)-MATCH($F$1,enemy_skill_triggers!$1:$1,0)+1),MATCH(N$1,enemy_skill_triggers!$1:$1,0)-MATCH($F$1,enemy_skill_triggers!$1:$1,0)+1,FALSE)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48" s="44">
        <f ca="1">VLOOKUP($F48,OFFSET(enemy_skill_triggers!$A$1,0,0,COUNTA(enemy_skill_triggers!$A:$A),MATCH(O$1,enemy_skill_triggers!$1:$1,0)-MATCH($F$1,enemy_skill_triggers!$1:$1,0)+1),MATCH(O$1,enemy_skill_triggers!$1:$1,0)-MATCH($F$1,enemy_skill_triggers!$1:$1,0)+1,FALSE)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8" s="43"/>
      <c r="Q48" s="43"/>
      <c r="R48" s="172"/>
    </row>
    <row r="49" spans="1:18" ht="21" customHeight="1" x14ac:dyDescent="0.15">
      <c r="A49" s="39" t="str">
        <f t="shared" si="1"/>
        <v>40034007_40034337</v>
      </c>
      <c r="B49" s="171">
        <v>40034007</v>
      </c>
      <c r="C49" s="43">
        <v>40034337</v>
      </c>
      <c r="D49" s="42" t="str">
        <f ca="1">VLOOKUP($C49,OFFSET(enemy_skills!$A$1,0,0,COUNTA(enemy_skills!$A:$A),MATCH(D$1,enemy_skills!$1:$1,0)-MATCH("enemy_skill_id",enemy_skills!$1:$1,0)+1),MATCH(D$1,enemy_skills!$1:$1,0)-MATCH("enemy_skill_id",enemy_skills!$1:$1,0)+1,FALSE)</f>
        <v>…パールヴァティ……さん…は…_x000D_私が…消去…してあげます…</v>
      </c>
      <c r="E49" s="42" t="str">
        <f ca="1">VLOOKUP($C49,OFFSET(enemy_skills!$A$1,0,0,COUNTA(enemy_skills!$A:$A),MATCH(E$1,enemy_skills!$1:$1,0)-MATCH("enemy_skill_id",enemy_skills!$1:$1,0)+1),MATCH(E$1,enemy_skills!$1:$1,0)-MATCH("enemy_skill_id",enemy_skills!$1:$1,0)+1,FALSE)</f>
        <v>うふふ…あはははははははは！_x000D_状態異常無効+種族Unknownに大ダメージ</v>
      </c>
      <c r="F49" s="43">
        <v>40034647</v>
      </c>
      <c r="G49" s="44">
        <f ca="1">VLOOKUP($F49,OFFSET(enemy_skill_triggers!$A$1,0,0,COUNTA(enemy_skill_triggers!$A:$A),MATCH(G$1,enemy_skill_triggers!$1:$1,0)-MATCH($F$1,enemy_skill_triggers!$1:$1,0)+1),MATCH(G$1,enemy_skill_triggers!$1:$1,0)-MATCH($F$1,enemy_skill_triggers!$1:$1,0)+1,FALSE)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49" s="44">
        <f ca="1">VLOOKUP($F49,OFFSET(enemy_skill_triggers!$A$1,0,0,COUNTA(enemy_skill_triggers!$A:$A),MATCH(H$1,enemy_skill_triggers!$1:$1,0)-MATCH($F$1,enemy_skill_triggers!$1:$1,0)+1),MATCH(H$1,enemy_skill_triggers!$1:$1,0)-MATCH($F$1,enemy_skill_triggers!$1:$1,0)+1,FALSE)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49" s="44">
        <f ca="1">VLOOKUP($F49,OFFSET(enemy_skill_triggers!$A$1,0,0,COUNTA(enemy_skill_triggers!$A:$A),MATCH(I$1,enemy_skill_triggers!$1:$1,0)-MATCH($F$1,enemy_skill_triggers!$1:$1,0)+1),MATCH(I$1,enemy_skill_triggers!$1:$1,0)-MATCH($F$1,enemy_skill_triggers!$1:$1,0)+1,FALSE)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49" s="44" t="str">
        <f ca="1">VLOOKUP($F49,OFFSET(enemy_skill_triggers!$A$1,0,0,COUNTA(enemy_skill_triggers!$A:$A),MATCH(J$1,enemy_skill_triggers!$1:$1,0)-MATCH($F$1,enemy_skill_triggers!$1:$1,0)+1),MATCH(J$1,enemy_skill_triggers!$1:$1,0)-MATCH($F$1,enemy_skill_triggers!$1:$1,0)+1,FALSE)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49" s="44" t="str">
        <f ca="1">VLOOKUP($F49,OFFSET(enemy_skill_triggers!$A$1,0,0,COUNTA(enemy_skill_triggers!$A:$A),MATCH(K$1,enemy_skill_triggers!$1:$1,0)-MATCH($F$1,enemy_skill_triggers!$1:$1,0)+1),MATCH(K$1,enemy_skill_triggers!$1:$1,0)-MATCH($F$1,enemy_skill_triggers!$1:$1,0)+1,FALSE)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49" s="44">
        <f ca="1">VLOOKUP($F49,OFFSET(enemy_skill_triggers!$A$1,0,0,COUNTA(enemy_skill_triggers!$A:$A),MATCH(L$1,enemy_skill_triggers!$1:$1,0)-MATCH($F$1,enemy_skill_triggers!$1:$1,0)+1),MATCH(L$1,enemy_skill_triggers!$1:$1,0)-MATCH($F$1,enemy_skill_triggers!$1:$1,0)+1,FALSE)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49" s="44" t="str">
        <f ca="1">VLOOKUP($F49,OFFSET(enemy_skill_triggers!$A$1,0,0,COUNTA(enemy_skill_triggers!$A:$A),MATCH(M$1,enemy_skill_triggers!$1:$1,0)-MATCH($F$1,enemy_skill_triggers!$1:$1,0)+1),MATCH(M$1,enemy_skill_triggers!$1:$1,0)-MATCH($F$1,enemy_skill_triggers!$1:$1,0)+1,FALSE)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49" s="44">
        <f ca="1">VLOOKUP($F49,OFFSET(enemy_skill_triggers!$A$1,0,0,COUNTA(enemy_skill_triggers!$A:$A),MATCH(N$1,enemy_skill_triggers!$1:$1,0)-MATCH($F$1,enemy_skill_triggers!$1:$1,0)+1),MATCH(N$1,enemy_skill_triggers!$1:$1,0)-MATCH($F$1,enemy_skill_triggers!$1:$1,0)+1,FALSE)</f>
        <v>649</v>
      </c>
      <c r="O49" s="44">
        <f ca="1">VLOOKUP($F49,OFFSET(enemy_skill_triggers!$A$1,0,0,COUNTA(enemy_skill_triggers!$A:$A),MATCH(O$1,enemy_skill_triggers!$1:$1,0)-MATCH($F$1,enemy_skill_triggers!$1:$1,0)+1),MATCH(O$1,enemy_skill_triggers!$1:$1,0)-MATCH($F$1,enemy_skill_triggers!$1:$1,0)+1,FALSE)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49" s="43"/>
      <c r="Q49" s="43"/>
      <c r="R49" s="172"/>
    </row>
    <row r="50" spans="1:18" ht="21" customHeight="1" x14ac:dyDescent="0.15">
      <c r="A50" s="39" t="str">
        <f t="shared" si="1"/>
        <v>40034007_40034338</v>
      </c>
      <c r="B50" s="171">
        <v>40034007</v>
      </c>
      <c r="C50" s="43">
        <v>40034338</v>
      </c>
      <c r="D50" s="42" t="str">
        <f ca="1">VLOOKUP($C50,OFFSET(enemy_skills!$A$1,0,0,COUNTA(enemy_skills!$A:$A),MATCH(D$1,enemy_skills!$1:$1,0)-MATCH("enemy_skill_id",enemy_skills!$1:$1,0)+1),MATCH(D$1,enemy_skills!$1:$1,0)-MATCH("enemy_skill_id",enemy_skills!$1:$1,0)+1,FALSE)</f>
        <v>…シヴァ様…私だけを見て…</v>
      </c>
      <c r="E50" s="42" t="str">
        <f ca="1">VLOOKUP($C50,OFFSET(enemy_skills!$A$1,0,0,COUNTA(enemy_skills!$A:$A),MATCH(E$1,enemy_skills!$1:$1,0)-MATCH("enemy_skill_id",enemy_skills!$1:$1,0)+1),MATCH(E$1,enemy_skills!$1:$1,0)-MATCH("enemy_skill_id",enemy_skills!$1:$1,0)+1,FALSE)</f>
        <v>状態異常無効_x000D_+種族Unknownに大ダメージ</v>
      </c>
      <c r="F50" s="43">
        <v>40034648</v>
      </c>
      <c r="G50" s="44">
        <f ca="1">VLOOKUP($F50,OFFSET(enemy_skill_triggers!$A$1,0,0,COUNTA(enemy_skill_triggers!$A:$A),MATCH(G$1,enemy_skill_triggers!$1:$1,0)-MATCH($F$1,enemy_skill_triggers!$1:$1,0)+1),MATCH(G$1,enemy_skill_triggers!$1:$1,0)-MATCH($F$1,enemy_skill_triggers!$1:$1,0)+1,FALSE)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0" s="44">
        <f ca="1">VLOOKUP($F50,OFFSET(enemy_skill_triggers!$A$1,0,0,COUNTA(enemy_skill_triggers!$A:$A),MATCH(H$1,enemy_skill_triggers!$1:$1,0)-MATCH($F$1,enemy_skill_triggers!$1:$1,0)+1),MATCH(H$1,enemy_skill_triggers!$1:$1,0)-MATCH($F$1,enemy_skill_triggers!$1:$1,0)+1,FALSE)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50" s="44">
        <f ca="1">VLOOKUP($F50,OFFSET(enemy_skill_triggers!$A$1,0,0,COUNTA(enemy_skill_triggers!$A:$A),MATCH(I$1,enemy_skill_triggers!$1:$1,0)-MATCH($F$1,enemy_skill_triggers!$1:$1,0)+1),MATCH(I$1,enemy_skill_triggers!$1:$1,0)-MATCH($F$1,enemy_skill_triggers!$1:$1,0)+1,FALSE)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0" s="44" t="str">
        <f ca="1">VLOOKUP($F50,OFFSET(enemy_skill_triggers!$A$1,0,0,COUNTA(enemy_skill_triggers!$A:$A),MATCH(J$1,enemy_skill_triggers!$1:$1,0)-MATCH($F$1,enemy_skill_triggers!$1:$1,0)+1),MATCH(J$1,enemy_skill_triggers!$1:$1,0)-MATCH($F$1,enemy_skill_triggers!$1:$1,0)+1,FALSE)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0" s="44" t="str">
        <f ca="1">VLOOKUP($F50,OFFSET(enemy_skill_triggers!$A$1,0,0,COUNTA(enemy_skill_triggers!$A:$A),MATCH(K$1,enemy_skill_triggers!$1:$1,0)-MATCH($F$1,enemy_skill_triggers!$1:$1,0)+1),MATCH(K$1,enemy_skill_triggers!$1:$1,0)-MATCH($F$1,enemy_skill_triggers!$1:$1,0)+1,FALSE)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0" s="44">
        <f ca="1">VLOOKUP($F50,OFFSET(enemy_skill_triggers!$A$1,0,0,COUNTA(enemy_skill_triggers!$A:$A),MATCH(L$1,enemy_skill_triggers!$1:$1,0)-MATCH($F$1,enemy_skill_triggers!$1:$1,0)+1),MATCH(L$1,enemy_skill_triggers!$1:$1,0)-MATCH($F$1,enemy_skill_triggers!$1:$1,0)+1,FALSE)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0" s="44" t="str">
        <f ca="1">VLOOKUP($F50,OFFSET(enemy_skill_triggers!$A$1,0,0,COUNTA(enemy_skill_triggers!$A:$A),MATCH(M$1,enemy_skill_triggers!$1:$1,0)-MATCH($F$1,enemy_skill_triggers!$1:$1,0)+1),MATCH(M$1,enemy_skill_triggers!$1:$1,0)-MATCH($F$1,enemy_skill_triggers!$1:$1,0)+1,FALSE)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0" s="44" t="str">
        <f ca="1">VLOOKUP($F50,OFFSET(enemy_skill_triggers!$A$1,0,0,COUNTA(enemy_skill_triggers!$A:$A),MATCH(N$1,enemy_skill_triggers!$1:$1,0)-MATCH($F$1,enemy_skill_triggers!$1:$1,0)+1),MATCH(N$1,enemy_skill_triggers!$1:$1,0)-MATCH($F$1,enemy_skill_triggers!$1:$1,0)+1,FALSE)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0" s="44">
        <f ca="1">VLOOKUP($F50,OFFSET(enemy_skill_triggers!$A$1,0,0,COUNTA(enemy_skill_triggers!$A:$A),MATCH(O$1,enemy_skill_triggers!$1:$1,0)-MATCH($F$1,enemy_skill_triggers!$1:$1,0)+1),MATCH(O$1,enemy_skill_triggers!$1:$1,0)-MATCH($F$1,enemy_skill_triggers!$1:$1,0)+1,FALSE)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0" s="43"/>
      <c r="Q50" s="43"/>
      <c r="R50" s="172"/>
    </row>
    <row r="51" spans="1:18" ht="21" customHeight="1" x14ac:dyDescent="0.15">
      <c r="A51" s="39" t="str">
        <f t="shared" si="1"/>
        <v>40034007_40034339</v>
      </c>
      <c r="B51" s="171">
        <v>40034007</v>
      </c>
      <c r="C51" s="43">
        <v>40034339</v>
      </c>
      <c r="D51" s="42" t="str">
        <f ca="1">VLOOKUP($C51,OFFSET(enemy_skills!$A$1,0,0,COUNTA(enemy_skills!$A:$A),MATCH(D$1,enemy_skills!$1:$1,0)-MATCH("enemy_skill_id",enemy_skills!$1:$1,0)+1),MATCH(D$1,enemy_skills!$1:$1,0)-MATCH("enemy_skill_id",enemy_skills!$1:$1,0)+1,FALSE)</f>
        <v>早い者勝ち…恨みっこなし…</v>
      </c>
      <c r="E51" s="42" t="str">
        <f ca="1">VLOOKUP($C51,OFFSET(enemy_skills!$A$1,0,0,COUNTA(enemy_skills!$A:$A),MATCH(E$1,enemy_skills!$1:$1,0)-MATCH("enemy_skill_id",enemy_skills!$1:$1,0)+1),MATCH(E$1,enemy_skills!$1:$1,0)-MATCH("enemy_skill_id",enemy_skills!$1:$1,0)+1,FALSE)</f>
        <v>ハートパネルを吸収して回復(最大30個)</v>
      </c>
      <c r="F51" s="43">
        <v>40034649</v>
      </c>
      <c r="G51" s="44">
        <f ca="1">VLOOKUP($F51,OFFSET(enemy_skill_triggers!$A$1,0,0,COUNTA(enemy_skill_triggers!$A:$A),MATCH(G$1,enemy_skill_triggers!$1:$1,0)-MATCH($F$1,enemy_skill_triggers!$1:$1,0)+1),MATCH(G$1,enemy_skill_triggers!$1:$1,0)-MATCH($F$1,enemy_skill_triggers!$1:$1,0)+1,FALSE)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1" s="44">
        <f ca="1">VLOOKUP($F51,OFFSET(enemy_skill_triggers!$A$1,0,0,COUNTA(enemy_skill_triggers!$A:$A),MATCH(H$1,enemy_skill_triggers!$1:$1,0)-MATCH($F$1,enemy_skill_triggers!$1:$1,0)+1),MATCH(H$1,enemy_skill_triggers!$1:$1,0)-MATCH($F$1,enemy_skill_triggers!$1:$1,0)+1,FALSE)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51" s="44">
        <f ca="1">VLOOKUP($F51,OFFSET(enemy_skill_triggers!$A$1,0,0,COUNTA(enemy_skill_triggers!$A:$A),MATCH(I$1,enemy_skill_triggers!$1:$1,0)-MATCH($F$1,enemy_skill_triggers!$1:$1,0)+1),MATCH(I$1,enemy_skill_triggers!$1:$1,0)-MATCH($F$1,enemy_skill_triggers!$1:$1,0)+1,FALSE)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51" s="44" t="str">
        <f ca="1">VLOOKUP($F51,OFFSET(enemy_skill_triggers!$A$1,0,0,COUNTA(enemy_skill_triggers!$A:$A),MATCH(J$1,enemy_skill_triggers!$1:$1,0)-MATCH($F$1,enemy_skill_triggers!$1:$1,0)+1),MATCH(J$1,enemy_skill_triggers!$1:$1,0)-MATCH($F$1,enemy_skill_triggers!$1:$1,0)+1,FALSE)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1" s="44" t="str">
        <f ca="1">VLOOKUP($F51,OFFSET(enemy_skill_triggers!$A$1,0,0,COUNTA(enemy_skill_triggers!$A:$A),MATCH(K$1,enemy_skill_triggers!$1:$1,0)-MATCH($F$1,enemy_skill_triggers!$1:$1,0)+1),MATCH(K$1,enemy_skill_triggers!$1:$1,0)-MATCH($F$1,enemy_skill_triggers!$1:$1,0)+1,FALSE)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1" s="44">
        <f ca="1">VLOOKUP($F51,OFFSET(enemy_skill_triggers!$A$1,0,0,COUNTA(enemy_skill_triggers!$A:$A),MATCH(L$1,enemy_skill_triggers!$1:$1,0)-MATCH($F$1,enemy_skill_triggers!$1:$1,0)+1),MATCH(L$1,enemy_skill_triggers!$1:$1,0)-MATCH($F$1,enemy_skill_triggers!$1:$1,0)+1,FALSE)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1" s="44" t="str">
        <f ca="1">VLOOKUP($F51,OFFSET(enemy_skill_triggers!$A$1,0,0,COUNTA(enemy_skill_triggers!$A:$A),MATCH(M$1,enemy_skill_triggers!$1:$1,0)-MATCH($F$1,enemy_skill_triggers!$1:$1,0)+1),MATCH(M$1,enemy_skill_triggers!$1:$1,0)-MATCH($F$1,enemy_skill_triggers!$1:$1,0)+1,FALSE)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1" s="44" t="str">
        <f ca="1">VLOOKUP($F51,OFFSET(enemy_skill_triggers!$A$1,0,0,COUNTA(enemy_skill_triggers!$A:$A),MATCH(N$1,enemy_skill_triggers!$1:$1,0)-MATCH($F$1,enemy_skill_triggers!$1:$1,0)+1),MATCH(N$1,enemy_skill_triggers!$1:$1,0)-MATCH($F$1,enemy_skill_triggers!$1:$1,0)+1,FALSE)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1" s="44">
        <f ca="1">VLOOKUP($F51,OFFSET(enemy_skill_triggers!$A$1,0,0,COUNTA(enemy_skill_triggers!$A:$A),MATCH(O$1,enemy_skill_triggers!$1:$1,0)-MATCH($F$1,enemy_skill_triggers!$1:$1,0)+1),MATCH(O$1,enemy_skill_triggers!$1:$1,0)-MATCH($F$1,enemy_skill_triggers!$1:$1,0)+1,FALSE)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51" s="43"/>
      <c r="Q51" s="43"/>
      <c r="R51" s="172"/>
    </row>
    <row r="52" spans="1:18" ht="21" customHeight="1" x14ac:dyDescent="0.15">
      <c r="A52" s="39" t="str">
        <f t="shared" si="1"/>
        <v>40034007_40034340</v>
      </c>
      <c r="B52" s="171">
        <v>40034007</v>
      </c>
      <c r="C52" s="43">
        <v>40034340</v>
      </c>
      <c r="D52" s="42" t="str">
        <f ca="1">VLOOKUP($C52,OFFSET(enemy_skills!$A$1,0,0,COUNTA(enemy_skills!$A:$A),MATCH(D$1,enemy_skills!$1:$1,0)-MATCH("enemy_skill_id",enemy_skills!$1:$1,0)+1),MATCH(D$1,enemy_skills!$1:$1,0)-MATCH("enemy_skill_id",enemy_skills!$1:$1,0)+1,FALSE)</f>
        <v>…攻撃と…防御の両立…</v>
      </c>
      <c r="E52" s="42" t="str">
        <f ca="1">VLOOKUP($C52,OFFSET(enemy_skills!$A$1,0,0,COUNTA(enemy_skills!$A:$A),MATCH(E$1,enemy_skills!$1:$1,0)-MATCH("enemy_skill_id",enemy_skills!$1:$1,0)+1),MATCH(E$1,enemy_skills!$1:$1,0)-MATCH("enemy_skill_id",enemy_skills!$1:$1,0)+1,FALSE)</f>
        <v>パネルをランダムに2個ダメージパネルに変換</v>
      </c>
      <c r="F52" s="43">
        <v>40034650</v>
      </c>
      <c r="G52" s="44">
        <f ca="1">VLOOKUP($F52,OFFSET(enemy_skill_triggers!$A$1,0,0,COUNTA(enemy_skill_triggers!$A:$A),MATCH(G$1,enemy_skill_triggers!$1:$1,0)-MATCH($F$1,enemy_skill_triggers!$1:$1,0)+1),MATCH(G$1,enemy_skill_triggers!$1:$1,0)-MATCH($F$1,enemy_skill_triggers!$1:$1,0)+1,FALSE)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2" s="44">
        <f ca="1">VLOOKUP($F52,OFFSET(enemy_skill_triggers!$A$1,0,0,COUNTA(enemy_skill_triggers!$A:$A),MATCH(H$1,enemy_skill_triggers!$1:$1,0)-MATCH($F$1,enemy_skill_triggers!$1:$1,0)+1),MATCH(H$1,enemy_skill_triggers!$1:$1,0)-MATCH($F$1,enemy_skill_triggers!$1:$1,0)+1,FALSE)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52" s="44">
        <f ca="1">VLOOKUP($F52,OFFSET(enemy_skill_triggers!$A$1,0,0,COUNTA(enemy_skill_triggers!$A:$A),MATCH(I$1,enemy_skill_triggers!$1:$1,0)-MATCH($F$1,enemy_skill_triggers!$1:$1,0)+1),MATCH(I$1,enemy_skill_triggers!$1:$1,0)-MATCH($F$1,enemy_skill_triggers!$1:$1,0)+1,FALSE)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52" s="44" t="str">
        <f ca="1">VLOOKUP($F52,OFFSET(enemy_skill_triggers!$A$1,0,0,COUNTA(enemy_skill_triggers!$A:$A),MATCH(J$1,enemy_skill_triggers!$1:$1,0)-MATCH($F$1,enemy_skill_triggers!$1:$1,0)+1),MATCH(J$1,enemy_skill_triggers!$1:$1,0)-MATCH($F$1,enemy_skill_triggers!$1:$1,0)+1,FALSE)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2" s="44" t="str">
        <f ca="1">VLOOKUP($F52,OFFSET(enemy_skill_triggers!$A$1,0,0,COUNTA(enemy_skill_triggers!$A:$A),MATCH(K$1,enemy_skill_triggers!$1:$1,0)-MATCH($F$1,enemy_skill_triggers!$1:$1,0)+1),MATCH(K$1,enemy_skill_triggers!$1:$1,0)-MATCH($F$1,enemy_skill_triggers!$1:$1,0)+1,FALSE)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2" s="44">
        <f ca="1">VLOOKUP($F52,OFFSET(enemy_skill_triggers!$A$1,0,0,COUNTA(enemy_skill_triggers!$A:$A),MATCH(L$1,enemy_skill_triggers!$1:$1,0)-MATCH($F$1,enemy_skill_triggers!$1:$1,0)+1),MATCH(L$1,enemy_skill_triggers!$1:$1,0)-MATCH($F$1,enemy_skill_triggers!$1:$1,0)+1,FALSE)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2" s="44" t="str">
        <f ca="1">VLOOKUP($F52,OFFSET(enemy_skill_triggers!$A$1,0,0,COUNTA(enemy_skill_triggers!$A:$A),MATCH(M$1,enemy_skill_triggers!$1:$1,0)-MATCH($F$1,enemy_skill_triggers!$1:$1,0)+1),MATCH(M$1,enemy_skill_triggers!$1:$1,0)-MATCH($F$1,enemy_skill_triggers!$1:$1,0)+1,FALSE)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2" s="44" t="str">
        <f ca="1">VLOOKUP($F52,OFFSET(enemy_skill_triggers!$A$1,0,0,COUNTA(enemy_skill_triggers!$A:$A),MATCH(N$1,enemy_skill_triggers!$1:$1,0)-MATCH($F$1,enemy_skill_triggers!$1:$1,0)+1),MATCH(N$1,enemy_skill_triggers!$1:$1,0)-MATCH($F$1,enemy_skill_triggers!$1:$1,0)+1,FALSE)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2" s="44">
        <f ca="1">VLOOKUP($F52,OFFSET(enemy_skill_triggers!$A$1,0,0,COUNTA(enemy_skill_triggers!$A:$A),MATCH(O$1,enemy_skill_triggers!$1:$1,0)-MATCH($F$1,enemy_skill_triggers!$1:$1,0)+1),MATCH(O$1,enemy_skill_triggers!$1:$1,0)-MATCH($F$1,enemy_skill_triggers!$1:$1,0)+1,FALSE)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52" s="43"/>
      <c r="Q52" s="43"/>
      <c r="R52" s="172"/>
    </row>
    <row r="53" spans="1:18" ht="21" customHeight="1" x14ac:dyDescent="0.15">
      <c r="A53" s="39" t="str">
        <f t="shared" si="1"/>
        <v>40034007_40034341</v>
      </c>
      <c r="B53" s="171">
        <v>40034007</v>
      </c>
      <c r="C53" s="43">
        <v>40034341</v>
      </c>
      <c r="D53" s="42" t="str">
        <f ca="1">VLOOKUP($C53,OFFSET(enemy_skills!$A$1,0,0,COUNTA(enemy_skills!$A:$A),MATCH(D$1,enemy_skills!$1:$1,0)-MATCH("enemy_skill_id",enemy_skills!$1:$1,0)+1),MATCH(D$1,enemy_skills!$1:$1,0)-MATCH("enemy_skill_id",enemy_skills!$1:$1,0)+1,FALSE)</f>
        <v>…綺麗にしましょうね…</v>
      </c>
      <c r="E53" s="42" t="str">
        <f ca="1">VLOOKUP($C53,OFFSET(enemy_skills!$A$1,0,0,COUNTA(enemy_skills!$A:$A),MATCH(E$1,enemy_skills!$1:$1,0)-MATCH("enemy_skill_id",enemy_skills!$1:$1,0)+1),MATCH(E$1,enemy_skills!$1:$1,0)-MATCH("enemy_skill_id",enemy_skills!$1:$1,0)+1,FALSE)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53" s="43">
        <v>40034651</v>
      </c>
      <c r="G53" s="44">
        <f ca="1">VLOOKUP($F53,OFFSET(enemy_skill_triggers!$A$1,0,0,COUNTA(enemy_skill_triggers!$A:$A),MATCH(G$1,enemy_skill_triggers!$1:$1,0)-MATCH($F$1,enemy_skill_triggers!$1:$1,0)+1),MATCH(G$1,enemy_skill_triggers!$1:$1,0)-MATCH($F$1,enemy_skill_triggers!$1:$1,0)+1,FALSE)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3" s="44">
        <f ca="1">VLOOKUP($F53,OFFSET(enemy_skill_triggers!$A$1,0,0,COUNTA(enemy_skill_triggers!$A:$A),MATCH(H$1,enemy_skill_triggers!$1:$1,0)-MATCH($F$1,enemy_skill_triggers!$1:$1,0)+1),MATCH(H$1,enemy_skill_triggers!$1:$1,0)-MATCH($F$1,enemy_skill_triggers!$1:$1,0)+1,FALSE)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53" s="44">
        <f ca="1">VLOOKUP($F53,OFFSET(enemy_skill_triggers!$A$1,0,0,COUNTA(enemy_skill_triggers!$A:$A),MATCH(I$1,enemy_skill_triggers!$1:$1,0)-MATCH($F$1,enemy_skill_triggers!$1:$1,0)+1),MATCH(I$1,enemy_skill_triggers!$1:$1,0)-MATCH($F$1,enemy_skill_triggers!$1:$1,0)+1,FALSE)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53" s="44" t="str">
        <f ca="1">VLOOKUP($F53,OFFSET(enemy_skill_triggers!$A$1,0,0,COUNTA(enemy_skill_triggers!$A:$A),MATCH(J$1,enemy_skill_triggers!$1:$1,0)-MATCH($F$1,enemy_skill_triggers!$1:$1,0)+1),MATCH(J$1,enemy_skill_triggers!$1:$1,0)-MATCH($F$1,enemy_skill_triggers!$1:$1,0)+1,FALSE)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3" s="44" t="str">
        <f ca="1">VLOOKUP($F53,OFFSET(enemy_skill_triggers!$A$1,0,0,COUNTA(enemy_skill_triggers!$A:$A),MATCH(K$1,enemy_skill_triggers!$1:$1,0)-MATCH($F$1,enemy_skill_triggers!$1:$1,0)+1),MATCH(K$1,enemy_skill_triggers!$1:$1,0)-MATCH($F$1,enemy_skill_triggers!$1:$1,0)+1,FALSE)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3" s="44" t="str">
        <f ca="1">VLOOKUP($F53,OFFSET(enemy_skill_triggers!$A$1,0,0,COUNTA(enemy_skill_triggers!$A:$A),MATCH(L$1,enemy_skill_triggers!$1:$1,0)-MATCH($F$1,enemy_skill_triggers!$1:$1,0)+1),MATCH(L$1,enemy_skill_triggers!$1:$1,0)-MATCH($F$1,enemy_skill_triggers!$1:$1,0)+1,FALSE)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3" s="44" t="str">
        <f ca="1">VLOOKUP($F53,OFFSET(enemy_skill_triggers!$A$1,0,0,COUNTA(enemy_skill_triggers!$A:$A),MATCH(M$1,enemy_skill_triggers!$1:$1,0)-MATCH($F$1,enemy_skill_triggers!$1:$1,0)+1),MATCH(M$1,enemy_skill_triggers!$1:$1,0)-MATCH($F$1,enemy_skill_triggers!$1:$1,0)+1,FALSE)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3" s="44" t="str">
        <f ca="1">VLOOKUP($F53,OFFSET(enemy_skill_triggers!$A$1,0,0,COUNTA(enemy_skill_triggers!$A:$A),MATCH(N$1,enemy_skill_triggers!$1:$1,0)-MATCH($F$1,enemy_skill_triggers!$1:$1,0)+1),MATCH(N$1,enemy_skill_triggers!$1:$1,0)-MATCH($F$1,enemy_skill_triggers!$1:$1,0)+1,FALSE)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3" s="44">
        <f ca="1">VLOOKUP($F53,OFFSET(enemy_skill_triggers!$A$1,0,0,COUNTA(enemy_skill_triggers!$A:$A),MATCH(O$1,enemy_skill_triggers!$1:$1,0)-MATCH($F$1,enemy_skill_triggers!$1:$1,0)+1),MATCH(O$1,enemy_skill_triggers!$1:$1,0)-MATCH($F$1,enemy_skill_triggers!$1:$1,0)+1,FALSE)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53" s="43"/>
      <c r="Q53" s="43"/>
      <c r="R53" s="172"/>
    </row>
    <row r="54" spans="1:18" ht="21" customHeight="1" x14ac:dyDescent="0.15">
      <c r="A54" s="39" t="str">
        <f t="shared" si="1"/>
        <v>40034007_40034342</v>
      </c>
      <c r="B54" s="171">
        <v>40034007</v>
      </c>
      <c r="C54" s="43">
        <v>40034342</v>
      </c>
      <c r="D54" s="42" t="str">
        <f ca="1">VLOOKUP($C54,OFFSET(enemy_skills!$A$1,0,0,COUNTA(enemy_skills!$A:$A),MATCH(D$1,enemy_skills!$1:$1,0)-MATCH("enemy_skill_id",enemy_skills!$1:$1,0)+1),MATCH(D$1,enemy_skills!$1:$1,0)-MATCH("enemy_skill_id",enemy_skills!$1:$1,0)+1,FALSE)</f>
        <v>溜め込むと…痛い…</v>
      </c>
      <c r="E54" s="42" t="str">
        <f ca="1">VLOOKUP($C54,OFFSET(enemy_skills!$A$1,0,0,COUNTA(enemy_skills!$A:$A),MATCH(E$1,enemy_skills!$1:$1,0)-MATCH("enemy_skill_id",enemy_skills!$1:$1,0)+1),MATCH(E$1,enemy_skills!$1:$1,0)-MATCH("enemy_skill_id",enemy_skills!$1:$1,0)+1,FALSE)</f>
        <v>パネルをランダムに1個ダメージパネルに変換</v>
      </c>
      <c r="F54" s="43">
        <v>40034652</v>
      </c>
      <c r="G54" s="44">
        <f ca="1">VLOOKUP($F54,OFFSET(enemy_skill_triggers!$A$1,0,0,COUNTA(enemy_skill_triggers!$A:$A),MATCH(G$1,enemy_skill_triggers!$1:$1,0)-MATCH($F$1,enemy_skill_triggers!$1:$1,0)+1),MATCH(G$1,enemy_skill_triggers!$1:$1,0)-MATCH($F$1,enemy_skill_triggers!$1:$1,0)+1,FALSE)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4" s="44">
        <f ca="1">VLOOKUP($F54,OFFSET(enemy_skill_triggers!$A$1,0,0,COUNTA(enemy_skill_triggers!$A:$A),MATCH(H$1,enemy_skill_triggers!$1:$1,0)-MATCH($F$1,enemy_skill_triggers!$1:$1,0)+1),MATCH(H$1,enemy_skill_triggers!$1:$1,0)-MATCH($F$1,enemy_skill_triggers!$1:$1,0)+1,FALSE)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54" s="44">
        <f ca="1">VLOOKUP($F54,OFFSET(enemy_skill_triggers!$A$1,0,0,COUNTA(enemy_skill_triggers!$A:$A),MATCH(I$1,enemy_skill_triggers!$1:$1,0)-MATCH($F$1,enemy_skill_triggers!$1:$1,0)+1),MATCH(I$1,enemy_skill_triggers!$1:$1,0)-MATCH($F$1,enemy_skill_triggers!$1:$1,0)+1,FALSE)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54" s="44" t="str">
        <f ca="1">VLOOKUP($F54,OFFSET(enemy_skill_triggers!$A$1,0,0,COUNTA(enemy_skill_triggers!$A:$A),MATCH(J$1,enemy_skill_triggers!$1:$1,0)-MATCH($F$1,enemy_skill_triggers!$1:$1,0)+1),MATCH(J$1,enemy_skill_triggers!$1:$1,0)-MATCH($F$1,enemy_skill_triggers!$1:$1,0)+1,FALSE)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4" s="44" t="str">
        <f ca="1">VLOOKUP($F54,OFFSET(enemy_skill_triggers!$A$1,0,0,COUNTA(enemy_skill_triggers!$A:$A),MATCH(K$1,enemy_skill_triggers!$1:$1,0)-MATCH($F$1,enemy_skill_triggers!$1:$1,0)+1),MATCH(K$1,enemy_skill_triggers!$1:$1,0)-MATCH($F$1,enemy_skill_triggers!$1:$1,0)+1,FALSE)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4" s="44">
        <f ca="1">VLOOKUP($F54,OFFSET(enemy_skill_triggers!$A$1,0,0,COUNTA(enemy_skill_triggers!$A:$A),MATCH(L$1,enemy_skill_triggers!$1:$1,0)-MATCH($F$1,enemy_skill_triggers!$1:$1,0)+1),MATCH(L$1,enemy_skill_triggers!$1:$1,0)-MATCH($F$1,enemy_skill_triggers!$1:$1,0)+1,FALSE)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54" s="44" t="str">
        <f ca="1">VLOOKUP($F54,OFFSET(enemy_skill_triggers!$A$1,0,0,COUNTA(enemy_skill_triggers!$A:$A),MATCH(M$1,enemy_skill_triggers!$1:$1,0)-MATCH($F$1,enemy_skill_triggers!$1:$1,0)+1),MATCH(M$1,enemy_skill_triggers!$1:$1,0)-MATCH($F$1,enemy_skill_triggers!$1:$1,0)+1,FALSE)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4" s="44" t="str">
        <f ca="1">VLOOKUP($F54,OFFSET(enemy_skill_triggers!$A$1,0,0,COUNTA(enemy_skill_triggers!$A:$A),MATCH(N$1,enemy_skill_triggers!$1:$1,0)-MATCH($F$1,enemy_skill_triggers!$1:$1,0)+1),MATCH(N$1,enemy_skill_triggers!$1:$1,0)-MATCH($F$1,enemy_skill_triggers!$1:$1,0)+1,FALSE)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4" s="44">
        <f ca="1">VLOOKUP($F54,OFFSET(enemy_skill_triggers!$A$1,0,0,COUNTA(enemy_skill_triggers!$A:$A),MATCH(O$1,enemy_skill_triggers!$1:$1,0)-MATCH($F$1,enemy_skill_triggers!$1:$1,0)+1),MATCH(O$1,enemy_skill_triggers!$1:$1,0)-MATCH($F$1,enemy_skill_triggers!$1:$1,0)+1,FALSE)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54" s="43"/>
      <c r="Q54" s="43"/>
      <c r="R54" s="172"/>
    </row>
    <row r="55" spans="1:18" ht="21" customHeight="1" x14ac:dyDescent="0.15">
      <c r="A55" s="39" t="str">
        <f t="shared" si="1"/>
        <v>40034007_40034343</v>
      </c>
      <c r="B55" s="171">
        <v>40034007</v>
      </c>
      <c r="C55" s="43">
        <v>40034343</v>
      </c>
      <c r="D55" s="42" t="str">
        <f ca="1">VLOOKUP($C55,OFFSET(enemy_skills!$A$1,0,0,COUNTA(enemy_skills!$A:$A),MATCH(D$1,enemy_skills!$1:$1,0)-MATCH("enemy_skill_id",enemy_skills!$1:$1,0)+1),MATCH(D$1,enemy_skills!$1:$1,0)-MATCH("enemy_skill_id",enemy_skills!$1:$1,0)+1,FALSE)</f>
        <v>まだ…これからよ…</v>
      </c>
      <c r="E55" s="42" t="str">
        <f ca="1">VLOOKUP($C55,OFFSET(enemy_skills!$A$1,0,0,COUNTA(enemy_skills!$A:$A),MATCH(E$1,enemy_skills!$1:$1,0)-MATCH("enemy_skill_id",enemy_skills!$1:$1,0)+1),MATCH(E$1,enemy_skills!$1:$1,0)-MATCH("enemy_skill_id",enemy_skills!$1:$1,0)+1,FALSE)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55" s="43">
        <v>40034653</v>
      </c>
      <c r="G55" s="44">
        <f ca="1">VLOOKUP($F55,OFFSET(enemy_skill_triggers!$A$1,0,0,COUNTA(enemy_skill_triggers!$A:$A),MATCH(G$1,enemy_skill_triggers!$1:$1,0)-MATCH($F$1,enemy_skill_triggers!$1:$1,0)+1),MATCH(G$1,enemy_skill_triggers!$1:$1,0)-MATCH($F$1,enemy_skill_triggers!$1:$1,0)+1,FALSE)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5" s="44">
        <f ca="1">VLOOKUP($F55,OFFSET(enemy_skill_triggers!$A$1,0,0,COUNTA(enemy_skill_triggers!$A:$A),MATCH(H$1,enemy_skill_triggers!$1:$1,0)-MATCH($F$1,enemy_skill_triggers!$1:$1,0)+1),MATCH(H$1,enemy_skill_triggers!$1:$1,0)-MATCH($F$1,enemy_skill_triggers!$1:$1,0)+1,FALSE)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55" s="44">
        <f ca="1">VLOOKUP($F55,OFFSET(enemy_skill_triggers!$A$1,0,0,COUNTA(enemy_skill_triggers!$A:$A),MATCH(I$1,enemy_skill_triggers!$1:$1,0)-MATCH($F$1,enemy_skill_triggers!$1:$1,0)+1),MATCH(I$1,enemy_skill_triggers!$1:$1,0)-MATCH($F$1,enemy_skill_triggers!$1:$1,0)+1,FALSE)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55" s="44">
        <f ca="1">VLOOKUP($F55,OFFSET(enemy_skill_triggers!$A$1,0,0,COUNTA(enemy_skill_triggers!$A:$A),MATCH(J$1,enemy_skill_triggers!$1:$1,0)-MATCH($F$1,enemy_skill_triggers!$1:$1,0)+1),MATCH(J$1,enemy_skill_triggers!$1:$1,0)-MATCH($F$1,enemy_skill_triggers!$1:$1,0)+1,FALSE)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5" s="44" t="str">
        <f ca="1">VLOOKUP($F55,OFFSET(enemy_skill_triggers!$A$1,0,0,COUNTA(enemy_skill_triggers!$A:$A),MATCH(K$1,enemy_skill_triggers!$1:$1,0)-MATCH($F$1,enemy_skill_triggers!$1:$1,0)+1),MATCH(K$1,enemy_skill_triggers!$1:$1,0)-MATCH($F$1,enemy_skill_triggers!$1:$1,0)+1,FALSE)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5" s="44">
        <f ca="1">VLOOKUP($F55,OFFSET(enemy_skill_triggers!$A$1,0,0,COUNTA(enemy_skill_triggers!$A:$A),MATCH(L$1,enemy_skill_triggers!$1:$1,0)-MATCH($F$1,enemy_skill_triggers!$1:$1,0)+1),MATCH(L$1,enemy_skill_triggers!$1:$1,0)-MATCH($F$1,enemy_skill_triggers!$1:$1,0)+1,FALSE)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5" s="44" t="str">
        <f ca="1">VLOOKUP($F55,OFFSET(enemy_skill_triggers!$A$1,0,0,COUNTA(enemy_skill_triggers!$A:$A),MATCH(M$1,enemy_skill_triggers!$1:$1,0)-MATCH($F$1,enemy_skill_triggers!$1:$1,0)+1),MATCH(M$1,enemy_skill_triggers!$1:$1,0)-MATCH($F$1,enemy_skill_triggers!$1:$1,0)+1,FALSE)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5" s="44" t="str">
        <f ca="1">VLOOKUP($F55,OFFSET(enemy_skill_triggers!$A$1,0,0,COUNTA(enemy_skill_triggers!$A:$A),MATCH(N$1,enemy_skill_triggers!$1:$1,0)-MATCH($F$1,enemy_skill_triggers!$1:$1,0)+1),MATCH(N$1,enemy_skill_triggers!$1:$1,0)-MATCH($F$1,enemy_skill_triggers!$1:$1,0)+1,FALSE)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5" s="44">
        <f ca="1">VLOOKUP($F55,OFFSET(enemy_skill_triggers!$A$1,0,0,COUNTA(enemy_skill_triggers!$A:$A),MATCH(O$1,enemy_skill_triggers!$1:$1,0)-MATCH($F$1,enemy_skill_triggers!$1:$1,0)+1),MATCH(O$1,enemy_skill_triggers!$1:$1,0)-MATCH($F$1,enemy_skill_triggers!$1:$1,0)+1,FALSE)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55" s="43"/>
      <c r="Q55" s="43"/>
      <c r="R55" s="172"/>
    </row>
    <row r="56" spans="1:18" ht="21" customHeight="1" thickBot="1" x14ac:dyDescent="0.2">
      <c r="A56" s="39" t="str">
        <f t="shared" si="1"/>
        <v>40034007_40034344</v>
      </c>
      <c r="B56" s="168">
        <v>40034007</v>
      </c>
      <c r="C56" s="132">
        <v>40034344</v>
      </c>
      <c r="D56" s="169" t="str">
        <f ca="1">VLOOKUP($C56,OFFSET(enemy_skills!$A$1,0,0,COUNTA(enemy_skills!$A:$A),MATCH(D$1,enemy_skills!$1:$1,0)-MATCH("enemy_skill_id",enemy_skills!$1:$1,0)+1),MATCH(D$1,enemy_skills!$1:$1,0)-MATCH("enemy_skill_id",enemy_skills!$1:$1,0)+1,FALSE)</f>
        <v>エクセキューション</v>
      </c>
      <c r="E56" s="169" t="str">
        <f ca="1">VLOOKUP($C56,OFFSET(enemy_skills!$A$1,0,0,COUNTA(enemy_skills!$A:$A),MATCH(E$1,enemy_skills!$1:$1,0)-MATCH("enemy_skill_id",enemy_skills!$1:$1,0)+1),MATCH(E$1,enemy_skills!$1:$1,0)-MATCH("enemy_skill_id",enemy_skills!$1:$1,0)+1,FALSE)</f>
        <v>連続攻撃</v>
      </c>
      <c r="F56" s="132">
        <v>40034654</v>
      </c>
      <c r="G56" s="136">
        <f ca="1">VLOOKUP($F56,OFFSET(enemy_skill_triggers!$A$1,0,0,COUNTA(enemy_skill_triggers!$A:$A),MATCH(G$1,enemy_skill_triggers!$1:$1,0)-MATCH($F$1,enemy_skill_triggers!$1:$1,0)+1),MATCH(G$1,enemy_skill_triggers!$1:$1,0)-MATCH($F$1,enemy_skill_triggers!$1:$1,0)+1,FALSE)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6" s="136">
        <f ca="1">VLOOKUP($F56,OFFSET(enemy_skill_triggers!$A$1,0,0,COUNTA(enemy_skill_triggers!$A:$A),MATCH(H$1,enemy_skill_triggers!$1:$1,0)-MATCH($F$1,enemy_skill_triggers!$1:$1,0)+1),MATCH(H$1,enemy_skill_triggers!$1:$1,0)-MATCH($F$1,enemy_skill_triggers!$1:$1,0)+1,FALSE)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56" s="136">
        <f ca="1">VLOOKUP($F56,OFFSET(enemy_skill_triggers!$A$1,0,0,COUNTA(enemy_skill_triggers!$A:$A),MATCH(I$1,enemy_skill_triggers!$1:$1,0)-MATCH($F$1,enemy_skill_triggers!$1:$1,0)+1),MATCH(I$1,enemy_skill_triggers!$1:$1,0)-MATCH($F$1,enemy_skill_triggers!$1:$1,0)+1,FALSE)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56" s="136" t="str">
        <f ca="1">VLOOKUP($F56,OFFSET(enemy_skill_triggers!$A$1,0,0,COUNTA(enemy_skill_triggers!$A:$A),MATCH(J$1,enemy_skill_triggers!$1:$1,0)-MATCH($F$1,enemy_skill_triggers!$1:$1,0)+1),MATCH(J$1,enemy_skill_triggers!$1:$1,0)-MATCH($F$1,enemy_skill_triggers!$1:$1,0)+1,FALSE)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6" s="136" t="str">
        <f ca="1">VLOOKUP($F56,OFFSET(enemy_skill_triggers!$A$1,0,0,COUNTA(enemy_skill_triggers!$A:$A),MATCH(K$1,enemy_skill_triggers!$1:$1,0)-MATCH($F$1,enemy_skill_triggers!$1:$1,0)+1),MATCH(K$1,enemy_skill_triggers!$1:$1,0)-MATCH($F$1,enemy_skill_triggers!$1:$1,0)+1,FALSE)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6" s="136" t="str">
        <f ca="1">VLOOKUP($F56,OFFSET(enemy_skill_triggers!$A$1,0,0,COUNTA(enemy_skill_triggers!$A:$A),MATCH(L$1,enemy_skill_triggers!$1:$1,0)-MATCH($F$1,enemy_skill_triggers!$1:$1,0)+1),MATCH(L$1,enemy_skill_triggers!$1:$1,0)-MATCH($F$1,enemy_skill_triggers!$1:$1,0)+1,FALSE)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6" s="136" t="str">
        <f ca="1">VLOOKUP($F56,OFFSET(enemy_skill_triggers!$A$1,0,0,COUNTA(enemy_skill_triggers!$A:$A),MATCH(M$1,enemy_skill_triggers!$1:$1,0)-MATCH($F$1,enemy_skill_triggers!$1:$1,0)+1),MATCH(M$1,enemy_skill_triggers!$1:$1,0)-MATCH($F$1,enemy_skill_triggers!$1:$1,0)+1,FALSE)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6" s="136" t="str">
        <f ca="1">VLOOKUP($F56,OFFSET(enemy_skill_triggers!$A$1,0,0,COUNTA(enemy_skill_triggers!$A:$A),MATCH(N$1,enemy_skill_triggers!$1:$1,0)-MATCH($F$1,enemy_skill_triggers!$1:$1,0)+1),MATCH(N$1,enemy_skill_triggers!$1:$1,0)-MATCH($F$1,enemy_skill_triggers!$1:$1,0)+1,FALSE)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6" s="136">
        <f ca="1">VLOOKUP($F56,OFFSET(enemy_skill_triggers!$A$1,0,0,COUNTA(enemy_skill_triggers!$A:$A),MATCH(O$1,enemy_skill_triggers!$1:$1,0)-MATCH($F$1,enemy_skill_triggers!$1:$1,0)+1),MATCH(O$1,enemy_skill_triggers!$1:$1,0)-MATCH($F$1,enemy_skill_triggers!$1:$1,0)+1,FALSE)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56" s="132"/>
      <c r="Q56" s="132"/>
      <c r="R56" s="170"/>
    </row>
    <row r="57" spans="1:18" ht="21" customHeight="1" x14ac:dyDescent="0.15">
      <c r="A57" s="39" t="str">
        <f t="shared" si="1"/>
        <v>40034008_40034345</v>
      </c>
      <c r="B57" s="123">
        <v>40034008</v>
      </c>
      <c r="C57" s="124">
        <v>40034345</v>
      </c>
      <c r="D57" s="166" t="str">
        <f ca="1">VLOOKUP($C57,OFFSET(enemy_skills!$A$1,0,0,COUNTA(enemy_skills!$A:$A),MATCH(D$1,enemy_skills!$1:$1,0)-MATCH("enemy_skill_id",enemy_skills!$1:$1,0)+1),MATCH(D$1,enemy_skills!$1:$1,0)-MATCH("enemy_skill_id",enemy_skills!$1:$1,0)+1,FALSE)</f>
        <v>シヴァ様の隣は渡さない…！</v>
      </c>
      <c r="E57" s="166" t="str">
        <f ca="1">VLOOKUP($C57,OFFSET(enemy_skills!$A$1,0,0,COUNTA(enemy_skills!$A:$A),MATCH(E$1,enemy_skills!$1:$1,0)-MATCH("enemy_skill_id",enemy_skills!$1:$1,0)+1),MATCH(E$1,enemy_skills!$1:$1,0)-MATCH("enemy_skill_id",enemy_skills!$1:$1,0)+1,FALSE)</f>
        <v>ハートパネルを1個ダメージパネルに変換_x000D_+状態異常無効</v>
      </c>
      <c r="F57" s="124">
        <v>40034655</v>
      </c>
      <c r="G57" s="128">
        <f ca="1">VLOOKUP($F57,OFFSET(enemy_skill_triggers!$A$1,0,0,COUNTA(enemy_skill_triggers!$A:$A),MATCH(G$1,enemy_skill_triggers!$1:$1,0)-MATCH($F$1,enemy_skill_triggers!$1:$1,0)+1),MATCH(G$1,enemy_skill_triggers!$1:$1,0)-MATCH($F$1,enemy_skill_triggers!$1:$1,0)+1,FALSE)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57" s="128">
        <f ca="1">VLOOKUP($F57,OFFSET(enemy_skill_triggers!$A$1,0,0,COUNTA(enemy_skill_triggers!$A:$A),MATCH(H$1,enemy_skill_triggers!$1:$1,0)-MATCH($F$1,enemy_skill_triggers!$1:$1,0)+1),MATCH(H$1,enemy_skill_triggers!$1:$1,0)-MATCH($F$1,enemy_skill_triggers!$1:$1,0)+1,FALSE)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57" s="128">
        <f ca="1">VLOOKUP($F57,OFFSET(enemy_skill_triggers!$A$1,0,0,COUNTA(enemy_skill_triggers!$A:$A),MATCH(I$1,enemy_skill_triggers!$1:$1,0)-MATCH($F$1,enemy_skill_triggers!$1:$1,0)+1),MATCH(I$1,enemy_skill_triggers!$1:$1,0)-MATCH($F$1,enemy_skill_triggers!$1:$1,0)+1,FALSE)</f>
        <v>13</v>
      </c>
      <c r="J57" s="128" t="str">
        <f ca="1">VLOOKUP($F57,OFFSET(enemy_skill_triggers!$A$1,0,0,COUNTA(enemy_skill_triggers!$A:$A),MATCH(J$1,enemy_skill_triggers!$1:$1,0)-MATCH($F$1,enemy_skill_triggers!$1:$1,0)+1),MATCH(J$1,enemy_skill_triggers!$1:$1,0)-MATCH($F$1,enemy_skill_triggers!$1:$1,0)+1,FALSE)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7" s="128" t="str">
        <f ca="1">VLOOKUP($F57,OFFSET(enemy_skill_triggers!$A$1,0,0,COUNTA(enemy_skill_triggers!$A:$A),MATCH(K$1,enemy_skill_triggers!$1:$1,0)-MATCH($F$1,enemy_skill_triggers!$1:$1,0)+1),MATCH(K$1,enemy_skill_triggers!$1:$1,0)-MATCH($F$1,enemy_skill_triggers!$1:$1,0)+1,FALSE)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7" s="128">
        <f ca="1">VLOOKUP($F57,OFFSET(enemy_skill_triggers!$A$1,0,0,COUNTA(enemy_skill_triggers!$A:$A),MATCH(L$1,enemy_skill_triggers!$1:$1,0)-MATCH($F$1,enemy_skill_triggers!$1:$1,0)+1),MATCH(L$1,enemy_skill_triggers!$1:$1,0)-MATCH($F$1,enemy_skill_triggers!$1:$1,0)+1,FALSE)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7" s="128" t="str">
        <f ca="1">VLOOKUP($F57,OFFSET(enemy_skill_triggers!$A$1,0,0,COUNTA(enemy_skill_triggers!$A:$A),MATCH(M$1,enemy_skill_triggers!$1:$1,0)-MATCH($F$1,enemy_skill_triggers!$1:$1,0)+1),MATCH(M$1,enemy_skill_triggers!$1:$1,0)-MATCH($F$1,enemy_skill_triggers!$1:$1,0)+1,FALSE)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7" s="128" t="str">
        <f ca="1">VLOOKUP($F57,OFFSET(enemy_skill_triggers!$A$1,0,0,COUNTA(enemy_skill_triggers!$A:$A),MATCH(N$1,enemy_skill_triggers!$1:$1,0)-MATCH($F$1,enemy_skill_triggers!$1:$1,0)+1),MATCH(N$1,enemy_skill_triggers!$1:$1,0)-MATCH($F$1,enemy_skill_triggers!$1:$1,0)+1,FALSE)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7" s="128">
        <f ca="1">VLOOKUP($F57,OFFSET(enemy_skill_triggers!$A$1,0,0,COUNTA(enemy_skill_triggers!$A:$A),MATCH(O$1,enemy_skill_triggers!$1:$1,0)-MATCH($F$1,enemy_skill_triggers!$1:$1,0)+1),MATCH(O$1,enemy_skill_triggers!$1:$1,0)-MATCH($F$1,enemy_skill_triggers!$1:$1,0)+1,FALSE)</f>
        <v>13</v>
      </c>
      <c r="P57" s="124"/>
      <c r="Q57" s="124"/>
      <c r="R57" s="167"/>
    </row>
    <row r="58" spans="1:18" ht="21" customHeight="1" x14ac:dyDescent="0.15">
      <c r="A58" s="39" t="str">
        <f t="shared" si="1"/>
        <v>40034008_40034346</v>
      </c>
      <c r="B58" s="171">
        <v>40034008</v>
      </c>
      <c r="C58" s="43">
        <v>40034346</v>
      </c>
      <c r="D58" s="42" t="str">
        <f ca="1">VLOOKUP($C58,OFFSET(enemy_skills!$A$1,0,0,COUNTA(enemy_skills!$A:$A),MATCH(D$1,enemy_skills!$1:$1,0)-MATCH("enemy_skill_id",enemy_skills!$1:$1,0)+1),MATCH(D$1,enemy_skills!$1:$1,0)-MATCH("enemy_skill_id",enemy_skills!$1:$1,0)+1,FALSE)</f>
        <v>ガベージデータ・クリア</v>
      </c>
      <c r="E58" s="42" t="str">
        <f ca="1">VLOOKUP($C58,OFFSET(enemy_skills!$A$1,0,0,COUNTA(enemy_skills!$A:$A),MATCH(E$1,enemy_skills!$1:$1,0)-MATCH("enemy_skill_id",enemy_skills!$1:$1,0)+1),MATCH(E$1,enemy_skills!$1:$1,0)-MATCH("enemy_skill_id",enemy_skills!$1:$1,0)+1,FALSE)</f>
        <v>お邪魔パネルを吸収して_x000D_攻撃力UP(最大10個)</v>
      </c>
      <c r="F58" s="43">
        <v>40034656</v>
      </c>
      <c r="G58" s="44">
        <f ca="1">VLOOKUP($F58,OFFSET(enemy_skill_triggers!$A$1,0,0,COUNTA(enemy_skill_triggers!$A:$A),MATCH(G$1,enemy_skill_triggers!$1:$1,0)-MATCH($F$1,enemy_skill_triggers!$1:$1,0)+1),MATCH(G$1,enemy_skill_triggers!$1:$1,0)-MATCH($F$1,enemy_skill_triggers!$1:$1,0)+1,FALSE)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8" s="44">
        <f ca="1">VLOOKUP($F58,OFFSET(enemy_skill_triggers!$A$1,0,0,COUNTA(enemy_skill_triggers!$A:$A),MATCH(H$1,enemy_skill_triggers!$1:$1,0)-MATCH($F$1,enemy_skill_triggers!$1:$1,0)+1),MATCH(H$1,enemy_skill_triggers!$1:$1,0)-MATCH($F$1,enemy_skill_triggers!$1:$1,0)+1,FALSE)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58" s="44">
        <f ca="1">VLOOKUP($F58,OFFSET(enemy_skill_triggers!$A$1,0,0,COUNTA(enemy_skill_triggers!$A:$A),MATCH(I$1,enemy_skill_triggers!$1:$1,0)-MATCH($F$1,enemy_skill_triggers!$1:$1,0)+1),MATCH(I$1,enemy_skill_triggers!$1:$1,0)-MATCH($F$1,enemy_skill_triggers!$1:$1,0)+1,FALSE)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58" s="44">
        <f ca="1">VLOOKUP($F58,OFFSET(enemy_skill_triggers!$A$1,0,0,COUNTA(enemy_skill_triggers!$A:$A),MATCH(J$1,enemy_skill_triggers!$1:$1,0)-MATCH($F$1,enemy_skill_triggers!$1:$1,0)+1),MATCH(J$1,enemy_skill_triggers!$1:$1,0)-MATCH($F$1,enemy_skill_triggers!$1:$1,0)+1,FALSE)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58" s="44" t="str">
        <f ca="1">VLOOKUP($F58,OFFSET(enemy_skill_triggers!$A$1,0,0,COUNTA(enemy_skill_triggers!$A:$A),MATCH(K$1,enemy_skill_triggers!$1:$1,0)-MATCH($F$1,enemy_skill_triggers!$1:$1,0)+1),MATCH(K$1,enemy_skill_triggers!$1:$1,0)-MATCH($F$1,enemy_skill_triggers!$1:$1,0)+1,FALSE)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8" s="44">
        <f ca="1">VLOOKUP($F58,OFFSET(enemy_skill_triggers!$A$1,0,0,COUNTA(enemy_skill_triggers!$A:$A),MATCH(L$1,enemy_skill_triggers!$1:$1,0)-MATCH($F$1,enemy_skill_triggers!$1:$1,0)+1),MATCH(L$1,enemy_skill_triggers!$1:$1,0)-MATCH($F$1,enemy_skill_triggers!$1:$1,0)+1,FALSE)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58" s="44" t="str">
        <f ca="1">VLOOKUP($F58,OFFSET(enemy_skill_triggers!$A$1,0,0,COUNTA(enemy_skill_triggers!$A:$A),MATCH(M$1,enemy_skill_triggers!$1:$1,0)-MATCH($F$1,enemy_skill_triggers!$1:$1,0)+1),MATCH(M$1,enemy_skill_triggers!$1:$1,0)-MATCH($F$1,enemy_skill_triggers!$1:$1,0)+1,FALSE)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8" s="44" t="str">
        <f ca="1">VLOOKUP($F58,OFFSET(enemy_skill_triggers!$A$1,0,0,COUNTA(enemy_skill_triggers!$A:$A),MATCH(N$1,enemy_skill_triggers!$1:$1,0)-MATCH($F$1,enemy_skill_triggers!$1:$1,0)+1),MATCH(N$1,enemy_skill_triggers!$1:$1,0)-MATCH($F$1,enemy_skill_triggers!$1:$1,0)+1,FALSE)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8" s="44">
        <f ca="1">VLOOKUP($F58,OFFSET(enemy_skill_triggers!$A$1,0,0,COUNTA(enemy_skill_triggers!$A:$A),MATCH(O$1,enemy_skill_triggers!$1:$1,0)-MATCH($F$1,enemy_skill_triggers!$1:$1,0)+1),MATCH(O$1,enemy_skill_triggers!$1:$1,0)-MATCH($F$1,enemy_skill_triggers!$1:$1,0)+1,FALSE)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58" s="43"/>
      <c r="Q58" s="43"/>
      <c r="R58" s="172"/>
    </row>
    <row r="59" spans="1:18" ht="21" customHeight="1" x14ac:dyDescent="0.15">
      <c r="A59" s="39" t="str">
        <f t="shared" si="1"/>
        <v>40034008_40034347</v>
      </c>
      <c r="B59" s="171">
        <v>40034008</v>
      </c>
      <c r="C59" s="43">
        <v>40034347</v>
      </c>
      <c r="D59" s="42" t="str">
        <f ca="1">VLOOKUP($C59,OFFSET(enemy_skills!$A$1,0,0,COUNTA(enemy_skills!$A:$A),MATCH(D$1,enemy_skills!$1:$1,0)-MATCH("enemy_skill_id",enemy_skills!$1:$1,0)+1),MATCH(D$1,enemy_skills!$1:$1,0)-MATCH("enemy_skill_id",enemy_skills!$1:$1,0)+1,FALSE)</f>
        <v>コレクト・ラブハート</v>
      </c>
      <c r="E59" s="42" t="str">
        <f ca="1">VLOOKUP($C59,OFFSET(enemy_skills!$A$1,0,0,COUNTA(enemy_skills!$A:$A),MATCH(E$1,enemy_skills!$1:$1,0)-MATCH("enemy_skill_id",enemy_skills!$1:$1,0)+1),MATCH(E$1,enemy_skills!$1:$1,0)-MATCH("enemy_skill_id",enemy_skills!$1:$1,0)+1,FALSE)</f>
        <v>ハートパネルを吸収して回復_x000D_+単体攻撃</v>
      </c>
      <c r="F59" s="43">
        <v>40034657</v>
      </c>
      <c r="G59" s="44">
        <f ca="1">VLOOKUP($F59,OFFSET(enemy_skill_triggers!$A$1,0,0,COUNTA(enemy_skill_triggers!$A:$A),MATCH(G$1,enemy_skill_triggers!$1:$1,0)-MATCH($F$1,enemy_skill_triggers!$1:$1,0)+1),MATCH(G$1,enemy_skill_triggers!$1:$1,0)-MATCH($F$1,enemy_skill_triggers!$1:$1,0)+1,FALSE)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59" s="44">
        <f ca="1">VLOOKUP($F59,OFFSET(enemy_skill_triggers!$A$1,0,0,COUNTA(enemy_skill_triggers!$A:$A),MATCH(H$1,enemy_skill_triggers!$1:$1,0)-MATCH($F$1,enemy_skill_triggers!$1:$1,0)+1),MATCH(H$1,enemy_skill_triggers!$1:$1,0)-MATCH($F$1,enemy_skill_triggers!$1:$1,0)+1,FALSE)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59" s="44">
        <f ca="1">VLOOKUP($F59,OFFSET(enemy_skill_triggers!$A$1,0,0,COUNTA(enemy_skill_triggers!$A:$A),MATCH(I$1,enemy_skill_triggers!$1:$1,0)-MATCH($F$1,enemy_skill_triggers!$1:$1,0)+1),MATCH(I$1,enemy_skill_triggers!$1:$1,0)-MATCH($F$1,enemy_skill_triggers!$1:$1,0)+1,FALSE)</f>
        <v>16</v>
      </c>
      <c r="J59" s="44" t="str">
        <f ca="1">VLOOKUP($F59,OFFSET(enemy_skill_triggers!$A$1,0,0,COUNTA(enemy_skill_triggers!$A:$A),MATCH(J$1,enemy_skill_triggers!$1:$1,0)-MATCH($F$1,enemy_skill_triggers!$1:$1,0)+1),MATCH(J$1,enemy_skill_triggers!$1:$1,0)-MATCH($F$1,enemy_skill_triggers!$1:$1,0)+1,FALSE)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59" s="44" t="str">
        <f ca="1">VLOOKUP($F59,OFFSET(enemy_skill_triggers!$A$1,0,0,COUNTA(enemy_skill_triggers!$A:$A),MATCH(K$1,enemy_skill_triggers!$1:$1,0)-MATCH($F$1,enemy_skill_triggers!$1:$1,0)+1),MATCH(K$1,enemy_skill_triggers!$1:$1,0)-MATCH($F$1,enemy_skill_triggers!$1:$1,0)+1,FALSE)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59" s="44" t="str">
        <f ca="1">VLOOKUP($F59,OFFSET(enemy_skill_triggers!$A$1,0,0,COUNTA(enemy_skill_triggers!$A:$A),MATCH(L$1,enemy_skill_triggers!$1:$1,0)-MATCH($F$1,enemy_skill_triggers!$1:$1,0)+1),MATCH(L$1,enemy_skill_triggers!$1:$1,0)-MATCH($F$1,enemy_skill_triggers!$1:$1,0)+1,FALSE)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59" s="44" t="str">
        <f ca="1">VLOOKUP($F59,OFFSET(enemy_skill_triggers!$A$1,0,0,COUNTA(enemy_skill_triggers!$A:$A),MATCH(M$1,enemy_skill_triggers!$1:$1,0)-MATCH($F$1,enemy_skill_triggers!$1:$1,0)+1),MATCH(M$1,enemy_skill_triggers!$1:$1,0)-MATCH($F$1,enemy_skill_triggers!$1:$1,0)+1,FALSE)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59" s="44" t="str">
        <f ca="1">VLOOKUP($F59,OFFSET(enemy_skill_triggers!$A$1,0,0,COUNTA(enemy_skill_triggers!$A:$A),MATCH(N$1,enemy_skill_triggers!$1:$1,0)-MATCH($F$1,enemy_skill_triggers!$1:$1,0)+1),MATCH(N$1,enemy_skill_triggers!$1:$1,0)-MATCH($F$1,enemy_skill_triggers!$1:$1,0)+1,FALSE)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59" s="44">
        <f ca="1">VLOOKUP($F59,OFFSET(enemy_skill_triggers!$A$1,0,0,COUNTA(enemy_skill_triggers!$A:$A),MATCH(O$1,enemy_skill_triggers!$1:$1,0)-MATCH($F$1,enemy_skill_triggers!$1:$1,0)+1),MATCH(O$1,enemy_skill_triggers!$1:$1,0)-MATCH($F$1,enemy_skill_triggers!$1:$1,0)+1,FALSE)</f>
        <v>16</v>
      </c>
      <c r="P59" s="43"/>
      <c r="Q59" s="43"/>
      <c r="R59" s="172"/>
    </row>
    <row r="60" spans="1:18" ht="21" customHeight="1" x14ac:dyDescent="0.15">
      <c r="A60" s="39" t="str">
        <f t="shared" ref="A60:A65" si="3">B60&amp;"_"&amp;C60</f>
        <v>40034008_40034348</v>
      </c>
      <c r="B60" s="171">
        <v>40034008</v>
      </c>
      <c r="C60" s="43">
        <v>40034348</v>
      </c>
      <c r="D60" s="42" t="str">
        <f ca="1">VLOOKUP($C60,OFFSET(enemy_skills!$A$1,0,0,COUNTA(enemy_skills!$A:$A),MATCH(D$1,enemy_skills!$1:$1,0)-MATCH("enemy_skill_id",enemy_skills!$1:$1,0)+1),MATCH(D$1,enemy_skills!$1:$1,0)-MATCH("enemy_skill_id",enemy_skills!$1:$1,0)+1,FALSE)</f>
        <v>ブースト・アタック</v>
      </c>
      <c r="E60" s="42" t="str">
        <f ca="1">VLOOKUP($C60,OFFSET(enemy_skills!$A$1,0,0,COUNTA(enemy_skills!$A:$A),MATCH(E$1,enemy_skills!$1:$1,0)-MATCH("enemy_skill_id",enemy_skills!$1:$1,0)+1),MATCH(E$1,enemy_skills!$1:$1,0)-MATCH("enemy_skill_id",enemy_skills!$1:$1,0)+1,FALSE)</f>
        <v>攻撃力UP_x000D_+単体攻撃</v>
      </c>
      <c r="F60" s="43">
        <v>40034658</v>
      </c>
      <c r="G60" s="44">
        <f ca="1">VLOOKUP($F60,OFFSET(enemy_skill_triggers!$A$1,0,0,COUNTA(enemy_skill_triggers!$A:$A),MATCH(G$1,enemy_skill_triggers!$1:$1,0)-MATCH($F$1,enemy_skill_triggers!$1:$1,0)+1),MATCH(G$1,enemy_skill_triggers!$1:$1,0)-MATCH($F$1,enemy_skill_triggers!$1:$1,0)+1,FALSE)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0" s="44">
        <f ca="1">VLOOKUP($F60,OFFSET(enemy_skill_triggers!$A$1,0,0,COUNTA(enemy_skill_triggers!$A:$A),MATCH(H$1,enemy_skill_triggers!$1:$1,0)-MATCH($F$1,enemy_skill_triggers!$1:$1,0)+1),MATCH(H$1,enemy_skill_triggers!$1:$1,0)-MATCH($F$1,enemy_skill_triggers!$1:$1,0)+1,FALSE)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60" s="44">
        <f ca="1">VLOOKUP($F60,OFFSET(enemy_skill_triggers!$A$1,0,0,COUNTA(enemy_skill_triggers!$A:$A),MATCH(I$1,enemy_skill_triggers!$1:$1,0)-MATCH($F$1,enemy_skill_triggers!$1:$1,0)+1),MATCH(I$1,enemy_skill_triggers!$1:$1,0)-MATCH($F$1,enemy_skill_triggers!$1:$1,0)+1,FALSE)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60" s="44" t="str">
        <f ca="1">VLOOKUP($F60,OFFSET(enemy_skill_triggers!$A$1,0,0,COUNTA(enemy_skill_triggers!$A:$A),MATCH(J$1,enemy_skill_triggers!$1:$1,0)-MATCH($F$1,enemy_skill_triggers!$1:$1,0)+1),MATCH(J$1,enemy_skill_triggers!$1:$1,0)-MATCH($F$1,enemy_skill_triggers!$1:$1,0)+1,FALSE)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0" s="44" t="str">
        <f ca="1">VLOOKUP($F60,OFFSET(enemy_skill_triggers!$A$1,0,0,COUNTA(enemy_skill_triggers!$A:$A),MATCH(K$1,enemy_skill_triggers!$1:$1,0)-MATCH($F$1,enemy_skill_triggers!$1:$1,0)+1),MATCH(K$1,enemy_skill_triggers!$1:$1,0)-MATCH($F$1,enemy_skill_triggers!$1:$1,0)+1,FALSE)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0" s="44" t="str">
        <f ca="1">VLOOKUP($F60,OFFSET(enemy_skill_triggers!$A$1,0,0,COUNTA(enemy_skill_triggers!$A:$A),MATCH(L$1,enemy_skill_triggers!$1:$1,0)-MATCH($F$1,enemy_skill_triggers!$1:$1,0)+1),MATCH(L$1,enemy_skill_triggers!$1:$1,0)-MATCH($F$1,enemy_skill_triggers!$1:$1,0)+1,FALSE)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0" s="44" t="str">
        <f ca="1">VLOOKUP($F60,OFFSET(enemy_skill_triggers!$A$1,0,0,COUNTA(enemy_skill_triggers!$A:$A),MATCH(M$1,enemy_skill_triggers!$1:$1,0)-MATCH($F$1,enemy_skill_triggers!$1:$1,0)+1),MATCH(M$1,enemy_skill_triggers!$1:$1,0)-MATCH($F$1,enemy_skill_triggers!$1:$1,0)+1,FALSE)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0" s="44" t="str">
        <f ca="1">VLOOKUP($F60,OFFSET(enemy_skill_triggers!$A$1,0,0,COUNTA(enemy_skill_triggers!$A:$A),MATCH(N$1,enemy_skill_triggers!$1:$1,0)-MATCH($F$1,enemy_skill_triggers!$1:$1,0)+1),MATCH(N$1,enemy_skill_triggers!$1:$1,0)-MATCH($F$1,enemy_skill_triggers!$1:$1,0)+1,FALSE)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0" s="44">
        <f ca="1">VLOOKUP($F60,OFFSET(enemy_skill_triggers!$A$1,0,0,COUNTA(enemy_skill_triggers!$A:$A),MATCH(O$1,enemy_skill_triggers!$1:$1,0)-MATCH($F$1,enemy_skill_triggers!$1:$1,0)+1),MATCH(O$1,enemy_skill_triggers!$1:$1,0)-MATCH($F$1,enemy_skill_triggers!$1:$1,0)+1,FALSE)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60" s="43"/>
      <c r="Q60" s="43"/>
      <c r="R60" s="172"/>
    </row>
    <row r="61" spans="1:18" ht="21" customHeight="1" x14ac:dyDescent="0.15">
      <c r="A61" s="39" t="str">
        <f t="shared" si="3"/>
        <v>40034008_40034349</v>
      </c>
      <c r="B61" s="171">
        <v>40034008</v>
      </c>
      <c r="C61" s="43">
        <v>40034349</v>
      </c>
      <c r="D61" s="42" t="str">
        <f ca="1">VLOOKUP($C61,OFFSET(enemy_skills!$A$1,0,0,COUNTA(enemy_skills!$A:$A),MATCH(D$1,enemy_skills!$1:$1,0)-MATCH("enemy_skill_id",enemy_skills!$1:$1,0)+1),MATCH(D$1,enemy_skills!$1:$1,0)-MATCH("enemy_skill_id",enemy_skills!$1:$1,0)+1,FALSE)</f>
        <v>セット・ダメージ・ダブル</v>
      </c>
      <c r="E61" s="42" t="str">
        <f ca="1">VLOOKUP($C61,OFFSET(enemy_skills!$A$1,0,0,COUNTA(enemy_skills!$A:$A),MATCH(E$1,enemy_skills!$1:$1,0)-MATCH("enemy_skill_id",enemy_skills!$1:$1,0)+1),MATCH(E$1,enemy_skills!$1:$1,0)-MATCH("enemy_skill_id",enemy_skills!$1:$1,0)+1,FALSE)</f>
        <v>パネルをランダムに2個ダメージパネルに変換</v>
      </c>
      <c r="F61" s="43">
        <v>40034659</v>
      </c>
      <c r="G61" s="44">
        <f ca="1">VLOOKUP($F61,OFFSET(enemy_skill_triggers!$A$1,0,0,COUNTA(enemy_skill_triggers!$A:$A),MATCH(G$1,enemy_skill_triggers!$1:$1,0)-MATCH($F$1,enemy_skill_triggers!$1:$1,0)+1),MATCH(G$1,enemy_skill_triggers!$1:$1,0)-MATCH($F$1,enemy_skill_triggers!$1:$1,0)+1,FALSE)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1" s="44">
        <f ca="1">VLOOKUP($F61,OFFSET(enemy_skill_triggers!$A$1,0,0,COUNTA(enemy_skill_triggers!$A:$A),MATCH(H$1,enemy_skill_triggers!$1:$1,0)-MATCH($F$1,enemy_skill_triggers!$1:$1,0)+1),MATCH(H$1,enemy_skill_triggers!$1:$1,0)-MATCH($F$1,enemy_skill_triggers!$1:$1,0)+1,FALSE)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61" s="44">
        <f ca="1">VLOOKUP($F61,OFFSET(enemy_skill_triggers!$A$1,0,0,COUNTA(enemy_skill_triggers!$A:$A),MATCH(I$1,enemy_skill_triggers!$1:$1,0)-MATCH($F$1,enemy_skill_triggers!$1:$1,0)+1),MATCH(I$1,enemy_skill_triggers!$1:$1,0)-MATCH($F$1,enemy_skill_triggers!$1:$1,0)+1,FALSE)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61" s="44" t="str">
        <f ca="1">VLOOKUP($F61,OFFSET(enemy_skill_triggers!$A$1,0,0,COUNTA(enemy_skill_triggers!$A:$A),MATCH(J$1,enemy_skill_triggers!$1:$1,0)-MATCH($F$1,enemy_skill_triggers!$1:$1,0)+1),MATCH(J$1,enemy_skill_triggers!$1:$1,0)-MATCH($F$1,enemy_skill_triggers!$1:$1,0)+1,FALSE)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1" s="44" t="str">
        <f ca="1">VLOOKUP($F61,OFFSET(enemy_skill_triggers!$A$1,0,0,COUNTA(enemy_skill_triggers!$A:$A),MATCH(K$1,enemy_skill_triggers!$1:$1,0)-MATCH($F$1,enemy_skill_triggers!$1:$1,0)+1),MATCH(K$1,enemy_skill_triggers!$1:$1,0)-MATCH($F$1,enemy_skill_triggers!$1:$1,0)+1,FALSE)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1" s="44" t="str">
        <f ca="1">VLOOKUP($F61,OFFSET(enemy_skill_triggers!$A$1,0,0,COUNTA(enemy_skill_triggers!$A:$A),MATCH(L$1,enemy_skill_triggers!$1:$1,0)-MATCH($F$1,enemy_skill_triggers!$1:$1,0)+1),MATCH(L$1,enemy_skill_triggers!$1:$1,0)-MATCH($F$1,enemy_skill_triggers!$1:$1,0)+1,FALSE)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1" s="44" t="str">
        <f ca="1">VLOOKUP($F61,OFFSET(enemy_skill_triggers!$A$1,0,0,COUNTA(enemy_skill_triggers!$A:$A),MATCH(M$1,enemy_skill_triggers!$1:$1,0)-MATCH($F$1,enemy_skill_triggers!$1:$1,0)+1),MATCH(M$1,enemy_skill_triggers!$1:$1,0)-MATCH($F$1,enemy_skill_triggers!$1:$1,0)+1,FALSE)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1" s="44" t="str">
        <f ca="1">VLOOKUP($F61,OFFSET(enemy_skill_triggers!$A$1,0,0,COUNTA(enemy_skill_triggers!$A:$A),MATCH(N$1,enemy_skill_triggers!$1:$1,0)-MATCH($F$1,enemy_skill_triggers!$1:$1,0)+1),MATCH(N$1,enemy_skill_triggers!$1:$1,0)-MATCH($F$1,enemy_skill_triggers!$1:$1,0)+1,FALSE)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1" s="44">
        <f ca="1">VLOOKUP($F61,OFFSET(enemy_skill_triggers!$A$1,0,0,COUNTA(enemy_skill_triggers!$A:$A),MATCH(O$1,enemy_skill_triggers!$1:$1,0)-MATCH($F$1,enemy_skill_triggers!$1:$1,0)+1),MATCH(O$1,enemy_skill_triggers!$1:$1,0)-MATCH($F$1,enemy_skill_triggers!$1:$1,0)+1,FALSE)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61" s="43"/>
      <c r="Q61" s="43"/>
      <c r="R61" s="172"/>
    </row>
    <row r="62" spans="1:18" ht="21" customHeight="1" x14ac:dyDescent="0.15">
      <c r="A62" s="39" t="str">
        <f t="shared" si="3"/>
        <v>40034008_40034350</v>
      </c>
      <c r="B62" s="171">
        <v>40034008</v>
      </c>
      <c r="C62" s="43">
        <v>40034350</v>
      </c>
      <c r="D62" s="42" t="str">
        <f ca="1">VLOOKUP($C62,OFFSET(enemy_skills!$A$1,0,0,COUNTA(enemy_skills!$A:$A),MATCH(D$1,enemy_skills!$1:$1,0)-MATCH("enemy_skill_id",enemy_skills!$1:$1,0)+1),MATCH(D$1,enemy_skills!$1:$1,0)-MATCH("enemy_skill_id",enemy_skills!$1:$1,0)+1,FALSE)</f>
        <v>オーバーライト・アタック</v>
      </c>
      <c r="E62" s="42" t="str">
        <f ca="1">VLOOKUP($C62,OFFSET(enemy_skills!$A$1,0,0,COUNTA(enemy_skills!$A:$A),MATCH(E$1,enemy_skills!$1:$1,0)-MATCH("enemy_skill_id",enemy_skills!$1:$1,0)+1),MATCH(E$1,enemy_skills!$1:$1,0)-MATCH("enemy_skill_id",enemy_skills!$1:$1,0)+1,FALSE)</f>
        <v>解除するまで全ユニットの攻撃力50%DOWN_x000D_+全体攻撃</v>
      </c>
      <c r="F62" s="43">
        <v>40034660</v>
      </c>
      <c r="G62" s="44">
        <f ca="1">VLOOKUP($F62,OFFSET(enemy_skill_triggers!$A$1,0,0,COUNTA(enemy_skill_triggers!$A:$A),MATCH(G$1,enemy_skill_triggers!$1:$1,0)-MATCH($F$1,enemy_skill_triggers!$1:$1,0)+1),MATCH(G$1,enemy_skill_triggers!$1:$1,0)-MATCH($F$1,enemy_skill_triggers!$1:$1,0)+1,FALSE)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2" s="44">
        <f ca="1">VLOOKUP($F62,OFFSET(enemy_skill_triggers!$A$1,0,0,COUNTA(enemy_skill_triggers!$A:$A),MATCH(H$1,enemy_skill_triggers!$1:$1,0)-MATCH($F$1,enemy_skill_triggers!$1:$1,0)+1),MATCH(H$1,enemy_skill_triggers!$1:$1,0)-MATCH($F$1,enemy_skill_triggers!$1:$1,0)+1,FALSE)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62" s="44">
        <f ca="1">VLOOKUP($F62,OFFSET(enemy_skill_triggers!$A$1,0,0,COUNTA(enemy_skill_triggers!$A:$A),MATCH(I$1,enemy_skill_triggers!$1:$1,0)-MATCH($F$1,enemy_skill_triggers!$1:$1,0)+1),MATCH(I$1,enemy_skill_triggers!$1:$1,0)-MATCH($F$1,enemy_skill_triggers!$1:$1,0)+1,FALSE)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62" s="44" t="str">
        <f ca="1">VLOOKUP($F62,OFFSET(enemy_skill_triggers!$A$1,0,0,COUNTA(enemy_skill_triggers!$A:$A),MATCH(J$1,enemy_skill_triggers!$1:$1,0)-MATCH($F$1,enemy_skill_triggers!$1:$1,0)+1),MATCH(J$1,enemy_skill_triggers!$1:$1,0)-MATCH($F$1,enemy_skill_triggers!$1:$1,0)+1,FALSE)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2" s="44" t="str">
        <f ca="1">VLOOKUP($F62,OFFSET(enemy_skill_triggers!$A$1,0,0,COUNTA(enemy_skill_triggers!$A:$A),MATCH(K$1,enemy_skill_triggers!$1:$1,0)-MATCH($F$1,enemy_skill_triggers!$1:$1,0)+1),MATCH(K$1,enemy_skill_triggers!$1:$1,0)-MATCH($F$1,enemy_skill_triggers!$1:$1,0)+1,FALSE)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2" s="44" t="str">
        <f ca="1">VLOOKUP($F62,OFFSET(enemy_skill_triggers!$A$1,0,0,COUNTA(enemy_skill_triggers!$A:$A),MATCH(L$1,enemy_skill_triggers!$1:$1,0)-MATCH($F$1,enemy_skill_triggers!$1:$1,0)+1),MATCH(L$1,enemy_skill_triggers!$1:$1,0)-MATCH($F$1,enemy_skill_triggers!$1:$1,0)+1,FALSE)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2" s="44" t="str">
        <f ca="1">VLOOKUP($F62,OFFSET(enemy_skill_triggers!$A$1,0,0,COUNTA(enemy_skill_triggers!$A:$A),MATCH(M$1,enemy_skill_triggers!$1:$1,0)-MATCH($F$1,enemy_skill_triggers!$1:$1,0)+1),MATCH(M$1,enemy_skill_triggers!$1:$1,0)-MATCH($F$1,enemy_skill_triggers!$1:$1,0)+1,FALSE)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2" s="44" t="str">
        <f ca="1">VLOOKUP($F62,OFFSET(enemy_skill_triggers!$A$1,0,0,COUNTA(enemy_skill_triggers!$A:$A),MATCH(N$1,enemy_skill_triggers!$1:$1,0)-MATCH($F$1,enemy_skill_triggers!$1:$1,0)+1),MATCH(N$1,enemy_skill_triggers!$1:$1,0)-MATCH($F$1,enemy_skill_triggers!$1:$1,0)+1,FALSE)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2" s="44">
        <f ca="1">VLOOKUP($F62,OFFSET(enemy_skill_triggers!$A$1,0,0,COUNTA(enemy_skill_triggers!$A:$A),MATCH(O$1,enemy_skill_triggers!$1:$1,0)-MATCH($F$1,enemy_skill_triggers!$1:$1,0)+1),MATCH(O$1,enemy_skill_triggers!$1:$1,0)-MATCH($F$1,enemy_skill_triggers!$1:$1,0)+1,FALSE)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62" s="43"/>
      <c r="Q62" s="43"/>
      <c r="R62" s="172"/>
    </row>
    <row r="63" spans="1:18" ht="21" customHeight="1" x14ac:dyDescent="0.15">
      <c r="A63" s="39" t="str">
        <f t="shared" si="3"/>
        <v>40034008_40034351</v>
      </c>
      <c r="B63" s="171">
        <v>40034008</v>
      </c>
      <c r="C63" s="43">
        <v>40034351</v>
      </c>
      <c r="D63" s="42" t="str">
        <f ca="1">VLOOKUP($C63,OFFSET(enemy_skills!$A$1,0,0,COUNTA(enemy_skills!$A:$A),MATCH(D$1,enemy_skills!$1:$1,0)-MATCH("enemy_skill_id",enemy_skills!$1:$1,0)+1),MATCH(D$1,enemy_skills!$1:$1,0)-MATCH("enemy_skill_id",enemy_skills!$1:$1,0)+1,FALSE)</f>
        <v>オーバーライト・ヒーリング</v>
      </c>
      <c r="E63" s="42" t="str">
        <f ca="1">VLOOKUP($C63,OFFSET(enemy_skills!$A$1,0,0,COUNTA(enemy_skills!$A:$A),MATCH(E$1,enemy_skills!$1:$1,0)-MATCH("enemy_skill_id",enemy_skills!$1:$1,0)+1),MATCH(E$1,enemy_skills!$1:$1,0)-MATCH("enemy_skill_id",enemy_skills!$1:$1,0)+1,FALSE)</f>
        <v>解除するまで全ユニットの回復力50%DOWN_x000D_+4回連続攻撃</v>
      </c>
      <c r="F63" s="43">
        <v>40034661</v>
      </c>
      <c r="G63" s="44">
        <f ca="1">VLOOKUP($F63,OFFSET(enemy_skill_triggers!$A$1,0,0,COUNTA(enemy_skill_triggers!$A:$A),MATCH(G$1,enemy_skill_triggers!$1:$1,0)-MATCH($F$1,enemy_skill_triggers!$1:$1,0)+1),MATCH(G$1,enemy_skill_triggers!$1:$1,0)-MATCH($F$1,enemy_skill_triggers!$1:$1,0)+1,FALSE)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3" s="44">
        <f ca="1">VLOOKUP($F63,OFFSET(enemy_skill_triggers!$A$1,0,0,COUNTA(enemy_skill_triggers!$A:$A),MATCH(H$1,enemy_skill_triggers!$1:$1,0)-MATCH($F$1,enemy_skill_triggers!$1:$1,0)+1),MATCH(H$1,enemy_skill_triggers!$1:$1,0)-MATCH($F$1,enemy_skill_triggers!$1:$1,0)+1,FALSE)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63" s="44">
        <f ca="1">VLOOKUP($F63,OFFSET(enemy_skill_triggers!$A$1,0,0,COUNTA(enemy_skill_triggers!$A:$A),MATCH(I$1,enemy_skill_triggers!$1:$1,0)-MATCH($F$1,enemy_skill_triggers!$1:$1,0)+1),MATCH(I$1,enemy_skill_triggers!$1:$1,0)-MATCH($F$1,enemy_skill_triggers!$1:$1,0)+1,FALSE)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63" s="44" t="str">
        <f ca="1">VLOOKUP($F63,OFFSET(enemy_skill_triggers!$A$1,0,0,COUNTA(enemy_skill_triggers!$A:$A),MATCH(J$1,enemy_skill_triggers!$1:$1,0)-MATCH($F$1,enemy_skill_triggers!$1:$1,0)+1),MATCH(J$1,enemy_skill_triggers!$1:$1,0)-MATCH($F$1,enemy_skill_triggers!$1:$1,0)+1,FALSE)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3" s="44" t="str">
        <f ca="1">VLOOKUP($F63,OFFSET(enemy_skill_triggers!$A$1,0,0,COUNTA(enemy_skill_triggers!$A:$A),MATCH(K$1,enemy_skill_triggers!$1:$1,0)-MATCH($F$1,enemy_skill_triggers!$1:$1,0)+1),MATCH(K$1,enemy_skill_triggers!$1:$1,0)-MATCH($F$1,enemy_skill_triggers!$1:$1,0)+1,FALSE)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3" s="44" t="str">
        <f ca="1">VLOOKUP($F63,OFFSET(enemy_skill_triggers!$A$1,0,0,COUNTA(enemy_skill_triggers!$A:$A),MATCH(L$1,enemy_skill_triggers!$1:$1,0)-MATCH($F$1,enemy_skill_triggers!$1:$1,0)+1),MATCH(L$1,enemy_skill_triggers!$1:$1,0)-MATCH($F$1,enemy_skill_triggers!$1:$1,0)+1,FALSE)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63" s="44" t="str">
        <f ca="1">VLOOKUP($F63,OFFSET(enemy_skill_triggers!$A$1,0,0,COUNTA(enemy_skill_triggers!$A:$A),MATCH(M$1,enemy_skill_triggers!$1:$1,0)-MATCH($F$1,enemy_skill_triggers!$1:$1,0)+1),MATCH(M$1,enemy_skill_triggers!$1:$1,0)-MATCH($F$1,enemy_skill_triggers!$1:$1,0)+1,FALSE)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3" s="44" t="str">
        <f ca="1">VLOOKUP($F63,OFFSET(enemy_skill_triggers!$A$1,0,0,COUNTA(enemy_skill_triggers!$A:$A),MATCH(N$1,enemy_skill_triggers!$1:$1,0)-MATCH($F$1,enemy_skill_triggers!$1:$1,0)+1),MATCH(N$1,enemy_skill_triggers!$1:$1,0)-MATCH($F$1,enemy_skill_triggers!$1:$1,0)+1,FALSE)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3" s="44">
        <f ca="1">VLOOKUP($F63,OFFSET(enemy_skill_triggers!$A$1,0,0,COUNTA(enemy_skill_triggers!$A:$A),MATCH(O$1,enemy_skill_triggers!$1:$1,0)-MATCH($F$1,enemy_skill_triggers!$1:$1,0)+1),MATCH(O$1,enemy_skill_triggers!$1:$1,0)-MATCH($F$1,enemy_skill_triggers!$1:$1,0)+1,FALSE)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63" s="43"/>
      <c r="Q63" s="43"/>
      <c r="R63" s="172"/>
    </row>
    <row r="64" spans="1:18" ht="21" customHeight="1" x14ac:dyDescent="0.15">
      <c r="A64" s="39" t="str">
        <f t="shared" si="3"/>
        <v>40034008_40034352</v>
      </c>
      <c r="B64" s="171">
        <v>40034008</v>
      </c>
      <c r="C64" s="43">
        <v>40034352</v>
      </c>
      <c r="D64" s="42" t="str">
        <f ca="1">VLOOKUP($C64,OFFSET(enemy_skills!$A$1,0,0,COUNTA(enemy_skills!$A:$A),MATCH(D$1,enemy_skills!$1:$1,0)-MATCH("enemy_skill_id",enemy_skills!$1:$1,0)+1),MATCH(D$1,enemy_skills!$1:$1,0)-MATCH("enemy_skill_id",enemy_skills!$1:$1,0)+1,FALSE)</f>
        <v>無償の偏愛</v>
      </c>
      <c r="E64" s="42" t="str">
        <f ca="1">VLOOKUP($C64,OFFSET(enemy_skills!$A$1,0,0,COUNTA(enemy_skills!$A:$A),MATCH(E$1,enemy_skills!$1:$1,0)-MATCH("enemy_skill_id",enemy_skills!$1:$1,0)+1),MATCH(E$1,enemy_skills!$1:$1,0)-MATCH("enemy_skill_id",enemy_skills!$1:$1,0)+1,FALSE)</f>
        <v>最大10個のクラッシュパネルを_x000D_ダメージパネルに変換</v>
      </c>
      <c r="F64" s="43">
        <v>40034662</v>
      </c>
      <c r="G64" s="44">
        <f ca="1">VLOOKUP($F64,OFFSET(enemy_skill_triggers!$A$1,0,0,COUNTA(enemy_skill_triggers!$A:$A),MATCH(G$1,enemy_skill_triggers!$1:$1,0)-MATCH($F$1,enemy_skill_triggers!$1:$1,0)+1),MATCH(G$1,enemy_skill_triggers!$1:$1,0)-MATCH($F$1,enemy_skill_triggers!$1:$1,0)+1,FALSE)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4" s="44">
        <f ca="1">VLOOKUP($F64,OFFSET(enemy_skill_triggers!$A$1,0,0,COUNTA(enemy_skill_triggers!$A:$A),MATCH(H$1,enemy_skill_triggers!$1:$1,0)-MATCH($F$1,enemy_skill_triggers!$1:$1,0)+1),MATCH(H$1,enemy_skill_triggers!$1:$1,0)-MATCH($F$1,enemy_skill_triggers!$1:$1,0)+1,FALSE)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64" s="44">
        <f ca="1">VLOOKUP($F64,OFFSET(enemy_skill_triggers!$A$1,0,0,COUNTA(enemy_skill_triggers!$A:$A),MATCH(I$1,enemy_skill_triggers!$1:$1,0)-MATCH($F$1,enemy_skill_triggers!$1:$1,0)+1),MATCH(I$1,enemy_skill_triggers!$1:$1,0)-MATCH($F$1,enemy_skill_triggers!$1:$1,0)+1,FALSE)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4" s="44">
        <f ca="1">VLOOKUP($F64,OFFSET(enemy_skill_triggers!$A$1,0,0,COUNTA(enemy_skill_triggers!$A:$A),MATCH(J$1,enemy_skill_triggers!$1:$1,0)-MATCH($F$1,enemy_skill_triggers!$1:$1,0)+1),MATCH(J$1,enemy_skill_triggers!$1:$1,0)-MATCH($F$1,enemy_skill_triggers!$1:$1,0)+1,FALSE)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4" s="44" t="str">
        <f ca="1">VLOOKUP($F64,OFFSET(enemy_skill_triggers!$A$1,0,0,COUNTA(enemy_skill_triggers!$A:$A),MATCH(K$1,enemy_skill_triggers!$1:$1,0)-MATCH($F$1,enemy_skill_triggers!$1:$1,0)+1),MATCH(K$1,enemy_skill_triggers!$1:$1,0)-MATCH($F$1,enemy_skill_triggers!$1:$1,0)+1,FALSE)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4" s="44">
        <f ca="1">VLOOKUP($F64,OFFSET(enemy_skill_triggers!$A$1,0,0,COUNTA(enemy_skill_triggers!$A:$A),MATCH(L$1,enemy_skill_triggers!$1:$1,0)-MATCH($F$1,enemy_skill_triggers!$1:$1,0)+1),MATCH(L$1,enemy_skill_triggers!$1:$1,0)-MATCH($F$1,enemy_skill_triggers!$1:$1,0)+1,FALSE)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4" s="44" t="str">
        <f ca="1">VLOOKUP($F64,OFFSET(enemy_skill_triggers!$A$1,0,0,COUNTA(enemy_skill_triggers!$A:$A),MATCH(M$1,enemy_skill_triggers!$1:$1,0)-MATCH($F$1,enemy_skill_triggers!$1:$1,0)+1),MATCH(M$1,enemy_skill_triggers!$1:$1,0)-MATCH($F$1,enemy_skill_triggers!$1:$1,0)+1,FALSE)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4" s="44" t="str">
        <f ca="1">VLOOKUP($F64,OFFSET(enemy_skill_triggers!$A$1,0,0,COUNTA(enemy_skill_triggers!$A:$A),MATCH(N$1,enemy_skill_triggers!$1:$1,0)-MATCH($F$1,enemy_skill_triggers!$1:$1,0)+1),MATCH(N$1,enemy_skill_triggers!$1:$1,0)-MATCH($F$1,enemy_skill_triggers!$1:$1,0)+1,FALSE)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4" s="44">
        <f ca="1">VLOOKUP($F64,OFFSET(enemy_skill_triggers!$A$1,0,0,COUNTA(enemy_skill_triggers!$A:$A),MATCH(O$1,enemy_skill_triggers!$1:$1,0)-MATCH($F$1,enemy_skill_triggers!$1:$1,0)+1),MATCH(O$1,enemy_skill_triggers!$1:$1,0)-MATCH($F$1,enemy_skill_triggers!$1:$1,0)+1,FALSE)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4" s="43"/>
      <c r="Q64" s="43"/>
      <c r="R64" s="172"/>
    </row>
    <row r="65" spans="1:18" ht="21" customHeight="1" x14ac:dyDescent="0.15">
      <c r="A65" s="39" t="str">
        <f t="shared" si="3"/>
        <v>40034008_40034353</v>
      </c>
      <c r="B65" s="171">
        <v>40034008</v>
      </c>
      <c r="C65" s="43">
        <v>40034353</v>
      </c>
      <c r="D65" s="42" t="str">
        <f ca="1">VLOOKUP($C65,OFFSET(enemy_skills!$A$1,0,0,COUNTA(enemy_skills!$A:$A),MATCH(D$1,enemy_skills!$1:$1,0)-MATCH("enemy_skill_id",enemy_skills!$1:$1,0)+1),MATCH(D$1,enemy_skills!$1:$1,0)-MATCH("enemy_skill_id",enemy_skills!$1:$1,0)+1,FALSE)</f>
        <v>ああ…他のひとに…_x000D_とられ…ちゃう……</v>
      </c>
      <c r="E65" s="42" t="str">
        <f ca="1">VLOOKUP($C65,OFFSET(enemy_skills!$A$1,0,0,COUNTA(enemy_skills!$A:$A),MATCH(E$1,enemy_skills!$1:$1,0)-MATCH("enemy_skill_id",enemy_skills!$1:$1,0)+1),MATCH(E$1,enemy_skills!$1:$1,0)-MATCH("enemy_skill_id",enemy_skills!$1:$1,0)+1,FALSE)</f>
        <v>私だけの…シヴァ…様…</v>
      </c>
      <c r="F65" s="43">
        <v>40034663</v>
      </c>
      <c r="G65" s="44">
        <f ca="1">VLOOKUP($F65,OFFSET(enemy_skill_triggers!$A$1,0,0,COUNTA(enemy_skill_triggers!$A:$A),MATCH(G$1,enemy_skill_triggers!$1:$1,0)-MATCH($F$1,enemy_skill_triggers!$1:$1,0)+1),MATCH(G$1,enemy_skill_triggers!$1:$1,0)-MATCH($F$1,enemy_skill_triggers!$1:$1,0)+1,FALSE)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5" s="44">
        <f ca="1">VLOOKUP($F65,OFFSET(enemy_skill_triggers!$A$1,0,0,COUNTA(enemy_skill_triggers!$A:$A),MATCH(H$1,enemy_skill_triggers!$1:$1,0)-MATCH($F$1,enemy_skill_triggers!$1:$1,0)+1),MATCH(H$1,enemy_skill_triggers!$1:$1,0)-MATCH($F$1,enemy_skill_triggers!$1:$1,0)+1,FALSE)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5" s="44">
        <f ca="1">VLOOKUP($F65,OFFSET(enemy_skill_triggers!$A$1,0,0,COUNTA(enemy_skill_triggers!$A:$A),MATCH(I$1,enemy_skill_triggers!$1:$1,0)-MATCH($F$1,enemy_skill_triggers!$1:$1,0)+1),MATCH(I$1,enemy_skill_triggers!$1:$1,0)-MATCH($F$1,enemy_skill_triggers!$1:$1,0)+1,FALSE)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5" s="44" t="str">
        <f ca="1">VLOOKUP($F65,OFFSET(enemy_skill_triggers!$A$1,0,0,COUNTA(enemy_skill_triggers!$A:$A),MATCH(J$1,enemy_skill_triggers!$1:$1,0)-MATCH($F$1,enemy_skill_triggers!$1:$1,0)+1),MATCH(J$1,enemy_skill_triggers!$1:$1,0)-MATCH($F$1,enemy_skill_triggers!$1:$1,0)+1,FALSE)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5" s="44" t="str">
        <f ca="1">VLOOKUP($F65,OFFSET(enemy_skill_triggers!$A$1,0,0,COUNTA(enemy_skill_triggers!$A:$A),MATCH(K$1,enemy_skill_triggers!$1:$1,0)-MATCH($F$1,enemy_skill_triggers!$1:$1,0)+1),MATCH(K$1,enemy_skill_triggers!$1:$1,0)-MATCH($F$1,enemy_skill_triggers!$1:$1,0)+1,FALSE)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5" s="44">
        <f ca="1">VLOOKUP($F65,OFFSET(enemy_skill_triggers!$A$1,0,0,COUNTA(enemy_skill_triggers!$A:$A),MATCH(L$1,enemy_skill_triggers!$1:$1,0)-MATCH($F$1,enemy_skill_triggers!$1:$1,0)+1),MATCH(L$1,enemy_skill_triggers!$1:$1,0)-MATCH($F$1,enemy_skill_triggers!$1:$1,0)+1,FALSE)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65" s="44" t="str">
        <f ca="1">VLOOKUP($F65,OFFSET(enemy_skill_triggers!$A$1,0,0,COUNTA(enemy_skill_triggers!$A:$A),MATCH(M$1,enemy_skill_triggers!$1:$1,0)-MATCH($F$1,enemy_skill_triggers!$1:$1,0)+1),MATCH(M$1,enemy_skill_triggers!$1:$1,0)-MATCH($F$1,enemy_skill_triggers!$1:$1,0)+1,FALSE)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5" s="44">
        <f ca="1">VLOOKUP($F65,OFFSET(enemy_skill_triggers!$A$1,0,0,COUNTA(enemy_skill_triggers!$A:$A),MATCH(N$1,enemy_skill_triggers!$1:$1,0)-MATCH($F$1,enemy_skill_triggers!$1:$1,0)+1),MATCH(N$1,enemy_skill_triggers!$1:$1,0)-MATCH($F$1,enemy_skill_triggers!$1:$1,0)+1,FALSE)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65" s="44">
        <f ca="1">VLOOKUP($F65,OFFSET(enemy_skill_triggers!$A$1,0,0,COUNTA(enemy_skill_triggers!$A:$A),MATCH(O$1,enemy_skill_triggers!$1:$1,0)-MATCH($F$1,enemy_skill_triggers!$1:$1,0)+1),MATCH(O$1,enemy_skill_triggers!$1:$1,0)-MATCH($F$1,enemy_skill_triggers!$1:$1,0)+1,FALSE)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5" s="43"/>
      <c r="Q65" s="43"/>
      <c r="R65" s="172"/>
    </row>
    <row r="66" spans="1:18" ht="21" customHeight="1" thickBot="1" x14ac:dyDescent="0.2">
      <c r="A66" s="39" t="str">
        <f t="shared" ref="A66" si="4">B66&amp;"_"&amp;C66</f>
        <v>40034008_40034354</v>
      </c>
      <c r="B66" s="168">
        <v>40034008</v>
      </c>
      <c r="C66" s="132">
        <v>40034354</v>
      </c>
      <c r="D66" s="169" t="str">
        <f ca="1">VLOOKUP($C66,OFFSET(enemy_skills!$A$1,0,0,COUNTA(enemy_skills!$A:$A),MATCH(D$1,enemy_skills!$1:$1,0)-MATCH("enemy_skill_id",enemy_skills!$1:$1,0)+1),MATCH(D$1,enemy_skills!$1:$1,0)-MATCH("enemy_skill_id",enemy_skills!$1:$1,0)+1,FALSE)</f>
        <v>場所は…あそこにしましょう</v>
      </c>
      <c r="E66" s="169" t="str">
        <f ca="1">VLOOKUP($C66,OFFSET(enemy_skills!$A$1,0,0,COUNTA(enemy_skills!$A:$A),MATCH(E$1,enemy_skills!$1:$1,0)-MATCH("enemy_skill_id",enemy_skills!$1:$1,0)+1),MATCH(E$1,enemy_skills!$1:$1,0)-MATCH("enemy_skill_id",enemy_skills!$1:$1,0)+1,FALSE)</f>
        <v>次のターンにCパネルを_x000D_ダメージパネルに変換（最大10個）</v>
      </c>
      <c r="F66" s="132">
        <v>40034664</v>
      </c>
      <c r="G66" s="136">
        <f ca="1">VLOOKUP($F66,OFFSET(enemy_skill_triggers!$A$1,0,0,COUNTA(enemy_skill_triggers!$A:$A),MATCH(G$1,enemy_skill_triggers!$1:$1,0)-MATCH($F$1,enemy_skill_triggers!$1:$1,0)+1),MATCH(G$1,enemy_skill_triggers!$1:$1,0)-MATCH($F$1,enemy_skill_triggers!$1:$1,0)+1,FALSE)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66" s="136">
        <f ca="1">VLOOKUP($F66,OFFSET(enemy_skill_triggers!$A$1,0,0,COUNTA(enemy_skill_triggers!$A:$A),MATCH(H$1,enemy_skill_triggers!$1:$1,0)-MATCH($F$1,enemy_skill_triggers!$1:$1,0)+1),MATCH(H$1,enemy_skill_triggers!$1:$1,0)-MATCH($F$1,enemy_skill_triggers!$1:$1,0)+1,FALSE)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6" s="136">
        <f ca="1">VLOOKUP($F66,OFFSET(enemy_skill_triggers!$A$1,0,0,COUNTA(enemy_skill_triggers!$A:$A),MATCH(I$1,enemy_skill_triggers!$1:$1,0)-MATCH($F$1,enemy_skill_triggers!$1:$1,0)+1),MATCH(I$1,enemy_skill_triggers!$1:$1,0)-MATCH($F$1,enemy_skill_triggers!$1:$1,0)+1,FALSE)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6" s="136">
        <f ca="1">VLOOKUP($F66,OFFSET(enemy_skill_triggers!$A$1,0,0,COUNTA(enemy_skill_triggers!$A:$A),MATCH(J$1,enemy_skill_triggers!$1:$1,0)-MATCH($F$1,enemy_skill_triggers!$1:$1,0)+1),MATCH(J$1,enemy_skill_triggers!$1:$1,0)-MATCH($F$1,enemy_skill_triggers!$1:$1,0)+1,FALSE)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66" s="136" t="str">
        <f ca="1">VLOOKUP($F66,OFFSET(enemy_skill_triggers!$A$1,0,0,COUNTA(enemy_skill_triggers!$A:$A),MATCH(K$1,enemy_skill_triggers!$1:$1,0)-MATCH($F$1,enemy_skill_triggers!$1:$1,0)+1),MATCH(K$1,enemy_skill_triggers!$1:$1,0)-MATCH($F$1,enemy_skill_triggers!$1:$1,0)+1,FALSE)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6" s="136">
        <f ca="1">VLOOKUP($F66,OFFSET(enemy_skill_triggers!$A$1,0,0,COUNTA(enemy_skill_triggers!$A:$A),MATCH(L$1,enemy_skill_triggers!$1:$1,0)-MATCH($F$1,enemy_skill_triggers!$1:$1,0)+1),MATCH(L$1,enemy_skill_triggers!$1:$1,0)-MATCH($F$1,enemy_skill_triggers!$1:$1,0)+1,FALSE)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6" s="136" t="str">
        <f ca="1">VLOOKUP($F66,OFFSET(enemy_skill_triggers!$A$1,0,0,COUNTA(enemy_skill_triggers!$A:$A),MATCH(M$1,enemy_skill_triggers!$1:$1,0)-MATCH($F$1,enemy_skill_triggers!$1:$1,0)+1),MATCH(M$1,enemy_skill_triggers!$1:$1,0)-MATCH($F$1,enemy_skill_triggers!$1:$1,0)+1,FALSE)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6" s="136" t="str">
        <f ca="1">VLOOKUP($F66,OFFSET(enemy_skill_triggers!$A$1,0,0,COUNTA(enemy_skill_triggers!$A:$A),MATCH(N$1,enemy_skill_triggers!$1:$1,0)-MATCH($F$1,enemy_skill_triggers!$1:$1,0)+1),MATCH(N$1,enemy_skill_triggers!$1:$1,0)-MATCH($F$1,enemy_skill_triggers!$1:$1,0)+1,FALSE)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6" s="136">
        <f ca="1">VLOOKUP($F66,OFFSET(enemy_skill_triggers!$A$1,0,0,COUNTA(enemy_skill_triggers!$A:$A),MATCH(O$1,enemy_skill_triggers!$1:$1,0)-MATCH($F$1,enemy_skill_triggers!$1:$1,0)+1),MATCH(O$1,enemy_skill_triggers!$1:$1,0)-MATCH($F$1,enemy_skill_triggers!$1:$1,0)+1,FALSE)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6" s="132"/>
      <c r="Q66" s="132"/>
      <c r="R66" s="170"/>
    </row>
    <row r="67" spans="1:18" ht="21" customHeight="1" thickBot="1" x14ac:dyDescent="0.2">
      <c r="A67" s="39" t="str">
        <f t="shared" ref="A67:A107" si="5">B67&amp;"_"&amp;C67</f>
        <v>40034004_40034355</v>
      </c>
      <c r="B67" s="123">
        <v>40034004</v>
      </c>
      <c r="C67" s="132">
        <v>40034355</v>
      </c>
      <c r="D67" s="169" t="str">
        <f ca="1">VLOOKUP($C67,OFFSET(enemy_skills!$A$1,0,0,COUNTA(enemy_skills!$A:$A),MATCH(D$1,enemy_skills!$1:$1,0)-MATCH("enemy_skill_id",enemy_skills!$1:$1,0)+1),MATCH(D$1,enemy_skills!$1:$1,0)-MATCH("enemy_skill_id",enemy_skills!$1:$1,0)+1,FALSE)</f>
        <v>（カーリーの声が聴こえる）</v>
      </c>
      <c r="E67" s="169" t="str">
        <f ca="1">VLOOKUP($C67,OFFSET(enemy_skills!$A$1,0,0,COUNTA(enemy_skills!$A:$A),MATCH(E$1,enemy_skills!$1:$1,0)-MATCH("enemy_skill_id",enemy_skills!$1:$1,0)+1),MATCH(E$1,enemy_skills!$1:$1,0)-MATCH("enemy_skill_id",enemy_skills!$1:$1,0)+1,FALSE)</f>
        <v>これは人形…外見は設定で変えられる…_x000D_…突破できたら…私も本気で相手になる…</v>
      </c>
      <c r="F67" s="124">
        <v>40034600</v>
      </c>
      <c r="G67" s="136">
        <f ca="1">VLOOKUP($F67,OFFSET(enemy_skill_triggers!$A$1,0,0,COUNTA(enemy_skill_triggers!$A:$A),MATCH(G$1,enemy_skill_triggers!$1:$1,0)-MATCH($F$1,enemy_skill_triggers!$1:$1,0)+1),MATCH(G$1,enemy_skill_triggers!$1:$1,0)-MATCH($F$1,enemy_skill_triggers!$1:$1,0)+1,FALSE)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7" s="136">
        <f ca="1">VLOOKUP($F67,OFFSET(enemy_skill_triggers!$A$1,0,0,COUNTA(enemy_skill_triggers!$A:$A),MATCH(H$1,enemy_skill_triggers!$1:$1,0)-MATCH($F$1,enemy_skill_triggers!$1:$1,0)+1),MATCH(H$1,enemy_skill_triggers!$1:$1,0)-MATCH($F$1,enemy_skill_triggers!$1:$1,0)+1,FALSE)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7" s="136">
        <f ca="1">VLOOKUP($F67,OFFSET(enemy_skill_triggers!$A$1,0,0,COUNTA(enemy_skill_triggers!$A:$A),MATCH(I$1,enemy_skill_triggers!$1:$1,0)-MATCH($F$1,enemy_skill_triggers!$1:$1,0)+1),MATCH(I$1,enemy_skill_triggers!$1:$1,0)-MATCH($F$1,enemy_skill_triggers!$1:$1,0)+1,FALSE)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7" s="136" t="str">
        <f ca="1">VLOOKUP($F67,OFFSET(enemy_skill_triggers!$A$1,0,0,COUNTA(enemy_skill_triggers!$A:$A),MATCH(J$1,enemy_skill_triggers!$1:$1,0)-MATCH($F$1,enemy_skill_triggers!$1:$1,0)+1),MATCH(J$1,enemy_skill_triggers!$1:$1,0)-MATCH($F$1,enemy_skill_triggers!$1:$1,0)+1,FALSE)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7" s="136" t="str">
        <f ca="1">VLOOKUP($F67,OFFSET(enemy_skill_triggers!$A$1,0,0,COUNTA(enemy_skill_triggers!$A:$A),MATCH(K$1,enemy_skill_triggers!$1:$1,0)-MATCH($F$1,enemy_skill_triggers!$1:$1,0)+1),MATCH(K$1,enemy_skill_triggers!$1:$1,0)-MATCH($F$1,enemy_skill_triggers!$1:$1,0)+1,FALSE)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7" s="136">
        <f ca="1">VLOOKUP($F67,OFFSET(enemy_skill_triggers!$A$1,0,0,COUNTA(enemy_skill_triggers!$A:$A),MATCH(L$1,enemy_skill_triggers!$1:$1,0)-MATCH($F$1,enemy_skill_triggers!$1:$1,0)+1),MATCH(L$1,enemy_skill_triggers!$1:$1,0)-MATCH($F$1,enemy_skill_triggers!$1:$1,0)+1,FALSE)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7" s="136" t="str">
        <f ca="1">VLOOKUP($F67,OFFSET(enemy_skill_triggers!$A$1,0,0,COUNTA(enemy_skill_triggers!$A:$A),MATCH(M$1,enemy_skill_triggers!$1:$1,0)-MATCH($F$1,enemy_skill_triggers!$1:$1,0)+1),MATCH(M$1,enemy_skill_triggers!$1:$1,0)-MATCH($F$1,enemy_skill_triggers!$1:$1,0)+1,FALSE)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7" s="136" t="str">
        <f ca="1">VLOOKUP($F67,OFFSET(enemy_skill_triggers!$A$1,0,0,COUNTA(enemy_skill_triggers!$A:$A),MATCH(N$1,enemy_skill_triggers!$1:$1,0)-MATCH($F$1,enemy_skill_triggers!$1:$1,0)+1),MATCH(N$1,enemy_skill_triggers!$1:$1,0)-MATCH($F$1,enemy_skill_triggers!$1:$1,0)+1,FALSE)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67" s="136">
        <f ca="1">VLOOKUP($F67,OFFSET(enemy_skill_triggers!$A$1,0,0,COUNTA(enemy_skill_triggers!$A:$A),MATCH(O$1,enemy_skill_triggers!$1:$1,0)-MATCH($F$1,enemy_skill_triggers!$1:$1,0)+1),MATCH(O$1,enemy_skill_triggers!$1:$1,0)-MATCH($F$1,enemy_skill_triggers!$1:$1,0)+1,FALSE)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7" s="132"/>
      <c r="Q67" s="132"/>
      <c r="R67" s="170"/>
    </row>
    <row r="68" spans="1:18" ht="21" customHeight="1" thickBot="1" x14ac:dyDescent="0.2">
      <c r="A68" s="39" t="str">
        <f t="shared" si="5"/>
        <v>40034009_40034335</v>
      </c>
      <c r="B68" s="123">
        <v>40034009</v>
      </c>
      <c r="C68" s="124">
        <v>40034335</v>
      </c>
      <c r="D68" s="166" t="str">
        <f ca="1">VLOOKUP($C68,OFFSET(enemy_skills!$A$1,0,0,COUNTA(enemy_skills!$A:$A),MATCH(D$1,enemy_skills!$1:$1,0)-MATCH("enemy_skill_id",enemy_skills!$1:$1,0)+1),MATCH(D$1,enemy_skills!$1:$1,0)-MATCH("enemy_skill_id",enemy_skills!$1:$1,0)+1,FALSE)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68" s="166" t="str">
        <f ca="1">VLOOKUP($C68,OFFSET(enemy_skills!$A$1,0,0,COUNTA(enemy_skills!$A:$A),MATCH(E$1,enemy_skills!$1:$1,0)-MATCH("enemy_skill_id",enemy_skills!$1:$1,0)+1),MATCH(E$1,enemy_skills!$1:$1,0)-MATCH("enemy_skill_id",enemy_skills!$1:$1,0)+1,FALSE)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68" s="124">
        <v>40034641</v>
      </c>
      <c r="G68" s="128">
        <f ca="1">VLOOKUP($F68,OFFSET(enemy_skill_triggers!$A$1,0,0,COUNTA(enemy_skill_triggers!$A:$A),MATCH(G$1,enemy_skill_triggers!$1:$1,0)-MATCH($F$1,enemy_skill_triggers!$1:$1,0)+1),MATCH(G$1,enemy_skill_triggers!$1:$1,0)-MATCH($F$1,enemy_skill_triggers!$1:$1,0)+1,FALSE)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8" s="128">
        <f ca="1">VLOOKUP($F68,OFFSET(enemy_skill_triggers!$A$1,0,0,COUNTA(enemy_skill_triggers!$A:$A),MATCH(H$1,enemy_skill_triggers!$1:$1,0)-MATCH($F$1,enemy_skill_triggers!$1:$1,0)+1),MATCH(H$1,enemy_skill_triggers!$1:$1,0)-MATCH($F$1,enemy_skill_triggers!$1:$1,0)+1,FALSE)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68" s="128">
        <f ca="1">VLOOKUP($F68,OFFSET(enemy_skill_triggers!$A$1,0,0,COUNTA(enemy_skill_triggers!$A:$A),MATCH(I$1,enemy_skill_triggers!$1:$1,0)-MATCH($F$1,enemy_skill_triggers!$1:$1,0)+1),MATCH(I$1,enemy_skill_triggers!$1:$1,0)-MATCH($F$1,enemy_skill_triggers!$1:$1,0)+1,FALSE)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8" s="128" t="str">
        <f ca="1">VLOOKUP($F68,OFFSET(enemy_skill_triggers!$A$1,0,0,COUNTA(enemy_skill_triggers!$A:$A),MATCH(J$1,enemy_skill_triggers!$1:$1,0)-MATCH($F$1,enemy_skill_triggers!$1:$1,0)+1),MATCH(J$1,enemy_skill_triggers!$1:$1,0)-MATCH($F$1,enemy_skill_triggers!$1:$1,0)+1,FALSE)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8" s="128" t="str">
        <f ca="1">VLOOKUP($F68,OFFSET(enemy_skill_triggers!$A$1,0,0,COUNTA(enemy_skill_triggers!$A:$A),MATCH(K$1,enemy_skill_triggers!$1:$1,0)-MATCH($F$1,enemy_skill_triggers!$1:$1,0)+1),MATCH(K$1,enemy_skill_triggers!$1:$1,0)-MATCH($F$1,enemy_skill_triggers!$1:$1,0)+1,FALSE)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8" s="128">
        <f ca="1">VLOOKUP($F68,OFFSET(enemy_skill_triggers!$A$1,0,0,COUNTA(enemy_skill_triggers!$A:$A),MATCH(L$1,enemy_skill_triggers!$1:$1,0)-MATCH($F$1,enemy_skill_triggers!$1:$1,0)+1),MATCH(L$1,enemy_skill_triggers!$1:$1,0)-MATCH($F$1,enemy_skill_triggers!$1:$1,0)+1,FALSE)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8" s="128" t="str">
        <f ca="1">VLOOKUP($F68,OFFSET(enemy_skill_triggers!$A$1,0,0,COUNTA(enemy_skill_triggers!$A:$A),MATCH(M$1,enemy_skill_triggers!$1:$1,0)-MATCH($F$1,enemy_skill_triggers!$1:$1,0)+1),MATCH(M$1,enemy_skill_triggers!$1:$1,0)-MATCH($F$1,enemy_skill_triggers!$1:$1,0)+1,FALSE)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8" s="128">
        <f ca="1">VLOOKUP($F68,OFFSET(enemy_skill_triggers!$A$1,0,0,COUNTA(enemy_skill_triggers!$A:$A),MATCH(N$1,enemy_skill_triggers!$1:$1,0)-MATCH($F$1,enemy_skill_triggers!$1:$1,0)+1),MATCH(N$1,enemy_skill_triggers!$1:$1,0)-MATCH($F$1,enemy_skill_triggers!$1:$1,0)+1,FALSE)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68" s="128">
        <f ca="1">VLOOKUP($F68,OFFSET(enemy_skill_triggers!$A$1,0,0,COUNTA(enemy_skill_triggers!$A:$A),MATCH(O$1,enemy_skill_triggers!$1:$1,0)-MATCH($F$1,enemy_skill_triggers!$1:$1,0)+1),MATCH(O$1,enemy_skill_triggers!$1:$1,0)-MATCH($F$1,enemy_skill_triggers!$1:$1,0)+1,FALSE)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8" s="124"/>
      <c r="Q68" s="124"/>
      <c r="R68" s="167"/>
    </row>
    <row r="69" spans="1:18" ht="21" customHeight="1" thickBot="1" x14ac:dyDescent="0.2">
      <c r="A69" s="39" t="str">
        <f t="shared" si="5"/>
        <v>40034009_40034335</v>
      </c>
      <c r="B69" s="123">
        <v>40034009</v>
      </c>
      <c r="C69" s="43">
        <v>40034335</v>
      </c>
      <c r="D69" s="42" t="str">
        <f ca="1">VLOOKUP($C69,OFFSET(enemy_skills!$A$1,0,0,COUNTA(enemy_skills!$A:$A),MATCH(D$1,enemy_skills!$1:$1,0)-MATCH("enemy_skill_id",enemy_skills!$1:$1,0)+1),MATCH(D$1,enemy_skills!$1:$1,0)-MATCH("enemy_skill_id",enemy_skills!$1:$1,0)+1,FALSE)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69" s="42" t="str">
        <f ca="1">VLOOKUP($C69,OFFSET(enemy_skills!$A$1,0,0,COUNTA(enemy_skills!$A:$A),MATCH(E$1,enemy_skills!$1:$1,0)-MATCH("enemy_skill_id",enemy_skills!$1:$1,0)+1),MATCH(E$1,enemy_skills!$1:$1,0)-MATCH("enemy_skill_id",enemy_skills!$1:$1,0)+1,FALSE)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69" s="43">
        <v>40034642</v>
      </c>
      <c r="G69" s="44">
        <f ca="1">VLOOKUP($F69,OFFSET(enemy_skill_triggers!$A$1,0,0,COUNTA(enemy_skill_triggers!$A:$A),MATCH(G$1,enemy_skill_triggers!$1:$1,0)-MATCH($F$1,enemy_skill_triggers!$1:$1,0)+1),MATCH(G$1,enemy_skill_triggers!$1:$1,0)-MATCH($F$1,enemy_skill_triggers!$1:$1,0)+1,FALSE)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69" s="44">
        <f ca="1">VLOOKUP($F69,OFFSET(enemy_skill_triggers!$A$1,0,0,COUNTA(enemy_skill_triggers!$A:$A),MATCH(H$1,enemy_skill_triggers!$1:$1,0)-MATCH($F$1,enemy_skill_triggers!$1:$1,0)+1),MATCH(H$1,enemy_skill_triggers!$1:$1,0)-MATCH($F$1,enemy_skill_triggers!$1:$1,0)+1,FALSE)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69" s="44">
        <f ca="1">VLOOKUP($F69,OFFSET(enemy_skill_triggers!$A$1,0,0,COUNTA(enemy_skill_triggers!$A:$A),MATCH(I$1,enemy_skill_triggers!$1:$1,0)-MATCH($F$1,enemy_skill_triggers!$1:$1,0)+1),MATCH(I$1,enemy_skill_triggers!$1:$1,0)-MATCH($F$1,enemy_skill_triggers!$1:$1,0)+1,FALSE)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69" s="44" t="str">
        <f ca="1">VLOOKUP($F69,OFFSET(enemy_skill_triggers!$A$1,0,0,COUNTA(enemy_skill_triggers!$A:$A),MATCH(J$1,enemy_skill_triggers!$1:$1,0)-MATCH($F$1,enemy_skill_triggers!$1:$1,0)+1),MATCH(J$1,enemy_skill_triggers!$1:$1,0)-MATCH($F$1,enemy_skill_triggers!$1:$1,0)+1,FALSE)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69" s="44" t="str">
        <f ca="1">VLOOKUP($F69,OFFSET(enemy_skill_triggers!$A$1,0,0,COUNTA(enemy_skill_triggers!$A:$A),MATCH(K$1,enemy_skill_triggers!$1:$1,0)-MATCH($F$1,enemy_skill_triggers!$1:$1,0)+1),MATCH(K$1,enemy_skill_triggers!$1:$1,0)-MATCH($F$1,enemy_skill_triggers!$1:$1,0)+1,FALSE)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69" s="44">
        <f ca="1">VLOOKUP($F69,OFFSET(enemy_skill_triggers!$A$1,0,0,COUNTA(enemy_skill_triggers!$A:$A),MATCH(L$1,enemy_skill_triggers!$1:$1,0)-MATCH($F$1,enemy_skill_triggers!$1:$1,0)+1),MATCH(L$1,enemy_skill_triggers!$1:$1,0)-MATCH($F$1,enemy_skill_triggers!$1:$1,0)+1,FALSE)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69" s="44" t="str">
        <f ca="1">VLOOKUP($F69,OFFSET(enemy_skill_triggers!$A$1,0,0,COUNTA(enemy_skill_triggers!$A:$A),MATCH(M$1,enemy_skill_triggers!$1:$1,0)-MATCH($F$1,enemy_skill_triggers!$1:$1,0)+1),MATCH(M$1,enemy_skill_triggers!$1:$1,0)-MATCH($F$1,enemy_skill_triggers!$1:$1,0)+1,FALSE)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69" s="44">
        <f ca="1">VLOOKUP($F69,OFFSET(enemy_skill_triggers!$A$1,0,0,COUNTA(enemy_skill_triggers!$A:$A),MATCH(N$1,enemy_skill_triggers!$1:$1,0)-MATCH($F$1,enemy_skill_triggers!$1:$1,0)+1),MATCH(N$1,enemy_skill_triggers!$1:$1,0)-MATCH($F$1,enemy_skill_triggers!$1:$1,0)+1,FALSE)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69" s="44">
        <f ca="1">VLOOKUP($F69,OFFSET(enemy_skill_triggers!$A$1,0,0,COUNTA(enemy_skill_triggers!$A:$A),MATCH(O$1,enemy_skill_triggers!$1:$1,0)-MATCH($F$1,enemy_skill_triggers!$1:$1,0)+1),MATCH(O$1,enemy_skill_triggers!$1:$1,0)-MATCH($F$1,enemy_skill_triggers!$1:$1,0)+1,FALSE)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69" s="43"/>
      <c r="Q69" s="43"/>
      <c r="R69" s="172"/>
    </row>
    <row r="70" spans="1:18" ht="21" customHeight="1" thickBot="1" x14ac:dyDescent="0.2">
      <c r="A70" s="39" t="str">
        <f t="shared" si="5"/>
        <v>40034009_40034335</v>
      </c>
      <c r="B70" s="123">
        <v>40034009</v>
      </c>
      <c r="C70" s="43">
        <v>40034335</v>
      </c>
      <c r="D70" s="42" t="str">
        <f ca="1">VLOOKUP($C70,OFFSET(enemy_skills!$A$1,0,0,COUNTA(enemy_skills!$A:$A),MATCH(D$1,enemy_skills!$1:$1,0)-MATCH("enemy_skill_id",enemy_skills!$1:$1,0)+1),MATCH(D$1,enemy_skills!$1:$1,0)-MATCH("enemy_skill_id",enemy_skills!$1:$1,0)+1,FALSE)</f>
        <v>……シヴァ様と…技…を…_x000D_…かけあえる…幸せ…</v>
      </c>
      <c r="E70" s="42" t="str">
        <f ca="1">VLOOKUP($C70,OFFSET(enemy_skills!$A$1,0,0,COUNTA(enemy_skills!$A:$A),MATCH(E$1,enemy_skills!$1:$1,0)-MATCH("enemy_skill_id",enemy_skills!$1:$1,0)+1),MATCH(E$1,enemy_skills!$1:$1,0)-MATCH("enemy_skill_id",enemy_skills!$1:$1,0)+1,FALSE)</f>
        <v>…私の…技…どう…かな？_x000D_状態異常無効+種族Unknownに大ダメージ</v>
      </c>
      <c r="F70" s="43">
        <v>40034643</v>
      </c>
      <c r="G70" s="44">
        <f ca="1">VLOOKUP($F70,OFFSET(enemy_skill_triggers!$A$1,0,0,COUNTA(enemy_skill_triggers!$A:$A),MATCH(G$1,enemy_skill_triggers!$1:$1,0)-MATCH($F$1,enemy_skill_triggers!$1:$1,0)+1),MATCH(G$1,enemy_skill_triggers!$1:$1,0)-MATCH($F$1,enemy_skill_triggers!$1:$1,0)+1,FALSE)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0" s="44">
        <f ca="1">VLOOKUP($F70,OFFSET(enemy_skill_triggers!$A$1,0,0,COUNTA(enemy_skill_triggers!$A:$A),MATCH(H$1,enemy_skill_triggers!$1:$1,0)-MATCH($F$1,enemy_skill_triggers!$1:$1,0)+1),MATCH(H$1,enemy_skill_triggers!$1:$1,0)-MATCH($F$1,enemy_skill_triggers!$1:$1,0)+1,FALSE)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70" s="44">
        <f ca="1">VLOOKUP($F70,OFFSET(enemy_skill_triggers!$A$1,0,0,COUNTA(enemy_skill_triggers!$A:$A),MATCH(I$1,enemy_skill_triggers!$1:$1,0)-MATCH($F$1,enemy_skill_triggers!$1:$1,0)+1),MATCH(I$1,enemy_skill_triggers!$1:$1,0)-MATCH($F$1,enemy_skill_triggers!$1:$1,0)+1,FALSE)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0" s="44" t="str">
        <f ca="1">VLOOKUP($F70,OFFSET(enemy_skill_triggers!$A$1,0,0,COUNTA(enemy_skill_triggers!$A:$A),MATCH(J$1,enemy_skill_triggers!$1:$1,0)-MATCH($F$1,enemy_skill_triggers!$1:$1,0)+1),MATCH(J$1,enemy_skill_triggers!$1:$1,0)-MATCH($F$1,enemy_skill_triggers!$1:$1,0)+1,FALSE)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0" s="44" t="str">
        <f ca="1">VLOOKUP($F70,OFFSET(enemy_skill_triggers!$A$1,0,0,COUNTA(enemy_skill_triggers!$A:$A),MATCH(K$1,enemy_skill_triggers!$1:$1,0)-MATCH($F$1,enemy_skill_triggers!$1:$1,0)+1),MATCH(K$1,enemy_skill_triggers!$1:$1,0)-MATCH($F$1,enemy_skill_triggers!$1:$1,0)+1,FALSE)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0" s="44">
        <f ca="1">VLOOKUP($F70,OFFSET(enemy_skill_triggers!$A$1,0,0,COUNTA(enemy_skill_triggers!$A:$A),MATCH(L$1,enemy_skill_triggers!$1:$1,0)-MATCH($F$1,enemy_skill_triggers!$1:$1,0)+1),MATCH(L$1,enemy_skill_triggers!$1:$1,0)-MATCH($F$1,enemy_skill_triggers!$1:$1,0)+1,FALSE)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0" s="44" t="str">
        <f ca="1">VLOOKUP($F70,OFFSET(enemy_skill_triggers!$A$1,0,0,COUNTA(enemy_skill_triggers!$A:$A),MATCH(M$1,enemy_skill_triggers!$1:$1,0)-MATCH($F$1,enemy_skill_triggers!$1:$1,0)+1),MATCH(M$1,enemy_skill_triggers!$1:$1,0)-MATCH($F$1,enemy_skill_triggers!$1:$1,0)+1,FALSE)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0" s="44">
        <f ca="1">VLOOKUP($F70,OFFSET(enemy_skill_triggers!$A$1,0,0,COUNTA(enemy_skill_triggers!$A:$A),MATCH(N$1,enemy_skill_triggers!$1:$1,0)-MATCH($F$1,enemy_skill_triggers!$1:$1,0)+1),MATCH(N$1,enemy_skill_triggers!$1:$1,0)-MATCH($F$1,enemy_skill_triggers!$1:$1,0)+1,FALSE)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70" s="44">
        <f ca="1">VLOOKUP($F70,OFFSET(enemy_skill_triggers!$A$1,0,0,COUNTA(enemy_skill_triggers!$A:$A),MATCH(O$1,enemy_skill_triggers!$1:$1,0)-MATCH($F$1,enemy_skill_triggers!$1:$1,0)+1),MATCH(O$1,enemy_skill_triggers!$1:$1,0)-MATCH($F$1,enemy_skill_triggers!$1:$1,0)+1,FALSE)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0" s="43"/>
      <c r="Q70" s="43"/>
      <c r="R70" s="172"/>
    </row>
    <row r="71" spans="1:18" ht="21" customHeight="1" thickBot="1" x14ac:dyDescent="0.2">
      <c r="A71" s="39" t="str">
        <f t="shared" si="5"/>
        <v>40034009_40034336</v>
      </c>
      <c r="B71" s="123">
        <v>40034009</v>
      </c>
      <c r="C71" s="43">
        <v>40034336</v>
      </c>
      <c r="D71" s="42" t="str">
        <f ca="1">VLOOKUP($C71,OFFSET(enemy_skills!$A$1,0,0,COUNTA(enemy_skills!$A:$A),MATCH(D$1,enemy_skills!$1:$1,0)-MATCH("enemy_skill_id",enemy_skills!$1:$1,0)+1),MATCH(D$1,enemy_skills!$1:$1,0)-MATCH("enemy_skill_id",enemy_skills!$1:$1,0)+1,FALSE)</f>
        <v>…へぇ…あくまでも邪魔、するんですね…ドゥルガーさん</v>
      </c>
      <c r="E71" s="42" t="str">
        <f ca="1">VLOOKUP($C71,OFFSET(enemy_skills!$A$1,0,0,COUNTA(enemy_skills!$A:$A),MATCH(E$1,enemy_skills!$1:$1,0)-MATCH("enemy_skill_id",enemy_skills!$1:$1,0)+1),MATCH(E$1,enemy_skills!$1:$1,0)-MATCH("enemy_skill_id",enemy_skills!$1:$1,0)+1,FALSE)</f>
        <v>…貴女も…シヴァ様の事を…負けない！_x000D_状態異常無効+種族Unknownに大ダメージ</v>
      </c>
      <c r="F71" s="43">
        <v>40034644</v>
      </c>
      <c r="G71" s="44">
        <f ca="1">VLOOKUP($F71,OFFSET(enemy_skill_triggers!$A$1,0,0,COUNTA(enemy_skill_triggers!$A:$A),MATCH(G$1,enemy_skill_triggers!$1:$1,0)-MATCH($F$1,enemy_skill_triggers!$1:$1,0)+1),MATCH(G$1,enemy_skill_triggers!$1:$1,0)-MATCH($F$1,enemy_skill_triggers!$1:$1,0)+1,FALSE)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1" s="44">
        <f ca="1">VLOOKUP($F71,OFFSET(enemy_skill_triggers!$A$1,0,0,COUNTA(enemy_skill_triggers!$A:$A),MATCH(H$1,enemy_skill_triggers!$1:$1,0)-MATCH($F$1,enemy_skill_triggers!$1:$1,0)+1),MATCH(H$1,enemy_skill_triggers!$1:$1,0)-MATCH($F$1,enemy_skill_triggers!$1:$1,0)+1,FALSE)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71" s="44">
        <f ca="1">VLOOKUP($F71,OFFSET(enemy_skill_triggers!$A$1,0,0,COUNTA(enemy_skill_triggers!$A:$A),MATCH(I$1,enemy_skill_triggers!$1:$1,0)-MATCH($F$1,enemy_skill_triggers!$1:$1,0)+1),MATCH(I$1,enemy_skill_triggers!$1:$1,0)-MATCH($F$1,enemy_skill_triggers!$1:$1,0)+1,FALSE)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1" s="44" t="str">
        <f ca="1">VLOOKUP($F71,OFFSET(enemy_skill_triggers!$A$1,0,0,COUNTA(enemy_skill_triggers!$A:$A),MATCH(J$1,enemy_skill_triggers!$1:$1,0)-MATCH($F$1,enemy_skill_triggers!$1:$1,0)+1),MATCH(J$1,enemy_skill_triggers!$1:$1,0)-MATCH($F$1,enemy_skill_triggers!$1:$1,0)+1,FALSE)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1" s="44" t="str">
        <f ca="1">VLOOKUP($F71,OFFSET(enemy_skill_triggers!$A$1,0,0,COUNTA(enemy_skill_triggers!$A:$A),MATCH(K$1,enemy_skill_triggers!$1:$1,0)-MATCH($F$1,enemy_skill_triggers!$1:$1,0)+1),MATCH(K$1,enemy_skill_triggers!$1:$1,0)-MATCH($F$1,enemy_skill_triggers!$1:$1,0)+1,FALSE)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1" s="44">
        <f ca="1">VLOOKUP($F71,OFFSET(enemy_skill_triggers!$A$1,0,0,COUNTA(enemy_skill_triggers!$A:$A),MATCH(L$1,enemy_skill_triggers!$1:$1,0)-MATCH($F$1,enemy_skill_triggers!$1:$1,0)+1),MATCH(L$1,enemy_skill_triggers!$1:$1,0)-MATCH($F$1,enemy_skill_triggers!$1:$1,0)+1,FALSE)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1" s="44" t="str">
        <f ca="1">VLOOKUP($F71,OFFSET(enemy_skill_triggers!$A$1,0,0,COUNTA(enemy_skill_triggers!$A:$A),MATCH(M$1,enemy_skill_triggers!$1:$1,0)-MATCH($F$1,enemy_skill_triggers!$1:$1,0)+1),MATCH(M$1,enemy_skill_triggers!$1:$1,0)-MATCH($F$1,enemy_skill_triggers!$1:$1,0)+1,FALSE)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1" s="44">
        <f ca="1">VLOOKUP($F71,OFFSET(enemy_skill_triggers!$A$1,0,0,COUNTA(enemy_skill_triggers!$A:$A),MATCH(N$1,enemy_skill_triggers!$1:$1,0)-MATCH($F$1,enemy_skill_triggers!$1:$1,0)+1),MATCH(N$1,enemy_skill_triggers!$1:$1,0)-MATCH($F$1,enemy_skill_triggers!$1:$1,0)+1,FALSE)</f>
        <v>1155</v>
      </c>
      <c r="O71" s="44">
        <f ca="1">VLOOKUP($F71,OFFSET(enemy_skill_triggers!$A$1,0,0,COUNTA(enemy_skill_triggers!$A:$A),MATCH(O$1,enemy_skill_triggers!$1:$1,0)-MATCH($F$1,enemy_skill_triggers!$1:$1,0)+1),MATCH(O$1,enemy_skill_triggers!$1:$1,0)-MATCH($F$1,enemy_skill_triggers!$1:$1,0)+1,FALSE)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1" s="43"/>
      <c r="Q71" s="43"/>
      <c r="R71" s="172"/>
    </row>
    <row r="72" spans="1:18" ht="21" customHeight="1" thickBot="1" x14ac:dyDescent="0.2">
      <c r="A72" s="39" t="str">
        <f t="shared" si="5"/>
        <v>40034009_40034336</v>
      </c>
      <c r="B72" s="123">
        <v>40034009</v>
      </c>
      <c r="C72" s="43">
        <v>40034336</v>
      </c>
      <c r="D72" s="42" t="str">
        <f ca="1">VLOOKUP($C72,OFFSET(enemy_skills!$A$1,0,0,COUNTA(enemy_skills!$A:$A),MATCH(D$1,enemy_skills!$1:$1,0)-MATCH("enemy_skill_id",enemy_skills!$1:$1,0)+1),MATCH(D$1,enemy_skills!$1:$1,0)-MATCH("enemy_skill_id",enemy_skills!$1:$1,0)+1,FALSE)</f>
        <v>…へぇ…あくまでも邪魔、するんですね…ドゥルガーさん</v>
      </c>
      <c r="E72" s="42" t="str">
        <f ca="1">VLOOKUP($C72,OFFSET(enemy_skills!$A$1,0,0,COUNTA(enemy_skills!$A:$A),MATCH(E$1,enemy_skills!$1:$1,0)-MATCH("enemy_skill_id",enemy_skills!$1:$1,0)+1),MATCH(E$1,enemy_skills!$1:$1,0)-MATCH("enemy_skill_id",enemy_skills!$1:$1,0)+1,FALSE)</f>
        <v>…貴女も…シヴァ様の事を…負けない！_x000D_状態異常無効+種族Unknownに大ダメージ</v>
      </c>
      <c r="F72" s="43">
        <v>40034645</v>
      </c>
      <c r="G72" s="44">
        <f ca="1">VLOOKUP($F72,OFFSET(enemy_skill_triggers!$A$1,0,0,COUNTA(enemy_skill_triggers!$A:$A),MATCH(G$1,enemy_skill_triggers!$1:$1,0)-MATCH($F$1,enemy_skill_triggers!$1:$1,0)+1),MATCH(G$1,enemy_skill_triggers!$1:$1,0)-MATCH($F$1,enemy_skill_triggers!$1:$1,0)+1,FALSE)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2" s="44">
        <f ca="1">VLOOKUP($F72,OFFSET(enemy_skill_triggers!$A$1,0,0,COUNTA(enemy_skill_triggers!$A:$A),MATCH(H$1,enemy_skill_triggers!$1:$1,0)-MATCH($F$1,enemy_skill_triggers!$1:$1,0)+1),MATCH(H$1,enemy_skill_triggers!$1:$1,0)-MATCH($F$1,enemy_skill_triggers!$1:$1,0)+1,FALSE)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72" s="44">
        <f ca="1">VLOOKUP($F72,OFFSET(enemy_skill_triggers!$A$1,0,0,COUNTA(enemy_skill_triggers!$A:$A),MATCH(I$1,enemy_skill_triggers!$1:$1,0)-MATCH($F$1,enemy_skill_triggers!$1:$1,0)+1),MATCH(I$1,enemy_skill_triggers!$1:$1,0)-MATCH($F$1,enemy_skill_triggers!$1:$1,0)+1,FALSE)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2" s="44" t="str">
        <f ca="1">VLOOKUP($F72,OFFSET(enemy_skill_triggers!$A$1,0,0,COUNTA(enemy_skill_triggers!$A:$A),MATCH(J$1,enemy_skill_triggers!$1:$1,0)-MATCH($F$1,enemy_skill_triggers!$1:$1,0)+1),MATCH(J$1,enemy_skill_triggers!$1:$1,0)-MATCH($F$1,enemy_skill_triggers!$1:$1,0)+1,FALSE)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2" s="44" t="str">
        <f ca="1">VLOOKUP($F72,OFFSET(enemy_skill_triggers!$A$1,0,0,COUNTA(enemy_skill_triggers!$A:$A),MATCH(K$1,enemy_skill_triggers!$1:$1,0)-MATCH($F$1,enemy_skill_triggers!$1:$1,0)+1),MATCH(K$1,enemy_skill_triggers!$1:$1,0)-MATCH($F$1,enemy_skill_triggers!$1:$1,0)+1,FALSE)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2" s="44">
        <f ca="1">VLOOKUP($F72,OFFSET(enemy_skill_triggers!$A$1,0,0,COUNTA(enemy_skill_triggers!$A:$A),MATCH(L$1,enemy_skill_triggers!$1:$1,0)-MATCH($F$1,enemy_skill_triggers!$1:$1,0)+1),MATCH(L$1,enemy_skill_triggers!$1:$1,0)-MATCH($F$1,enemy_skill_triggers!$1:$1,0)+1,FALSE)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2" s="44" t="str">
        <f ca="1">VLOOKUP($F72,OFFSET(enemy_skill_triggers!$A$1,0,0,COUNTA(enemy_skill_triggers!$A:$A),MATCH(M$1,enemy_skill_triggers!$1:$1,0)-MATCH($F$1,enemy_skill_triggers!$1:$1,0)+1),MATCH(M$1,enemy_skill_triggers!$1:$1,0)-MATCH($F$1,enemy_skill_triggers!$1:$1,0)+1,FALSE)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2" s="44">
        <f ca="1">VLOOKUP($F72,OFFSET(enemy_skill_triggers!$A$1,0,0,COUNTA(enemy_skill_triggers!$A:$A),MATCH(N$1,enemy_skill_triggers!$1:$1,0)-MATCH($F$1,enemy_skill_triggers!$1:$1,0)+1),MATCH(N$1,enemy_skill_triggers!$1:$1,0)-MATCH($F$1,enemy_skill_triggers!$1:$1,0)+1,FALSE)</f>
        <v>1156</v>
      </c>
      <c r="O72" s="44">
        <f ca="1">VLOOKUP($F72,OFFSET(enemy_skill_triggers!$A$1,0,0,COUNTA(enemy_skill_triggers!$A:$A),MATCH(O$1,enemy_skill_triggers!$1:$1,0)-MATCH($F$1,enemy_skill_triggers!$1:$1,0)+1),MATCH(O$1,enemy_skill_triggers!$1:$1,0)-MATCH($F$1,enemy_skill_triggers!$1:$1,0)+1,FALSE)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2" s="43"/>
      <c r="Q72" s="43"/>
      <c r="R72" s="172"/>
    </row>
    <row r="73" spans="1:18" ht="21" customHeight="1" thickBot="1" x14ac:dyDescent="0.2">
      <c r="A73" s="39" t="str">
        <f t="shared" si="5"/>
        <v>40034009_40034337</v>
      </c>
      <c r="B73" s="123">
        <v>40034009</v>
      </c>
      <c r="C73" s="43">
        <v>40034337</v>
      </c>
      <c r="D73" s="42" t="str">
        <f ca="1">VLOOKUP($C73,OFFSET(enemy_skills!$A$1,0,0,COUNTA(enemy_skills!$A:$A),MATCH(D$1,enemy_skills!$1:$1,0)-MATCH("enemy_skill_id",enemy_skills!$1:$1,0)+1),MATCH(D$1,enemy_skills!$1:$1,0)-MATCH("enemy_skill_id",enemy_skills!$1:$1,0)+1,FALSE)</f>
        <v>…パールヴァティ……さん…は…_x000D_私が…消去…してあげます…</v>
      </c>
      <c r="E73" s="42" t="str">
        <f ca="1">VLOOKUP($C73,OFFSET(enemy_skills!$A$1,0,0,COUNTA(enemy_skills!$A:$A),MATCH(E$1,enemy_skills!$1:$1,0)-MATCH("enemy_skill_id",enemy_skills!$1:$1,0)+1),MATCH(E$1,enemy_skills!$1:$1,0)-MATCH("enemy_skill_id",enemy_skills!$1:$1,0)+1,FALSE)</f>
        <v>うふふ…あはははははははは！_x000D_状態異常無効+種族Unknownに大ダメージ</v>
      </c>
      <c r="F73" s="43">
        <v>40034646</v>
      </c>
      <c r="G73" s="44">
        <f ca="1">VLOOKUP($F73,OFFSET(enemy_skill_triggers!$A$1,0,0,COUNTA(enemy_skill_triggers!$A:$A),MATCH(G$1,enemy_skill_triggers!$1:$1,0)-MATCH($F$1,enemy_skill_triggers!$1:$1,0)+1),MATCH(G$1,enemy_skill_triggers!$1:$1,0)-MATCH($F$1,enemy_skill_triggers!$1:$1,0)+1,FALSE)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3" s="44">
        <f ca="1">VLOOKUP($F73,OFFSET(enemy_skill_triggers!$A$1,0,0,COUNTA(enemy_skill_triggers!$A:$A),MATCH(H$1,enemy_skill_triggers!$1:$1,0)-MATCH($F$1,enemy_skill_triggers!$1:$1,0)+1),MATCH(H$1,enemy_skill_triggers!$1:$1,0)-MATCH($F$1,enemy_skill_triggers!$1:$1,0)+1,FALSE)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73" s="44">
        <f ca="1">VLOOKUP($F73,OFFSET(enemy_skill_triggers!$A$1,0,0,COUNTA(enemy_skill_triggers!$A:$A),MATCH(I$1,enemy_skill_triggers!$1:$1,0)-MATCH($F$1,enemy_skill_triggers!$1:$1,0)+1),MATCH(I$1,enemy_skill_triggers!$1:$1,0)-MATCH($F$1,enemy_skill_triggers!$1:$1,0)+1,FALSE)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3" s="44" t="str">
        <f ca="1">VLOOKUP($F73,OFFSET(enemy_skill_triggers!$A$1,0,0,COUNTA(enemy_skill_triggers!$A:$A),MATCH(J$1,enemy_skill_triggers!$1:$1,0)-MATCH($F$1,enemy_skill_triggers!$1:$1,0)+1),MATCH(J$1,enemy_skill_triggers!$1:$1,0)-MATCH($F$1,enemy_skill_triggers!$1:$1,0)+1,FALSE)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3" s="44" t="str">
        <f ca="1">VLOOKUP($F73,OFFSET(enemy_skill_triggers!$A$1,0,0,COUNTA(enemy_skill_triggers!$A:$A),MATCH(K$1,enemy_skill_triggers!$1:$1,0)-MATCH($F$1,enemy_skill_triggers!$1:$1,0)+1),MATCH(K$1,enemy_skill_triggers!$1:$1,0)-MATCH($F$1,enemy_skill_triggers!$1:$1,0)+1,FALSE)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3" s="44">
        <f ca="1">VLOOKUP($F73,OFFSET(enemy_skill_triggers!$A$1,0,0,COUNTA(enemy_skill_triggers!$A:$A),MATCH(L$1,enemy_skill_triggers!$1:$1,0)-MATCH($F$1,enemy_skill_triggers!$1:$1,0)+1),MATCH(L$1,enemy_skill_triggers!$1:$1,0)-MATCH($F$1,enemy_skill_triggers!$1:$1,0)+1,FALSE)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3" s="44" t="str">
        <f ca="1">VLOOKUP($F73,OFFSET(enemy_skill_triggers!$A$1,0,0,COUNTA(enemy_skill_triggers!$A:$A),MATCH(M$1,enemy_skill_triggers!$1:$1,0)-MATCH($F$1,enemy_skill_triggers!$1:$1,0)+1),MATCH(M$1,enemy_skill_triggers!$1:$1,0)-MATCH($F$1,enemy_skill_triggers!$1:$1,0)+1,FALSE)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3" s="44">
        <f ca="1">VLOOKUP($F73,OFFSET(enemy_skill_triggers!$A$1,0,0,COUNTA(enemy_skill_triggers!$A:$A),MATCH(N$1,enemy_skill_triggers!$1:$1,0)-MATCH($F$1,enemy_skill_triggers!$1:$1,0)+1),MATCH(N$1,enemy_skill_triggers!$1:$1,0)-MATCH($F$1,enemy_skill_triggers!$1:$1,0)+1,FALSE)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73" s="44">
        <f ca="1">VLOOKUP($F73,OFFSET(enemy_skill_triggers!$A$1,0,0,COUNTA(enemy_skill_triggers!$A:$A),MATCH(O$1,enemy_skill_triggers!$1:$1,0)-MATCH($F$1,enemy_skill_triggers!$1:$1,0)+1),MATCH(O$1,enemy_skill_triggers!$1:$1,0)-MATCH($F$1,enemy_skill_triggers!$1:$1,0)+1,FALSE)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3" s="43"/>
      <c r="Q73" s="43"/>
      <c r="R73" s="172"/>
    </row>
    <row r="74" spans="1:18" ht="21" customHeight="1" thickBot="1" x14ac:dyDescent="0.2">
      <c r="A74" s="39" t="str">
        <f t="shared" si="5"/>
        <v>40034009_40034337</v>
      </c>
      <c r="B74" s="123">
        <v>40034009</v>
      </c>
      <c r="C74" s="43">
        <v>40034337</v>
      </c>
      <c r="D74" s="42" t="str">
        <f ca="1">VLOOKUP($C74,OFFSET(enemy_skills!$A$1,0,0,COUNTA(enemy_skills!$A:$A),MATCH(D$1,enemy_skills!$1:$1,0)-MATCH("enemy_skill_id",enemy_skills!$1:$1,0)+1),MATCH(D$1,enemy_skills!$1:$1,0)-MATCH("enemy_skill_id",enemy_skills!$1:$1,0)+1,FALSE)</f>
        <v>…パールヴァティ……さん…は…_x000D_私が…消去…してあげます…</v>
      </c>
      <c r="E74" s="42" t="str">
        <f ca="1">VLOOKUP($C74,OFFSET(enemy_skills!$A$1,0,0,COUNTA(enemy_skills!$A:$A),MATCH(E$1,enemy_skills!$1:$1,0)-MATCH("enemy_skill_id",enemy_skills!$1:$1,0)+1),MATCH(E$1,enemy_skills!$1:$1,0)-MATCH("enemy_skill_id",enemy_skills!$1:$1,0)+1,FALSE)</f>
        <v>うふふ…あはははははははは！_x000D_状態異常無効+種族Unknownに大ダメージ</v>
      </c>
      <c r="F74" s="43">
        <v>40034647</v>
      </c>
      <c r="G74" s="44">
        <f ca="1">VLOOKUP($F74,OFFSET(enemy_skill_triggers!$A$1,0,0,COUNTA(enemy_skill_triggers!$A:$A),MATCH(G$1,enemy_skill_triggers!$1:$1,0)-MATCH($F$1,enemy_skill_triggers!$1:$1,0)+1),MATCH(G$1,enemy_skill_triggers!$1:$1,0)-MATCH($F$1,enemy_skill_triggers!$1:$1,0)+1,FALSE)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4" s="44">
        <f ca="1">VLOOKUP($F74,OFFSET(enemy_skill_triggers!$A$1,0,0,COUNTA(enemy_skill_triggers!$A:$A),MATCH(H$1,enemy_skill_triggers!$1:$1,0)-MATCH($F$1,enemy_skill_triggers!$1:$1,0)+1),MATCH(H$1,enemy_skill_triggers!$1:$1,0)-MATCH($F$1,enemy_skill_triggers!$1:$1,0)+1,FALSE)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74" s="44">
        <f ca="1">VLOOKUP($F74,OFFSET(enemy_skill_triggers!$A$1,0,0,COUNTA(enemy_skill_triggers!$A:$A),MATCH(I$1,enemy_skill_triggers!$1:$1,0)-MATCH($F$1,enemy_skill_triggers!$1:$1,0)+1),MATCH(I$1,enemy_skill_triggers!$1:$1,0)-MATCH($F$1,enemy_skill_triggers!$1:$1,0)+1,FALSE)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4" s="44" t="str">
        <f ca="1">VLOOKUP($F74,OFFSET(enemy_skill_triggers!$A$1,0,0,COUNTA(enemy_skill_triggers!$A:$A),MATCH(J$1,enemy_skill_triggers!$1:$1,0)-MATCH($F$1,enemy_skill_triggers!$1:$1,0)+1),MATCH(J$1,enemy_skill_triggers!$1:$1,0)-MATCH($F$1,enemy_skill_triggers!$1:$1,0)+1,FALSE)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4" s="44" t="str">
        <f ca="1">VLOOKUP($F74,OFFSET(enemy_skill_triggers!$A$1,0,0,COUNTA(enemy_skill_triggers!$A:$A),MATCH(K$1,enemy_skill_triggers!$1:$1,0)-MATCH($F$1,enemy_skill_triggers!$1:$1,0)+1),MATCH(K$1,enemy_skill_triggers!$1:$1,0)-MATCH($F$1,enemy_skill_triggers!$1:$1,0)+1,FALSE)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4" s="44">
        <f ca="1">VLOOKUP($F74,OFFSET(enemy_skill_triggers!$A$1,0,0,COUNTA(enemy_skill_triggers!$A:$A),MATCH(L$1,enemy_skill_triggers!$1:$1,0)-MATCH($F$1,enemy_skill_triggers!$1:$1,0)+1),MATCH(L$1,enemy_skill_triggers!$1:$1,0)-MATCH($F$1,enemy_skill_triggers!$1:$1,0)+1,FALSE)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4" s="44" t="str">
        <f ca="1">VLOOKUP($F74,OFFSET(enemy_skill_triggers!$A$1,0,0,COUNTA(enemy_skill_triggers!$A:$A),MATCH(M$1,enemy_skill_triggers!$1:$1,0)-MATCH($F$1,enemy_skill_triggers!$1:$1,0)+1),MATCH(M$1,enemy_skill_triggers!$1:$1,0)-MATCH($F$1,enemy_skill_triggers!$1:$1,0)+1,FALSE)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4" s="44">
        <f ca="1">VLOOKUP($F74,OFFSET(enemy_skill_triggers!$A$1,0,0,COUNTA(enemy_skill_triggers!$A:$A),MATCH(N$1,enemy_skill_triggers!$1:$1,0)-MATCH($F$1,enemy_skill_triggers!$1:$1,0)+1),MATCH(N$1,enemy_skill_triggers!$1:$1,0)-MATCH($F$1,enemy_skill_triggers!$1:$1,0)+1,FALSE)</f>
        <v>649</v>
      </c>
      <c r="O74" s="44">
        <f ca="1">VLOOKUP($F74,OFFSET(enemy_skill_triggers!$A$1,0,0,COUNTA(enemy_skill_triggers!$A:$A),MATCH(O$1,enemy_skill_triggers!$1:$1,0)-MATCH($F$1,enemy_skill_triggers!$1:$1,0)+1),MATCH(O$1,enemy_skill_triggers!$1:$1,0)-MATCH($F$1,enemy_skill_triggers!$1:$1,0)+1,FALSE)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4" s="43"/>
      <c r="Q74" s="43"/>
      <c r="R74" s="172"/>
    </row>
    <row r="75" spans="1:18" ht="21" customHeight="1" thickBot="1" x14ac:dyDescent="0.2">
      <c r="A75" s="39" t="str">
        <f t="shared" si="5"/>
        <v>40034009_40034338</v>
      </c>
      <c r="B75" s="123">
        <v>40034009</v>
      </c>
      <c r="C75" s="43">
        <v>40034338</v>
      </c>
      <c r="D75" s="42" t="str">
        <f ca="1">VLOOKUP($C75,OFFSET(enemy_skills!$A$1,0,0,COUNTA(enemy_skills!$A:$A),MATCH(D$1,enemy_skills!$1:$1,0)-MATCH("enemy_skill_id",enemy_skills!$1:$1,0)+1),MATCH(D$1,enemy_skills!$1:$1,0)-MATCH("enemy_skill_id",enemy_skills!$1:$1,0)+1,FALSE)</f>
        <v>…シヴァ様…私だけを見て…</v>
      </c>
      <c r="E75" s="42" t="str">
        <f ca="1">VLOOKUP($C75,OFFSET(enemy_skills!$A$1,0,0,COUNTA(enemy_skills!$A:$A),MATCH(E$1,enemy_skills!$1:$1,0)-MATCH("enemy_skill_id",enemy_skills!$1:$1,0)+1),MATCH(E$1,enemy_skills!$1:$1,0)-MATCH("enemy_skill_id",enemy_skills!$1:$1,0)+1,FALSE)</f>
        <v>状態異常無効_x000D_+種族Unknownに大ダメージ</v>
      </c>
      <c r="F75" s="43">
        <v>40034648</v>
      </c>
      <c r="G75" s="44">
        <f ca="1">VLOOKUP($F75,OFFSET(enemy_skill_triggers!$A$1,0,0,COUNTA(enemy_skill_triggers!$A:$A),MATCH(G$1,enemy_skill_triggers!$1:$1,0)-MATCH($F$1,enemy_skill_triggers!$1:$1,0)+1),MATCH(G$1,enemy_skill_triggers!$1:$1,0)-MATCH($F$1,enemy_skill_triggers!$1:$1,0)+1,FALSE)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75" s="44">
        <f ca="1">VLOOKUP($F75,OFFSET(enemy_skill_triggers!$A$1,0,0,COUNTA(enemy_skill_triggers!$A:$A),MATCH(H$1,enemy_skill_triggers!$1:$1,0)-MATCH($F$1,enemy_skill_triggers!$1:$1,0)+1),MATCH(H$1,enemy_skill_triggers!$1:$1,0)-MATCH($F$1,enemy_skill_triggers!$1:$1,0)+1,FALSE)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75" s="44">
        <f ca="1">VLOOKUP($F75,OFFSET(enemy_skill_triggers!$A$1,0,0,COUNTA(enemy_skill_triggers!$A:$A),MATCH(I$1,enemy_skill_triggers!$1:$1,0)-MATCH($F$1,enemy_skill_triggers!$1:$1,0)+1),MATCH(I$1,enemy_skill_triggers!$1:$1,0)-MATCH($F$1,enemy_skill_triggers!$1:$1,0)+1,FALSE)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75" s="44" t="str">
        <f ca="1">VLOOKUP($F75,OFFSET(enemy_skill_triggers!$A$1,0,0,COUNTA(enemy_skill_triggers!$A:$A),MATCH(J$1,enemy_skill_triggers!$1:$1,0)-MATCH($F$1,enemy_skill_triggers!$1:$1,0)+1),MATCH(J$1,enemy_skill_triggers!$1:$1,0)-MATCH($F$1,enemy_skill_triggers!$1:$1,0)+1,FALSE)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5" s="44" t="str">
        <f ca="1">VLOOKUP($F75,OFFSET(enemy_skill_triggers!$A$1,0,0,COUNTA(enemy_skill_triggers!$A:$A),MATCH(K$1,enemy_skill_triggers!$1:$1,0)-MATCH($F$1,enemy_skill_triggers!$1:$1,0)+1),MATCH(K$1,enemy_skill_triggers!$1:$1,0)-MATCH($F$1,enemy_skill_triggers!$1:$1,0)+1,FALSE)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5" s="44">
        <f ca="1">VLOOKUP($F75,OFFSET(enemy_skill_triggers!$A$1,0,0,COUNTA(enemy_skill_triggers!$A:$A),MATCH(L$1,enemy_skill_triggers!$1:$1,0)-MATCH($F$1,enemy_skill_triggers!$1:$1,0)+1),MATCH(L$1,enemy_skill_triggers!$1:$1,0)-MATCH($F$1,enemy_skill_triggers!$1:$1,0)+1,FALSE)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75" s="44" t="str">
        <f ca="1">VLOOKUP($F75,OFFSET(enemy_skill_triggers!$A$1,0,0,COUNTA(enemy_skill_triggers!$A:$A),MATCH(M$1,enemy_skill_triggers!$1:$1,0)-MATCH($F$1,enemy_skill_triggers!$1:$1,0)+1),MATCH(M$1,enemy_skill_triggers!$1:$1,0)-MATCH($F$1,enemy_skill_triggers!$1:$1,0)+1,FALSE)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5" s="44" t="str">
        <f ca="1">VLOOKUP($F75,OFFSET(enemy_skill_triggers!$A$1,0,0,COUNTA(enemy_skill_triggers!$A:$A),MATCH(N$1,enemy_skill_triggers!$1:$1,0)-MATCH($F$1,enemy_skill_triggers!$1:$1,0)+1),MATCH(N$1,enemy_skill_triggers!$1:$1,0)-MATCH($F$1,enemy_skill_triggers!$1:$1,0)+1,FALSE)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5" s="44">
        <f ca="1">VLOOKUP($F75,OFFSET(enemy_skill_triggers!$A$1,0,0,COUNTA(enemy_skill_triggers!$A:$A),MATCH(O$1,enemy_skill_triggers!$1:$1,0)-MATCH($F$1,enemy_skill_triggers!$1:$1,0)+1),MATCH(O$1,enemy_skill_triggers!$1:$1,0)-MATCH($F$1,enemy_skill_triggers!$1:$1,0)+1,FALSE)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75" s="43"/>
      <c r="Q75" s="43"/>
      <c r="R75" s="172"/>
    </row>
    <row r="76" spans="1:18" ht="21" customHeight="1" thickBot="1" x14ac:dyDescent="0.2">
      <c r="A76" s="39" t="str">
        <f t="shared" si="5"/>
        <v>40034009_40034339</v>
      </c>
      <c r="B76" s="123">
        <v>40034009</v>
      </c>
      <c r="C76" s="43">
        <v>40034339</v>
      </c>
      <c r="D76" s="42" t="str">
        <f ca="1">VLOOKUP($C76,OFFSET(enemy_skills!$A$1,0,0,COUNTA(enemy_skills!$A:$A),MATCH(D$1,enemy_skills!$1:$1,0)-MATCH("enemy_skill_id",enemy_skills!$1:$1,0)+1),MATCH(D$1,enemy_skills!$1:$1,0)-MATCH("enemy_skill_id",enemy_skills!$1:$1,0)+1,FALSE)</f>
        <v>早い者勝ち…恨みっこなし…</v>
      </c>
      <c r="E76" s="42" t="str">
        <f ca="1">VLOOKUP($C76,OFFSET(enemy_skills!$A$1,0,0,COUNTA(enemy_skills!$A:$A),MATCH(E$1,enemy_skills!$1:$1,0)-MATCH("enemy_skill_id",enemy_skills!$1:$1,0)+1),MATCH(E$1,enemy_skills!$1:$1,0)-MATCH("enemy_skill_id",enemy_skills!$1:$1,0)+1,FALSE)</f>
        <v>ハートパネルを吸収して回復(最大30個)</v>
      </c>
      <c r="F76" s="43">
        <v>40034649</v>
      </c>
      <c r="G76" s="44">
        <f ca="1">VLOOKUP($F76,OFFSET(enemy_skill_triggers!$A$1,0,0,COUNTA(enemy_skill_triggers!$A:$A),MATCH(G$1,enemy_skill_triggers!$1:$1,0)-MATCH($F$1,enemy_skill_triggers!$1:$1,0)+1),MATCH(G$1,enemy_skill_triggers!$1:$1,0)-MATCH($F$1,enemy_skill_triggers!$1:$1,0)+1,FALSE)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6" s="44">
        <f ca="1">VLOOKUP($F76,OFFSET(enemy_skill_triggers!$A$1,0,0,COUNTA(enemy_skill_triggers!$A:$A),MATCH(H$1,enemy_skill_triggers!$1:$1,0)-MATCH($F$1,enemy_skill_triggers!$1:$1,0)+1),MATCH(H$1,enemy_skill_triggers!$1:$1,0)-MATCH($F$1,enemy_skill_triggers!$1:$1,0)+1,FALSE)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76" s="44">
        <f ca="1">VLOOKUP($F76,OFFSET(enemy_skill_triggers!$A$1,0,0,COUNTA(enemy_skill_triggers!$A:$A),MATCH(I$1,enemy_skill_triggers!$1:$1,0)-MATCH($F$1,enemy_skill_triggers!$1:$1,0)+1),MATCH(I$1,enemy_skill_triggers!$1:$1,0)-MATCH($F$1,enemy_skill_triggers!$1:$1,0)+1,FALSE)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76" s="44" t="str">
        <f ca="1">VLOOKUP($F76,OFFSET(enemy_skill_triggers!$A$1,0,0,COUNTA(enemy_skill_triggers!$A:$A),MATCH(J$1,enemy_skill_triggers!$1:$1,0)-MATCH($F$1,enemy_skill_triggers!$1:$1,0)+1),MATCH(J$1,enemy_skill_triggers!$1:$1,0)-MATCH($F$1,enemy_skill_triggers!$1:$1,0)+1,FALSE)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6" s="44" t="str">
        <f ca="1">VLOOKUP($F76,OFFSET(enemy_skill_triggers!$A$1,0,0,COUNTA(enemy_skill_triggers!$A:$A),MATCH(K$1,enemy_skill_triggers!$1:$1,0)-MATCH($F$1,enemy_skill_triggers!$1:$1,0)+1),MATCH(K$1,enemy_skill_triggers!$1:$1,0)-MATCH($F$1,enemy_skill_triggers!$1:$1,0)+1,FALSE)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6" s="44">
        <f ca="1">VLOOKUP($F76,OFFSET(enemy_skill_triggers!$A$1,0,0,COUNTA(enemy_skill_triggers!$A:$A),MATCH(L$1,enemy_skill_triggers!$1:$1,0)-MATCH($F$1,enemy_skill_triggers!$1:$1,0)+1),MATCH(L$1,enemy_skill_triggers!$1:$1,0)-MATCH($F$1,enemy_skill_triggers!$1:$1,0)+1,FALSE)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76" s="44" t="str">
        <f ca="1">VLOOKUP($F76,OFFSET(enemy_skill_triggers!$A$1,0,0,COUNTA(enemy_skill_triggers!$A:$A),MATCH(M$1,enemy_skill_triggers!$1:$1,0)-MATCH($F$1,enemy_skill_triggers!$1:$1,0)+1),MATCH(M$1,enemy_skill_triggers!$1:$1,0)-MATCH($F$1,enemy_skill_triggers!$1:$1,0)+1,FALSE)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6" s="44" t="str">
        <f ca="1">VLOOKUP($F76,OFFSET(enemy_skill_triggers!$A$1,0,0,COUNTA(enemy_skill_triggers!$A:$A),MATCH(N$1,enemy_skill_triggers!$1:$1,0)-MATCH($F$1,enemy_skill_triggers!$1:$1,0)+1),MATCH(N$1,enemy_skill_triggers!$1:$1,0)-MATCH($F$1,enemy_skill_triggers!$1:$1,0)+1,FALSE)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6" s="44">
        <f ca="1">VLOOKUP($F76,OFFSET(enemy_skill_triggers!$A$1,0,0,COUNTA(enemy_skill_triggers!$A:$A),MATCH(O$1,enemy_skill_triggers!$1:$1,0)-MATCH($F$1,enemy_skill_triggers!$1:$1,0)+1),MATCH(O$1,enemy_skill_triggers!$1:$1,0)-MATCH($F$1,enemy_skill_triggers!$1:$1,0)+1,FALSE)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76" s="43"/>
      <c r="Q76" s="43"/>
      <c r="R76" s="172"/>
    </row>
    <row r="77" spans="1:18" ht="21" customHeight="1" thickBot="1" x14ac:dyDescent="0.2">
      <c r="A77" s="39" t="str">
        <f t="shared" si="5"/>
        <v>40034009_40034340</v>
      </c>
      <c r="B77" s="123">
        <v>40034009</v>
      </c>
      <c r="C77" s="43">
        <v>40034340</v>
      </c>
      <c r="D77" s="42" t="str">
        <f ca="1">VLOOKUP($C77,OFFSET(enemy_skills!$A$1,0,0,COUNTA(enemy_skills!$A:$A),MATCH(D$1,enemy_skills!$1:$1,0)-MATCH("enemy_skill_id",enemy_skills!$1:$1,0)+1),MATCH(D$1,enemy_skills!$1:$1,0)-MATCH("enemy_skill_id",enemy_skills!$1:$1,0)+1,FALSE)</f>
        <v>…攻撃と…防御の両立…</v>
      </c>
      <c r="E77" s="42" t="str">
        <f ca="1">VLOOKUP($C77,OFFSET(enemy_skills!$A$1,0,0,COUNTA(enemy_skills!$A:$A),MATCH(E$1,enemy_skills!$1:$1,0)-MATCH("enemy_skill_id",enemy_skills!$1:$1,0)+1),MATCH(E$1,enemy_skills!$1:$1,0)-MATCH("enemy_skill_id",enemy_skills!$1:$1,0)+1,FALSE)</f>
        <v>パネルをランダムに2個ダメージパネルに変換</v>
      </c>
      <c r="F77" s="43">
        <v>40034650</v>
      </c>
      <c r="G77" s="44">
        <f ca="1">VLOOKUP($F77,OFFSET(enemy_skill_triggers!$A$1,0,0,COUNTA(enemy_skill_triggers!$A:$A),MATCH(G$1,enemy_skill_triggers!$1:$1,0)-MATCH($F$1,enemy_skill_triggers!$1:$1,0)+1),MATCH(G$1,enemy_skill_triggers!$1:$1,0)-MATCH($F$1,enemy_skill_triggers!$1:$1,0)+1,FALSE)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7" s="44">
        <f ca="1">VLOOKUP($F77,OFFSET(enemy_skill_triggers!$A$1,0,0,COUNTA(enemy_skill_triggers!$A:$A),MATCH(H$1,enemy_skill_triggers!$1:$1,0)-MATCH($F$1,enemy_skill_triggers!$1:$1,0)+1),MATCH(H$1,enemy_skill_triggers!$1:$1,0)-MATCH($F$1,enemy_skill_triggers!$1:$1,0)+1,FALSE)</f>
        <v>80</v>
      </c>
      <c r="I77" s="44">
        <f ca="1">VLOOKUP($F77,OFFSET(enemy_skill_triggers!$A$1,0,0,COUNTA(enemy_skill_triggers!$A:$A),MATCH(I$1,enemy_skill_triggers!$1:$1,0)-MATCH($F$1,enemy_skill_triggers!$1:$1,0)+1),MATCH(I$1,enemy_skill_triggers!$1:$1,0)-MATCH($F$1,enemy_skill_triggers!$1:$1,0)+1,FALSE)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77" s="44" t="str">
        <f ca="1">VLOOKUP($F77,OFFSET(enemy_skill_triggers!$A$1,0,0,COUNTA(enemy_skill_triggers!$A:$A),MATCH(J$1,enemy_skill_triggers!$1:$1,0)-MATCH($F$1,enemy_skill_triggers!$1:$1,0)+1),MATCH(J$1,enemy_skill_triggers!$1:$1,0)-MATCH($F$1,enemy_skill_triggers!$1:$1,0)+1,FALSE)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7" s="44" t="str">
        <f ca="1">VLOOKUP($F77,OFFSET(enemy_skill_triggers!$A$1,0,0,COUNTA(enemy_skill_triggers!$A:$A),MATCH(K$1,enemy_skill_triggers!$1:$1,0)-MATCH($F$1,enemy_skill_triggers!$1:$1,0)+1),MATCH(K$1,enemy_skill_triggers!$1:$1,0)-MATCH($F$1,enemy_skill_triggers!$1:$1,0)+1,FALSE)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7" s="44">
        <f ca="1">VLOOKUP($F77,OFFSET(enemy_skill_triggers!$A$1,0,0,COUNTA(enemy_skill_triggers!$A:$A),MATCH(L$1,enemy_skill_triggers!$1:$1,0)-MATCH($F$1,enemy_skill_triggers!$1:$1,0)+1),MATCH(L$1,enemy_skill_triggers!$1:$1,0)-MATCH($F$1,enemy_skill_triggers!$1:$1,0)+1,FALSE)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77" s="44" t="str">
        <f ca="1">VLOOKUP($F77,OFFSET(enemy_skill_triggers!$A$1,0,0,COUNTA(enemy_skill_triggers!$A:$A),MATCH(M$1,enemy_skill_triggers!$1:$1,0)-MATCH($F$1,enemy_skill_triggers!$1:$1,0)+1),MATCH(M$1,enemy_skill_triggers!$1:$1,0)-MATCH($F$1,enemy_skill_triggers!$1:$1,0)+1,FALSE)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7" s="44" t="str">
        <f ca="1">VLOOKUP($F77,OFFSET(enemy_skill_triggers!$A$1,0,0,COUNTA(enemy_skill_triggers!$A:$A),MATCH(N$1,enemy_skill_triggers!$1:$1,0)-MATCH($F$1,enemy_skill_triggers!$1:$1,0)+1),MATCH(N$1,enemy_skill_triggers!$1:$1,0)-MATCH($F$1,enemy_skill_triggers!$1:$1,0)+1,FALSE)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7" s="44">
        <f ca="1">VLOOKUP($F77,OFFSET(enemy_skill_triggers!$A$1,0,0,COUNTA(enemy_skill_triggers!$A:$A),MATCH(O$1,enemy_skill_triggers!$1:$1,0)-MATCH($F$1,enemy_skill_triggers!$1:$1,0)+1),MATCH(O$1,enemy_skill_triggers!$1:$1,0)-MATCH($F$1,enemy_skill_triggers!$1:$1,0)+1,FALSE)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77" s="43"/>
      <c r="Q77" s="43"/>
      <c r="R77" s="172"/>
    </row>
    <row r="78" spans="1:18" ht="21" customHeight="1" thickBot="1" x14ac:dyDescent="0.2">
      <c r="A78" s="39" t="str">
        <f t="shared" si="5"/>
        <v>40034009_40034341</v>
      </c>
      <c r="B78" s="123">
        <v>40034009</v>
      </c>
      <c r="C78" s="43">
        <v>40034341</v>
      </c>
      <c r="D78" s="42" t="str">
        <f ca="1">VLOOKUP($C78,OFFSET(enemy_skills!$A$1,0,0,COUNTA(enemy_skills!$A:$A),MATCH(D$1,enemy_skills!$1:$1,0)-MATCH("enemy_skill_id",enemy_skills!$1:$1,0)+1),MATCH(D$1,enemy_skills!$1:$1,0)-MATCH("enemy_skill_id",enemy_skills!$1:$1,0)+1,FALSE)</f>
        <v>…綺麗にしましょうね…</v>
      </c>
      <c r="E78" s="42" t="str">
        <f ca="1">VLOOKUP($C78,OFFSET(enemy_skills!$A$1,0,0,COUNTA(enemy_skills!$A:$A),MATCH(E$1,enemy_skills!$1:$1,0)-MATCH("enemy_skill_id",enemy_skills!$1:$1,0)+1),MATCH(E$1,enemy_skills!$1:$1,0)-MATCH("enemy_skill_id",enemy_skills!$1:$1,0)+1,FALSE)</f>
        <v>お邪魔パネルを吸収して全体攻撃</v>
      </c>
      <c r="F78" s="43">
        <v>40034651</v>
      </c>
      <c r="G78" s="44">
        <f ca="1">VLOOKUP($F78,OFFSET(enemy_skill_triggers!$A$1,0,0,COUNTA(enemy_skill_triggers!$A:$A),MATCH(G$1,enemy_skill_triggers!$1:$1,0)-MATCH($F$1,enemy_skill_triggers!$1:$1,0)+1),MATCH(G$1,enemy_skill_triggers!$1:$1,0)-MATCH($F$1,enemy_skill_triggers!$1:$1,0)+1,FALSE)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8" s="44">
        <f ca="1">VLOOKUP($F78,OFFSET(enemy_skill_triggers!$A$1,0,0,COUNTA(enemy_skill_triggers!$A:$A),MATCH(H$1,enemy_skill_triggers!$1:$1,0)-MATCH($F$1,enemy_skill_triggers!$1:$1,0)+1),MATCH(H$1,enemy_skill_triggers!$1:$1,0)-MATCH($F$1,enemy_skill_triggers!$1:$1,0)+1,FALSE)</f>
        <v>70</v>
      </c>
      <c r="I78" s="44">
        <f ca="1">VLOOKUP($F78,OFFSET(enemy_skill_triggers!$A$1,0,0,COUNTA(enemy_skill_triggers!$A:$A),MATCH(I$1,enemy_skill_triggers!$1:$1,0)-MATCH($F$1,enemy_skill_triggers!$1:$1,0)+1),MATCH(I$1,enemy_skill_triggers!$1:$1,0)-MATCH($F$1,enemy_skill_triggers!$1:$1,0)+1,FALSE)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78" s="44" t="str">
        <f ca="1">VLOOKUP($F78,OFFSET(enemy_skill_triggers!$A$1,0,0,COUNTA(enemy_skill_triggers!$A:$A),MATCH(J$1,enemy_skill_triggers!$1:$1,0)-MATCH($F$1,enemy_skill_triggers!$1:$1,0)+1),MATCH(J$1,enemy_skill_triggers!$1:$1,0)-MATCH($F$1,enemy_skill_triggers!$1:$1,0)+1,FALSE)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8" s="44" t="str">
        <f ca="1">VLOOKUP($F78,OFFSET(enemy_skill_triggers!$A$1,0,0,COUNTA(enemy_skill_triggers!$A:$A),MATCH(K$1,enemy_skill_triggers!$1:$1,0)-MATCH($F$1,enemy_skill_triggers!$1:$1,0)+1),MATCH(K$1,enemy_skill_triggers!$1:$1,0)-MATCH($F$1,enemy_skill_triggers!$1:$1,0)+1,FALSE)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8" s="44" t="str">
        <f ca="1">VLOOKUP($F78,OFFSET(enemy_skill_triggers!$A$1,0,0,COUNTA(enemy_skill_triggers!$A:$A),MATCH(L$1,enemy_skill_triggers!$1:$1,0)-MATCH($F$1,enemy_skill_triggers!$1:$1,0)+1),MATCH(L$1,enemy_skill_triggers!$1:$1,0)-MATCH($F$1,enemy_skill_triggers!$1:$1,0)+1,FALSE)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78" s="44" t="str">
        <f ca="1">VLOOKUP($F78,OFFSET(enemy_skill_triggers!$A$1,0,0,COUNTA(enemy_skill_triggers!$A:$A),MATCH(M$1,enemy_skill_triggers!$1:$1,0)-MATCH($F$1,enemy_skill_triggers!$1:$1,0)+1),MATCH(M$1,enemy_skill_triggers!$1:$1,0)-MATCH($F$1,enemy_skill_triggers!$1:$1,0)+1,FALSE)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8" s="44" t="str">
        <f ca="1">VLOOKUP($F78,OFFSET(enemy_skill_triggers!$A$1,0,0,COUNTA(enemy_skill_triggers!$A:$A),MATCH(N$1,enemy_skill_triggers!$1:$1,0)-MATCH($F$1,enemy_skill_triggers!$1:$1,0)+1),MATCH(N$1,enemy_skill_triggers!$1:$1,0)-MATCH($F$1,enemy_skill_triggers!$1:$1,0)+1,FALSE)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8" s="44">
        <f ca="1">VLOOKUP($F78,OFFSET(enemy_skill_triggers!$A$1,0,0,COUNTA(enemy_skill_triggers!$A:$A),MATCH(O$1,enemy_skill_triggers!$1:$1,0)-MATCH($F$1,enemy_skill_triggers!$1:$1,0)+1),MATCH(O$1,enemy_skill_triggers!$1:$1,0)-MATCH($F$1,enemy_skill_triggers!$1:$1,0)+1,FALSE)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78" s="43"/>
      <c r="Q78" s="43"/>
      <c r="R78" s="172"/>
    </row>
    <row r="79" spans="1:18" ht="21" customHeight="1" thickBot="1" x14ac:dyDescent="0.2">
      <c r="A79" s="39" t="str">
        <f t="shared" si="5"/>
        <v>40034009_40034342</v>
      </c>
      <c r="B79" s="123">
        <v>40034009</v>
      </c>
      <c r="C79" s="43">
        <v>40034342</v>
      </c>
      <c r="D79" s="42" t="str">
        <f ca="1">VLOOKUP($C79,OFFSET(enemy_skills!$A$1,0,0,COUNTA(enemy_skills!$A:$A),MATCH(D$1,enemy_skills!$1:$1,0)-MATCH("enemy_skill_id",enemy_skills!$1:$1,0)+1),MATCH(D$1,enemy_skills!$1:$1,0)-MATCH("enemy_skill_id",enemy_skills!$1:$1,0)+1,FALSE)</f>
        <v>溜め込むと…痛い…</v>
      </c>
      <c r="E79" s="42" t="str">
        <f ca="1">VLOOKUP($C79,OFFSET(enemy_skills!$A$1,0,0,COUNTA(enemy_skills!$A:$A),MATCH(E$1,enemy_skills!$1:$1,0)-MATCH("enemy_skill_id",enemy_skills!$1:$1,0)+1),MATCH(E$1,enemy_skills!$1:$1,0)-MATCH("enemy_skill_id",enemy_skills!$1:$1,0)+1,FALSE)</f>
        <v>パネルをランダムに1個ダメージパネルに変換</v>
      </c>
      <c r="F79" s="43">
        <v>40034652</v>
      </c>
      <c r="G79" s="44">
        <f ca="1">VLOOKUP($F79,OFFSET(enemy_skill_triggers!$A$1,0,0,COUNTA(enemy_skill_triggers!$A:$A),MATCH(G$1,enemy_skill_triggers!$1:$1,0)-MATCH($F$1,enemy_skill_triggers!$1:$1,0)+1),MATCH(G$1,enemy_skill_triggers!$1:$1,0)-MATCH($F$1,enemy_skill_triggers!$1:$1,0)+1,FALSE)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79" s="44">
        <f ca="1">VLOOKUP($F79,OFFSET(enemy_skill_triggers!$A$1,0,0,COUNTA(enemy_skill_triggers!$A:$A),MATCH(H$1,enemy_skill_triggers!$1:$1,0)-MATCH($F$1,enemy_skill_triggers!$1:$1,0)+1),MATCH(H$1,enemy_skill_triggers!$1:$1,0)-MATCH($F$1,enemy_skill_triggers!$1:$1,0)+1,FALSE)</f>
        <v>60</v>
      </c>
      <c r="I79" s="44">
        <f ca="1">VLOOKUP($F79,OFFSET(enemy_skill_triggers!$A$1,0,0,COUNTA(enemy_skill_triggers!$A:$A),MATCH(I$1,enemy_skill_triggers!$1:$1,0)-MATCH($F$1,enemy_skill_triggers!$1:$1,0)+1),MATCH(I$1,enemy_skill_triggers!$1:$1,0)-MATCH($F$1,enemy_skill_triggers!$1:$1,0)+1,FALSE)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79" s="44" t="str">
        <f ca="1">VLOOKUP($F79,OFFSET(enemy_skill_triggers!$A$1,0,0,COUNTA(enemy_skill_triggers!$A:$A),MATCH(J$1,enemy_skill_triggers!$1:$1,0)-MATCH($F$1,enemy_skill_triggers!$1:$1,0)+1),MATCH(J$1,enemy_skill_triggers!$1:$1,0)-MATCH($F$1,enemy_skill_triggers!$1:$1,0)+1,FALSE)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79" s="44" t="str">
        <f ca="1">VLOOKUP($F79,OFFSET(enemy_skill_triggers!$A$1,0,0,COUNTA(enemy_skill_triggers!$A:$A),MATCH(K$1,enemy_skill_triggers!$1:$1,0)-MATCH($F$1,enemy_skill_triggers!$1:$1,0)+1),MATCH(K$1,enemy_skill_triggers!$1:$1,0)-MATCH($F$1,enemy_skill_triggers!$1:$1,0)+1,FALSE)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79" s="44">
        <f ca="1">VLOOKUP($F79,OFFSET(enemy_skill_triggers!$A$1,0,0,COUNTA(enemy_skill_triggers!$A:$A),MATCH(L$1,enemy_skill_triggers!$1:$1,0)-MATCH($F$1,enemy_skill_triggers!$1:$1,0)+1),MATCH(L$1,enemy_skill_triggers!$1:$1,0)-MATCH($F$1,enemy_skill_triggers!$1:$1,0)+1,FALSE)</f>
        <v>5</v>
      </c>
      <c r="M79" s="44" t="str">
        <f ca="1">VLOOKUP($F79,OFFSET(enemy_skill_triggers!$A$1,0,0,COUNTA(enemy_skill_triggers!$A:$A),MATCH(M$1,enemy_skill_triggers!$1:$1,0)-MATCH($F$1,enemy_skill_triggers!$1:$1,0)+1),MATCH(M$1,enemy_skill_triggers!$1:$1,0)-MATCH($F$1,enemy_skill_triggers!$1:$1,0)+1,FALSE)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79" s="44" t="str">
        <f ca="1">VLOOKUP($F79,OFFSET(enemy_skill_triggers!$A$1,0,0,COUNTA(enemy_skill_triggers!$A:$A),MATCH(N$1,enemy_skill_triggers!$1:$1,0)-MATCH($F$1,enemy_skill_triggers!$1:$1,0)+1),MATCH(N$1,enemy_skill_triggers!$1:$1,0)-MATCH($F$1,enemy_skill_triggers!$1:$1,0)+1,FALSE)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79" s="44">
        <f ca="1">VLOOKUP($F79,OFFSET(enemy_skill_triggers!$A$1,0,0,COUNTA(enemy_skill_triggers!$A:$A),MATCH(O$1,enemy_skill_triggers!$1:$1,0)-MATCH($F$1,enemy_skill_triggers!$1:$1,0)+1),MATCH(O$1,enemy_skill_triggers!$1:$1,0)-MATCH($F$1,enemy_skill_triggers!$1:$1,0)+1,FALSE)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79" s="43"/>
      <c r="Q79" s="43"/>
      <c r="R79" s="172"/>
    </row>
    <row r="80" spans="1:18" ht="21" customHeight="1" thickBot="1" x14ac:dyDescent="0.2">
      <c r="A80" s="39" t="str">
        <f t="shared" si="5"/>
        <v>40034009_40034343</v>
      </c>
      <c r="B80" s="123">
        <v>40034009</v>
      </c>
      <c r="C80" s="43">
        <v>40034343</v>
      </c>
      <c r="D80" s="42" t="str">
        <f ca="1">VLOOKUP($C80,OFFSET(enemy_skills!$A$1,0,0,COUNTA(enemy_skills!$A:$A),MATCH(D$1,enemy_skills!$1:$1,0)-MATCH("enemy_skill_id",enemy_skills!$1:$1,0)+1),MATCH(D$1,enemy_skills!$1:$1,0)-MATCH("enemy_skill_id",enemy_skills!$1:$1,0)+1,FALSE)</f>
        <v>まだ…これからよ…</v>
      </c>
      <c r="E80" s="42" t="str">
        <f ca="1">VLOOKUP($C80,OFFSET(enemy_skills!$A$1,0,0,COUNTA(enemy_skills!$A:$A),MATCH(E$1,enemy_skills!$1:$1,0)-MATCH("enemy_skill_id",enemy_skills!$1:$1,0)+1),MATCH(E$1,enemy_skills!$1:$1,0)-MATCH("enemy_skill_id",enemy_skills!$1:$1,0)+1,FALSE)</f>
        <v>行動頻度UP</v>
      </c>
      <c r="F80" s="43">
        <v>40034653</v>
      </c>
      <c r="G80" s="44">
        <f ca="1">VLOOKUP($F80,OFFSET(enemy_skill_triggers!$A$1,0,0,COUNTA(enemy_skill_triggers!$A:$A),MATCH(G$1,enemy_skill_triggers!$1:$1,0)-MATCH($F$1,enemy_skill_triggers!$1:$1,0)+1),MATCH(G$1,enemy_skill_triggers!$1:$1,0)-MATCH($F$1,enemy_skill_triggers!$1:$1,0)+1,FALSE)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0" s="44">
        <f ca="1">VLOOKUP($F80,OFFSET(enemy_skill_triggers!$A$1,0,0,COUNTA(enemy_skill_triggers!$A:$A),MATCH(H$1,enemy_skill_triggers!$1:$1,0)-MATCH($F$1,enemy_skill_triggers!$1:$1,0)+1),MATCH(H$1,enemy_skill_triggers!$1:$1,0)-MATCH($F$1,enemy_skill_triggers!$1:$1,0)+1,FALSE)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80" s="44">
        <f ca="1">VLOOKUP($F80,OFFSET(enemy_skill_triggers!$A$1,0,0,COUNTA(enemy_skill_triggers!$A:$A),MATCH(I$1,enemy_skill_triggers!$1:$1,0)-MATCH($F$1,enemy_skill_triggers!$1:$1,0)+1),MATCH(I$1,enemy_skill_triggers!$1:$1,0)-MATCH($F$1,enemy_skill_triggers!$1:$1,0)+1,FALSE)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0" s="44">
        <f ca="1">VLOOKUP($F80,OFFSET(enemy_skill_triggers!$A$1,0,0,COUNTA(enemy_skill_triggers!$A:$A),MATCH(J$1,enemy_skill_triggers!$1:$1,0)-MATCH($F$1,enemy_skill_triggers!$1:$1,0)+1),MATCH(J$1,enemy_skill_triggers!$1:$1,0)-MATCH($F$1,enemy_skill_triggers!$1:$1,0)+1,FALSE)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0" s="44" t="str">
        <f ca="1">VLOOKUP($F80,OFFSET(enemy_skill_triggers!$A$1,0,0,COUNTA(enemy_skill_triggers!$A:$A),MATCH(K$1,enemy_skill_triggers!$1:$1,0)-MATCH($F$1,enemy_skill_triggers!$1:$1,0)+1),MATCH(K$1,enemy_skill_triggers!$1:$1,0)-MATCH($F$1,enemy_skill_triggers!$1:$1,0)+1,FALSE)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0" s="44">
        <f ca="1">VLOOKUP($F80,OFFSET(enemy_skill_triggers!$A$1,0,0,COUNTA(enemy_skill_triggers!$A:$A),MATCH(L$1,enemy_skill_triggers!$1:$1,0)-MATCH($F$1,enemy_skill_triggers!$1:$1,0)+1),MATCH(L$1,enemy_skill_triggers!$1:$1,0)-MATCH($F$1,enemy_skill_triggers!$1:$1,0)+1,FALSE)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0" s="44" t="str">
        <f ca="1">VLOOKUP($F80,OFFSET(enemy_skill_triggers!$A$1,0,0,COUNTA(enemy_skill_triggers!$A:$A),MATCH(M$1,enemy_skill_triggers!$1:$1,0)-MATCH($F$1,enemy_skill_triggers!$1:$1,0)+1),MATCH(M$1,enemy_skill_triggers!$1:$1,0)-MATCH($F$1,enemy_skill_triggers!$1:$1,0)+1,FALSE)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0" s="44" t="str">
        <f ca="1">VLOOKUP($F80,OFFSET(enemy_skill_triggers!$A$1,0,0,COUNTA(enemy_skill_triggers!$A:$A),MATCH(N$1,enemy_skill_triggers!$1:$1,0)-MATCH($F$1,enemy_skill_triggers!$1:$1,0)+1),MATCH(N$1,enemy_skill_triggers!$1:$1,0)-MATCH($F$1,enemy_skill_triggers!$1:$1,0)+1,FALSE)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0" s="44">
        <f ca="1">VLOOKUP($F80,OFFSET(enemy_skill_triggers!$A$1,0,0,COUNTA(enemy_skill_triggers!$A:$A),MATCH(O$1,enemy_skill_triggers!$1:$1,0)-MATCH($F$1,enemy_skill_triggers!$1:$1,0)+1),MATCH(O$1,enemy_skill_triggers!$1:$1,0)-MATCH($F$1,enemy_skill_triggers!$1:$1,0)+1,FALSE)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0" s="43"/>
      <c r="Q80" s="43"/>
      <c r="R80" s="172"/>
    </row>
    <row r="81" spans="1:18" ht="21" customHeight="1" thickBot="1" x14ac:dyDescent="0.2">
      <c r="A81" s="39" t="str">
        <f t="shared" si="5"/>
        <v>40034009_40034344</v>
      </c>
      <c r="B81" s="123">
        <v>40034009</v>
      </c>
      <c r="C81" s="132">
        <v>40034344</v>
      </c>
      <c r="D81" s="169" t="str">
        <f ca="1">VLOOKUP($C81,OFFSET(enemy_skills!$A$1,0,0,COUNTA(enemy_skills!$A:$A),MATCH(D$1,enemy_skills!$1:$1,0)-MATCH("enemy_skill_id",enemy_skills!$1:$1,0)+1),MATCH(D$1,enemy_skills!$1:$1,0)-MATCH("enemy_skill_id",enemy_skills!$1:$1,0)+1,FALSE)</f>
        <v>エクセキューション</v>
      </c>
      <c r="E81" s="169" t="str">
        <f ca="1">VLOOKUP($C81,OFFSET(enemy_skills!$A$1,0,0,COUNTA(enemy_skills!$A:$A),MATCH(E$1,enemy_skills!$1:$1,0)-MATCH("enemy_skill_id",enemy_skills!$1:$1,0)+1),MATCH(E$1,enemy_skills!$1:$1,0)-MATCH("enemy_skill_id",enemy_skills!$1:$1,0)+1,FALSE)</f>
        <v>連続攻撃</v>
      </c>
      <c r="F81" s="132">
        <v>40034654</v>
      </c>
      <c r="G81" s="136">
        <f ca="1">VLOOKUP($F81,OFFSET(enemy_skill_triggers!$A$1,0,0,COUNTA(enemy_skill_triggers!$A:$A),MATCH(G$1,enemy_skill_triggers!$1:$1,0)-MATCH($F$1,enemy_skill_triggers!$1:$1,0)+1),MATCH(G$1,enemy_skill_triggers!$1:$1,0)-MATCH($F$1,enemy_skill_triggers!$1:$1,0)+1,FALSE)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1" s="136">
        <f ca="1">VLOOKUP($F81,OFFSET(enemy_skill_triggers!$A$1,0,0,COUNTA(enemy_skill_triggers!$A:$A),MATCH(H$1,enemy_skill_triggers!$1:$1,0)-MATCH($F$1,enemy_skill_triggers!$1:$1,0)+1),MATCH(H$1,enemy_skill_triggers!$1:$1,0)-MATCH($F$1,enemy_skill_triggers!$1:$1,0)+1,FALSE)</f>
        <v>40</v>
      </c>
      <c r="I81" s="136">
        <f ca="1">VLOOKUP($F81,OFFSET(enemy_skill_triggers!$A$1,0,0,COUNTA(enemy_skill_triggers!$A:$A),MATCH(I$1,enemy_skill_triggers!$1:$1,0)-MATCH($F$1,enemy_skill_triggers!$1:$1,0)+1),MATCH(I$1,enemy_skill_triggers!$1:$1,0)-MATCH($F$1,enemy_skill_triggers!$1:$1,0)+1,FALSE)</f>
        <v>80</v>
      </c>
      <c r="J81" s="136" t="str">
        <f ca="1">VLOOKUP($F81,OFFSET(enemy_skill_triggers!$A$1,0,0,COUNTA(enemy_skill_triggers!$A:$A),MATCH(J$1,enemy_skill_triggers!$1:$1,0)-MATCH($F$1,enemy_skill_triggers!$1:$1,0)+1),MATCH(J$1,enemy_skill_triggers!$1:$1,0)-MATCH($F$1,enemy_skill_triggers!$1:$1,0)+1,FALSE)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1" s="136" t="str">
        <f ca="1">VLOOKUP($F81,OFFSET(enemy_skill_triggers!$A$1,0,0,COUNTA(enemy_skill_triggers!$A:$A),MATCH(K$1,enemy_skill_triggers!$1:$1,0)-MATCH($F$1,enemy_skill_triggers!$1:$1,0)+1),MATCH(K$1,enemy_skill_triggers!$1:$1,0)-MATCH($F$1,enemy_skill_triggers!$1:$1,0)+1,FALSE)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1" s="136" t="str">
        <f ca="1">VLOOKUP($F81,OFFSET(enemy_skill_triggers!$A$1,0,0,COUNTA(enemy_skill_triggers!$A:$A),MATCH(L$1,enemy_skill_triggers!$1:$1,0)-MATCH($F$1,enemy_skill_triggers!$1:$1,0)+1),MATCH(L$1,enemy_skill_triggers!$1:$1,0)-MATCH($F$1,enemy_skill_triggers!$1:$1,0)+1,FALSE)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1" s="136" t="str">
        <f ca="1">VLOOKUP($F81,OFFSET(enemy_skill_triggers!$A$1,0,0,COUNTA(enemy_skill_triggers!$A:$A),MATCH(M$1,enemy_skill_triggers!$1:$1,0)-MATCH($F$1,enemy_skill_triggers!$1:$1,0)+1),MATCH(M$1,enemy_skill_triggers!$1:$1,0)-MATCH($F$1,enemy_skill_triggers!$1:$1,0)+1,FALSE)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1" s="136" t="str">
        <f ca="1">VLOOKUP($F81,OFFSET(enemy_skill_triggers!$A$1,0,0,COUNTA(enemy_skill_triggers!$A:$A),MATCH(N$1,enemy_skill_triggers!$1:$1,0)-MATCH($F$1,enemy_skill_triggers!$1:$1,0)+1),MATCH(N$1,enemy_skill_triggers!$1:$1,0)-MATCH($F$1,enemy_skill_triggers!$1:$1,0)+1,FALSE)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1" s="136">
        <f ca="1">VLOOKUP($F81,OFFSET(enemy_skill_triggers!$A$1,0,0,COUNTA(enemy_skill_triggers!$A:$A),MATCH(O$1,enemy_skill_triggers!$1:$1,0)-MATCH($F$1,enemy_skill_triggers!$1:$1,0)+1),MATCH(O$1,enemy_skill_triggers!$1:$1,0)-MATCH($F$1,enemy_skill_triggers!$1:$1,0)+1,FALSE)</f>
        <v>80</v>
      </c>
      <c r="P81" s="132"/>
      <c r="Q81" s="132"/>
      <c r="R81" s="170"/>
    </row>
    <row r="82" spans="1:18" ht="21" customHeight="1" thickBot="1" x14ac:dyDescent="0.2">
      <c r="A82" s="39" t="str">
        <f t="shared" si="5"/>
        <v>40034010_40034345</v>
      </c>
      <c r="B82" s="123">
        <v>40034010</v>
      </c>
      <c r="C82" s="124">
        <v>40034345</v>
      </c>
      <c r="D82" s="166" t="str">
        <f ca="1">VLOOKUP($C82,OFFSET(enemy_skills!$A$1,0,0,COUNTA(enemy_skills!$A:$A),MATCH(D$1,enemy_skills!$1:$1,0)-MATCH("enemy_skill_id",enemy_skills!$1:$1,0)+1),MATCH(D$1,enemy_skills!$1:$1,0)-MATCH("enemy_skill_id",enemy_skills!$1:$1,0)+1,FALSE)</f>
        <v>シヴァ様の隣は渡さない…！</v>
      </c>
      <c r="E82" s="166" t="str">
        <f ca="1">VLOOKUP($C82,OFFSET(enemy_skills!$A$1,0,0,COUNTA(enemy_skills!$A:$A),MATCH(E$1,enemy_skills!$1:$1,0)-MATCH("enemy_skill_id",enemy_skills!$1:$1,0)+1),MATCH(E$1,enemy_skills!$1:$1,0)-MATCH("enemy_skill_id",enemy_skills!$1:$1,0)+1,FALSE)</f>
        <v>ハートパネルを1個ダメージパネルに変換_x000D_+状態異常無効</v>
      </c>
      <c r="F82" s="124">
        <v>40034655</v>
      </c>
      <c r="G82" s="128">
        <f ca="1">VLOOKUP($F82,OFFSET(enemy_skill_triggers!$A$1,0,0,COUNTA(enemy_skill_triggers!$A:$A),MATCH(G$1,enemy_skill_triggers!$1:$1,0)-MATCH($F$1,enemy_skill_triggers!$1:$1,0)+1),MATCH(G$1,enemy_skill_triggers!$1:$1,0)-MATCH($F$1,enemy_skill_triggers!$1:$1,0)+1,FALSE)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82" s="128">
        <f ca="1">VLOOKUP($F82,OFFSET(enemy_skill_triggers!$A$1,0,0,COUNTA(enemy_skill_triggers!$A:$A),MATCH(H$1,enemy_skill_triggers!$1:$1,0)-MATCH($F$1,enemy_skill_triggers!$1:$1,0)+1),MATCH(H$1,enemy_skill_triggers!$1:$1,0)-MATCH($F$1,enemy_skill_triggers!$1:$1,0)+1,FALSE)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82" s="128">
        <f ca="1">VLOOKUP($F82,OFFSET(enemy_skill_triggers!$A$1,0,0,COUNTA(enemy_skill_triggers!$A:$A),MATCH(I$1,enemy_skill_triggers!$1:$1,0)-MATCH($F$1,enemy_skill_triggers!$1:$1,0)+1),MATCH(I$1,enemy_skill_triggers!$1:$1,0)-MATCH($F$1,enemy_skill_triggers!$1:$1,0)+1,FALSE)</f>
        <v>13</v>
      </c>
      <c r="J82" s="128" t="str">
        <f ca="1">VLOOKUP($F82,OFFSET(enemy_skill_triggers!$A$1,0,0,COUNTA(enemy_skill_triggers!$A:$A),MATCH(J$1,enemy_skill_triggers!$1:$1,0)-MATCH($F$1,enemy_skill_triggers!$1:$1,0)+1),MATCH(J$1,enemy_skill_triggers!$1:$1,0)-MATCH($F$1,enemy_skill_triggers!$1:$1,0)+1,FALSE)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2" s="128" t="str">
        <f ca="1">VLOOKUP($F82,OFFSET(enemy_skill_triggers!$A$1,0,0,COUNTA(enemy_skill_triggers!$A:$A),MATCH(K$1,enemy_skill_triggers!$1:$1,0)-MATCH($F$1,enemy_skill_triggers!$1:$1,0)+1),MATCH(K$1,enemy_skill_triggers!$1:$1,0)-MATCH($F$1,enemy_skill_triggers!$1:$1,0)+1,FALSE)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2" s="128">
        <f ca="1">VLOOKUP($F82,OFFSET(enemy_skill_triggers!$A$1,0,0,COUNTA(enemy_skill_triggers!$A:$A),MATCH(L$1,enemy_skill_triggers!$1:$1,0)-MATCH($F$1,enemy_skill_triggers!$1:$1,0)+1),MATCH(L$1,enemy_skill_triggers!$1:$1,0)-MATCH($F$1,enemy_skill_triggers!$1:$1,0)+1,FALSE)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2" s="128" t="str">
        <f ca="1">VLOOKUP($F82,OFFSET(enemy_skill_triggers!$A$1,0,0,COUNTA(enemy_skill_triggers!$A:$A),MATCH(M$1,enemy_skill_triggers!$1:$1,0)-MATCH($F$1,enemy_skill_triggers!$1:$1,0)+1),MATCH(M$1,enemy_skill_triggers!$1:$1,0)-MATCH($F$1,enemy_skill_triggers!$1:$1,0)+1,FALSE)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2" s="128" t="str">
        <f ca="1">VLOOKUP($F82,OFFSET(enemy_skill_triggers!$A$1,0,0,COUNTA(enemy_skill_triggers!$A:$A),MATCH(N$1,enemy_skill_triggers!$1:$1,0)-MATCH($F$1,enemy_skill_triggers!$1:$1,0)+1),MATCH(N$1,enemy_skill_triggers!$1:$1,0)-MATCH($F$1,enemy_skill_triggers!$1:$1,0)+1,FALSE)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2" s="128">
        <f ca="1">VLOOKUP($F82,OFFSET(enemy_skill_triggers!$A$1,0,0,COUNTA(enemy_skill_triggers!$A:$A),MATCH(O$1,enemy_skill_triggers!$1:$1,0)-MATCH($F$1,enemy_skill_triggers!$1:$1,0)+1),MATCH(O$1,enemy_skill_triggers!$1:$1,0)-MATCH($F$1,enemy_skill_triggers!$1:$1,0)+1,FALSE)</f>
        <v>13</v>
      </c>
      <c r="P82" s="124"/>
      <c r="Q82" s="124"/>
      <c r="R82" s="167"/>
    </row>
    <row r="83" spans="1:18" ht="21" customHeight="1" thickBot="1" x14ac:dyDescent="0.2">
      <c r="A83" s="39" t="str">
        <f t="shared" si="5"/>
        <v>40034010_40034346</v>
      </c>
      <c r="B83" s="123">
        <v>40034010</v>
      </c>
      <c r="C83" s="43">
        <v>40034346</v>
      </c>
      <c r="D83" s="42" t="str">
        <f ca="1">VLOOKUP($C83,OFFSET(enemy_skills!$A$1,0,0,COUNTA(enemy_skills!$A:$A),MATCH(D$1,enemy_skills!$1:$1,0)-MATCH("enemy_skill_id",enemy_skills!$1:$1,0)+1),MATCH(D$1,enemy_skills!$1:$1,0)-MATCH("enemy_skill_id",enemy_skills!$1:$1,0)+1,FALSE)</f>
        <v>ガベージデータ・クリア</v>
      </c>
      <c r="E83" s="42" t="str">
        <f ca="1">VLOOKUP($C83,OFFSET(enemy_skills!$A$1,0,0,COUNTA(enemy_skills!$A:$A),MATCH(E$1,enemy_skills!$1:$1,0)-MATCH("enemy_skill_id",enemy_skills!$1:$1,0)+1),MATCH(E$1,enemy_skills!$1:$1,0)-MATCH("enemy_skill_id",enemy_skills!$1:$1,0)+1,FALSE)</f>
        <v>お邪魔パネルを吸収して_x000D_攻撃力UP(最大10個)</v>
      </c>
      <c r="F83" s="43">
        <v>40034656</v>
      </c>
      <c r="G83" s="44">
        <f ca="1">VLOOKUP($F83,OFFSET(enemy_skill_triggers!$A$1,0,0,COUNTA(enemy_skill_triggers!$A:$A),MATCH(G$1,enemy_skill_triggers!$1:$1,0)-MATCH($F$1,enemy_skill_triggers!$1:$1,0)+1),MATCH(G$1,enemy_skill_triggers!$1:$1,0)-MATCH($F$1,enemy_skill_triggers!$1:$1,0)+1,FALSE)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3" s="44">
        <f ca="1">VLOOKUP($F83,OFFSET(enemy_skill_triggers!$A$1,0,0,COUNTA(enemy_skill_triggers!$A:$A),MATCH(H$1,enemy_skill_triggers!$1:$1,0)-MATCH($F$1,enemy_skill_triggers!$1:$1,0)+1),MATCH(H$1,enemy_skill_triggers!$1:$1,0)-MATCH($F$1,enemy_skill_triggers!$1:$1,0)+1,FALSE)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83" s="44">
        <f ca="1">VLOOKUP($F83,OFFSET(enemy_skill_triggers!$A$1,0,0,COUNTA(enemy_skill_triggers!$A:$A),MATCH(I$1,enemy_skill_triggers!$1:$1,0)-MATCH($F$1,enemy_skill_triggers!$1:$1,0)+1),MATCH(I$1,enemy_skill_triggers!$1:$1,0)-MATCH($F$1,enemy_skill_triggers!$1:$1,0)+1,FALSE)</f>
        <v>14</v>
      </c>
      <c r="J83" s="44">
        <f ca="1">VLOOKUP($F83,OFFSET(enemy_skill_triggers!$A$1,0,0,COUNTA(enemy_skill_triggers!$A:$A),MATCH(J$1,enemy_skill_triggers!$1:$1,0)-MATCH($F$1,enemy_skill_triggers!$1:$1,0)+1),MATCH(J$1,enemy_skill_triggers!$1:$1,0)-MATCH($F$1,enemy_skill_triggers!$1:$1,0)+1,FALSE)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3" s="44" t="str">
        <f ca="1">VLOOKUP($F83,OFFSET(enemy_skill_triggers!$A$1,0,0,COUNTA(enemy_skill_triggers!$A:$A),MATCH(K$1,enemy_skill_triggers!$1:$1,0)-MATCH($F$1,enemy_skill_triggers!$1:$1,0)+1),MATCH(K$1,enemy_skill_triggers!$1:$1,0)-MATCH($F$1,enemy_skill_triggers!$1:$1,0)+1,FALSE)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3" s="44">
        <f ca="1">VLOOKUP($F83,OFFSET(enemy_skill_triggers!$A$1,0,0,COUNTA(enemy_skill_triggers!$A:$A),MATCH(L$1,enemy_skill_triggers!$1:$1,0)-MATCH($F$1,enemy_skill_triggers!$1:$1,0)+1),MATCH(L$1,enemy_skill_triggers!$1:$1,0)-MATCH($F$1,enemy_skill_triggers!$1:$1,0)+1,FALSE)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3" s="44" t="str">
        <f ca="1">VLOOKUP($F83,OFFSET(enemy_skill_triggers!$A$1,0,0,COUNTA(enemy_skill_triggers!$A:$A),MATCH(M$1,enemy_skill_triggers!$1:$1,0)-MATCH($F$1,enemy_skill_triggers!$1:$1,0)+1),MATCH(M$1,enemy_skill_triggers!$1:$1,0)-MATCH($F$1,enemy_skill_triggers!$1:$1,0)+1,FALSE)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3" s="44" t="str">
        <f ca="1">VLOOKUP($F83,OFFSET(enemy_skill_triggers!$A$1,0,0,COUNTA(enemy_skill_triggers!$A:$A),MATCH(N$1,enemy_skill_triggers!$1:$1,0)-MATCH($F$1,enemy_skill_triggers!$1:$1,0)+1),MATCH(N$1,enemy_skill_triggers!$1:$1,0)-MATCH($F$1,enemy_skill_triggers!$1:$1,0)+1,FALSE)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3" s="44">
        <f ca="1">VLOOKUP($F83,OFFSET(enemy_skill_triggers!$A$1,0,0,COUNTA(enemy_skill_triggers!$A:$A),MATCH(O$1,enemy_skill_triggers!$1:$1,0)-MATCH($F$1,enemy_skill_triggers!$1:$1,0)+1),MATCH(O$1,enemy_skill_triggers!$1:$1,0)-MATCH($F$1,enemy_skill_triggers!$1:$1,0)+1,FALSE)</f>
        <v>14</v>
      </c>
      <c r="P83" s="43"/>
      <c r="Q83" s="43"/>
      <c r="R83" s="172"/>
    </row>
    <row r="84" spans="1:18" ht="21" customHeight="1" thickBot="1" x14ac:dyDescent="0.2">
      <c r="A84" s="39" t="str">
        <f t="shared" si="5"/>
        <v>40034010_40034347</v>
      </c>
      <c r="B84" s="123">
        <v>40034010</v>
      </c>
      <c r="C84" s="43">
        <v>40034347</v>
      </c>
      <c r="D84" s="42" t="str">
        <f ca="1">VLOOKUP($C84,OFFSET(enemy_skills!$A$1,0,0,COUNTA(enemy_skills!$A:$A),MATCH(D$1,enemy_skills!$1:$1,0)-MATCH("enemy_skill_id",enemy_skills!$1:$1,0)+1),MATCH(D$1,enemy_skills!$1:$1,0)-MATCH("enemy_skill_id",enemy_skills!$1:$1,0)+1,FALSE)</f>
        <v>コレクト・ラブハート</v>
      </c>
      <c r="E84" s="42" t="str">
        <f ca="1">VLOOKUP($C84,OFFSET(enemy_skills!$A$1,0,0,COUNTA(enemy_skills!$A:$A),MATCH(E$1,enemy_skills!$1:$1,0)-MATCH("enemy_skill_id",enemy_skills!$1:$1,0)+1),MATCH(E$1,enemy_skills!$1:$1,0)-MATCH("enemy_skill_id",enemy_skills!$1:$1,0)+1,FALSE)</f>
        <v>ハートパネルを吸収して回復_x000D_+単体攻撃</v>
      </c>
      <c r="F84" s="43">
        <v>40034657</v>
      </c>
      <c r="G84" s="44">
        <f ca="1">VLOOKUP($F84,OFFSET(enemy_skill_triggers!$A$1,0,0,COUNTA(enemy_skill_triggers!$A:$A),MATCH(G$1,enemy_skill_triggers!$1:$1,0)-MATCH($F$1,enemy_skill_triggers!$1:$1,0)+1),MATCH(G$1,enemy_skill_triggers!$1:$1,0)-MATCH($F$1,enemy_skill_triggers!$1:$1,0)+1,FALSE)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4" s="44">
        <f ca="1">VLOOKUP($F84,OFFSET(enemy_skill_triggers!$A$1,0,0,COUNTA(enemy_skill_triggers!$A:$A),MATCH(H$1,enemy_skill_triggers!$1:$1,0)-MATCH($F$1,enemy_skill_triggers!$1:$1,0)+1),MATCH(H$1,enemy_skill_triggers!$1:$1,0)-MATCH($F$1,enemy_skill_triggers!$1:$1,0)+1,FALSE)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84" s="44">
        <f ca="1">VLOOKUP($F84,OFFSET(enemy_skill_triggers!$A$1,0,0,COUNTA(enemy_skill_triggers!$A:$A),MATCH(I$1,enemy_skill_triggers!$1:$1,0)-MATCH($F$1,enemy_skill_triggers!$1:$1,0)+1),MATCH(I$1,enemy_skill_triggers!$1:$1,0)-MATCH($F$1,enemy_skill_triggers!$1:$1,0)+1,FALSE)</f>
        <v>16</v>
      </c>
      <c r="J84" s="44" t="str">
        <f ca="1">VLOOKUP($F84,OFFSET(enemy_skill_triggers!$A$1,0,0,COUNTA(enemy_skill_triggers!$A:$A),MATCH(J$1,enemy_skill_triggers!$1:$1,0)-MATCH($F$1,enemy_skill_triggers!$1:$1,0)+1),MATCH(J$1,enemy_skill_triggers!$1:$1,0)-MATCH($F$1,enemy_skill_triggers!$1:$1,0)+1,FALSE)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4" s="44" t="str">
        <f ca="1">VLOOKUP($F84,OFFSET(enemy_skill_triggers!$A$1,0,0,COUNTA(enemy_skill_triggers!$A:$A),MATCH(K$1,enemy_skill_triggers!$1:$1,0)-MATCH($F$1,enemy_skill_triggers!$1:$1,0)+1),MATCH(K$1,enemy_skill_triggers!$1:$1,0)-MATCH($F$1,enemy_skill_triggers!$1:$1,0)+1,FALSE)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4" s="44" t="str">
        <f ca="1">VLOOKUP($F84,OFFSET(enemy_skill_triggers!$A$1,0,0,COUNTA(enemy_skill_triggers!$A:$A),MATCH(L$1,enemy_skill_triggers!$1:$1,0)-MATCH($F$1,enemy_skill_triggers!$1:$1,0)+1),MATCH(L$1,enemy_skill_triggers!$1:$1,0)-MATCH($F$1,enemy_skill_triggers!$1:$1,0)+1,FALSE)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4" s="44" t="str">
        <f ca="1">VLOOKUP($F84,OFFSET(enemy_skill_triggers!$A$1,0,0,COUNTA(enemy_skill_triggers!$A:$A),MATCH(M$1,enemy_skill_triggers!$1:$1,0)-MATCH($F$1,enemy_skill_triggers!$1:$1,0)+1),MATCH(M$1,enemy_skill_triggers!$1:$1,0)-MATCH($F$1,enemy_skill_triggers!$1:$1,0)+1,FALSE)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4" s="44" t="str">
        <f ca="1">VLOOKUP($F84,OFFSET(enemy_skill_triggers!$A$1,0,0,COUNTA(enemy_skill_triggers!$A:$A),MATCH(N$1,enemy_skill_triggers!$1:$1,0)-MATCH($F$1,enemy_skill_triggers!$1:$1,0)+1),MATCH(N$1,enemy_skill_triggers!$1:$1,0)-MATCH($F$1,enemy_skill_triggers!$1:$1,0)+1,FALSE)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4" s="44">
        <f ca="1">VLOOKUP($F84,OFFSET(enemy_skill_triggers!$A$1,0,0,COUNTA(enemy_skill_triggers!$A:$A),MATCH(O$1,enemy_skill_triggers!$1:$1,0)-MATCH($F$1,enemy_skill_triggers!$1:$1,0)+1),MATCH(O$1,enemy_skill_triggers!$1:$1,0)-MATCH($F$1,enemy_skill_triggers!$1:$1,0)+1,FALSE)</f>
        <v>16</v>
      </c>
      <c r="P84" s="43"/>
      <c r="Q84" s="43"/>
      <c r="R84" s="172"/>
    </row>
    <row r="85" spans="1:18" ht="21" customHeight="1" thickBot="1" x14ac:dyDescent="0.2">
      <c r="A85" s="39" t="str">
        <f t="shared" si="5"/>
        <v>40034010_40034348</v>
      </c>
      <c r="B85" s="123">
        <v>40034010</v>
      </c>
      <c r="C85" s="43">
        <v>40034348</v>
      </c>
      <c r="D85" s="42" t="str">
        <f ca="1">VLOOKUP($C85,OFFSET(enemy_skills!$A$1,0,0,COUNTA(enemy_skills!$A:$A),MATCH(D$1,enemy_skills!$1:$1,0)-MATCH("enemy_skill_id",enemy_skills!$1:$1,0)+1),MATCH(D$1,enemy_skills!$1:$1,0)-MATCH("enemy_skill_id",enemy_skills!$1:$1,0)+1,FALSE)</f>
        <v>ブースト・アタック</v>
      </c>
      <c r="E85" s="42" t="str">
        <f ca="1">VLOOKUP($C85,OFFSET(enemy_skills!$A$1,0,0,COUNTA(enemy_skills!$A:$A),MATCH(E$1,enemy_skills!$1:$1,0)-MATCH("enemy_skill_id",enemy_skills!$1:$1,0)+1),MATCH(E$1,enemy_skills!$1:$1,0)-MATCH("enemy_skill_id",enemy_skills!$1:$1,0)+1,FALSE)</f>
        <v>攻撃力UP_x000D_+単体攻撃</v>
      </c>
      <c r="F85" s="43">
        <v>40034658</v>
      </c>
      <c r="G85" s="44">
        <f ca="1">VLOOKUP($F85,OFFSET(enemy_skill_triggers!$A$1,0,0,COUNTA(enemy_skill_triggers!$A:$A),MATCH(G$1,enemy_skill_triggers!$1:$1,0)-MATCH($F$1,enemy_skill_triggers!$1:$1,0)+1),MATCH(G$1,enemy_skill_triggers!$1:$1,0)-MATCH($F$1,enemy_skill_triggers!$1:$1,0)+1,FALSE)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5" s="44">
        <f ca="1">VLOOKUP($F85,OFFSET(enemy_skill_triggers!$A$1,0,0,COUNTA(enemy_skill_triggers!$A:$A),MATCH(H$1,enemy_skill_triggers!$1:$1,0)-MATCH($F$1,enemy_skill_triggers!$1:$1,0)+1),MATCH(H$1,enemy_skill_triggers!$1:$1,0)-MATCH($F$1,enemy_skill_triggers!$1:$1,0)+1,FALSE)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85" s="44">
        <f ca="1">VLOOKUP($F85,OFFSET(enemy_skill_triggers!$A$1,0,0,COUNTA(enemy_skill_triggers!$A:$A),MATCH(I$1,enemy_skill_triggers!$1:$1,0)-MATCH($F$1,enemy_skill_triggers!$1:$1,0)+1),MATCH(I$1,enemy_skill_triggers!$1:$1,0)-MATCH($F$1,enemy_skill_triggers!$1:$1,0)+1,FALSE)</f>
        <v>20</v>
      </c>
      <c r="J85" s="44" t="str">
        <f ca="1">VLOOKUP($F85,OFFSET(enemy_skill_triggers!$A$1,0,0,COUNTA(enemy_skill_triggers!$A:$A),MATCH(J$1,enemy_skill_triggers!$1:$1,0)-MATCH($F$1,enemy_skill_triggers!$1:$1,0)+1),MATCH(J$1,enemy_skill_triggers!$1:$1,0)-MATCH($F$1,enemy_skill_triggers!$1:$1,0)+1,FALSE)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5" s="44" t="str">
        <f ca="1">VLOOKUP($F85,OFFSET(enemy_skill_triggers!$A$1,0,0,COUNTA(enemy_skill_triggers!$A:$A),MATCH(K$1,enemy_skill_triggers!$1:$1,0)-MATCH($F$1,enemy_skill_triggers!$1:$1,0)+1),MATCH(K$1,enemy_skill_triggers!$1:$1,0)-MATCH($F$1,enemy_skill_triggers!$1:$1,0)+1,FALSE)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5" s="44" t="str">
        <f ca="1">VLOOKUP($F85,OFFSET(enemy_skill_triggers!$A$1,0,0,COUNTA(enemy_skill_triggers!$A:$A),MATCH(L$1,enemy_skill_triggers!$1:$1,0)-MATCH($F$1,enemy_skill_triggers!$1:$1,0)+1),MATCH(L$1,enemy_skill_triggers!$1:$1,0)-MATCH($F$1,enemy_skill_triggers!$1:$1,0)+1,FALSE)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5" s="44" t="str">
        <f ca="1">VLOOKUP($F85,OFFSET(enemy_skill_triggers!$A$1,0,0,COUNTA(enemy_skill_triggers!$A:$A),MATCH(M$1,enemy_skill_triggers!$1:$1,0)-MATCH($F$1,enemy_skill_triggers!$1:$1,0)+1),MATCH(M$1,enemy_skill_triggers!$1:$1,0)-MATCH($F$1,enemy_skill_triggers!$1:$1,0)+1,FALSE)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5" s="44" t="str">
        <f ca="1">VLOOKUP($F85,OFFSET(enemy_skill_triggers!$A$1,0,0,COUNTA(enemy_skill_triggers!$A:$A),MATCH(N$1,enemy_skill_triggers!$1:$1,0)-MATCH($F$1,enemy_skill_triggers!$1:$1,0)+1),MATCH(N$1,enemy_skill_triggers!$1:$1,0)-MATCH($F$1,enemy_skill_triggers!$1:$1,0)+1,FALSE)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5" s="44">
        <f ca="1">VLOOKUP($F85,OFFSET(enemy_skill_triggers!$A$1,0,0,COUNTA(enemy_skill_triggers!$A:$A),MATCH(O$1,enemy_skill_triggers!$1:$1,0)-MATCH($F$1,enemy_skill_triggers!$1:$1,0)+1),MATCH(O$1,enemy_skill_triggers!$1:$1,0)-MATCH($F$1,enemy_skill_triggers!$1:$1,0)+1,FALSE)</f>
        <v>20</v>
      </c>
      <c r="P85" s="43"/>
      <c r="Q85" s="43"/>
      <c r="R85" s="172"/>
    </row>
    <row r="86" spans="1:18" ht="21" customHeight="1" thickBot="1" x14ac:dyDescent="0.2">
      <c r="A86" s="39" t="str">
        <f t="shared" si="5"/>
        <v>40034010_40034349</v>
      </c>
      <c r="B86" s="123">
        <v>40034010</v>
      </c>
      <c r="C86" s="43">
        <v>40034349</v>
      </c>
      <c r="D86" s="42" t="str">
        <f ca="1">VLOOKUP($C86,OFFSET(enemy_skills!$A$1,0,0,COUNTA(enemy_skills!$A:$A),MATCH(D$1,enemy_skills!$1:$1,0)-MATCH("enemy_skill_id",enemy_skills!$1:$1,0)+1),MATCH(D$1,enemy_skills!$1:$1,0)-MATCH("enemy_skill_id",enemy_skills!$1:$1,0)+1,FALSE)</f>
        <v>セット・ダメージ・ダブル</v>
      </c>
      <c r="E86" s="42" t="str">
        <f ca="1">VLOOKUP($C86,OFFSET(enemy_skills!$A$1,0,0,COUNTA(enemy_skills!$A:$A),MATCH(E$1,enemy_skills!$1:$1,0)-MATCH("enemy_skill_id",enemy_skills!$1:$1,0)+1),MATCH(E$1,enemy_skills!$1:$1,0)-MATCH("enemy_skill_id",enemy_skills!$1:$1,0)+1,FALSE)</f>
        <v>パネルをランダムに2個ダメージパネルに変換</v>
      </c>
      <c r="F86" s="43">
        <v>40034659</v>
      </c>
      <c r="G86" s="44">
        <f ca="1">VLOOKUP($F86,OFFSET(enemy_skill_triggers!$A$1,0,0,COUNTA(enemy_skill_triggers!$A:$A),MATCH(G$1,enemy_skill_triggers!$1:$1,0)-MATCH($F$1,enemy_skill_triggers!$1:$1,0)+1),MATCH(G$1,enemy_skill_triggers!$1:$1,0)-MATCH($F$1,enemy_skill_triggers!$1:$1,0)+1,FALSE)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6" s="44">
        <f ca="1">VLOOKUP($F86,OFFSET(enemy_skill_triggers!$A$1,0,0,COUNTA(enemy_skill_triggers!$A:$A),MATCH(H$1,enemy_skill_triggers!$1:$1,0)-MATCH($F$1,enemy_skill_triggers!$1:$1,0)+1),MATCH(H$1,enemy_skill_triggers!$1:$1,0)-MATCH($F$1,enemy_skill_triggers!$1:$1,0)+1,FALSE)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86" s="44">
        <f ca="1">VLOOKUP($F86,OFFSET(enemy_skill_triggers!$A$1,0,0,COUNTA(enemy_skill_triggers!$A:$A),MATCH(I$1,enemy_skill_triggers!$1:$1,0)-MATCH($F$1,enemy_skill_triggers!$1:$1,0)+1),MATCH(I$1,enemy_skill_triggers!$1:$1,0)-MATCH($F$1,enemy_skill_triggers!$1:$1,0)+1,FALSE)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86" s="44" t="str">
        <f ca="1">VLOOKUP($F86,OFFSET(enemy_skill_triggers!$A$1,0,0,COUNTA(enemy_skill_triggers!$A:$A),MATCH(J$1,enemy_skill_triggers!$1:$1,0)-MATCH($F$1,enemy_skill_triggers!$1:$1,0)+1),MATCH(J$1,enemy_skill_triggers!$1:$1,0)-MATCH($F$1,enemy_skill_triggers!$1:$1,0)+1,FALSE)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6" s="44" t="str">
        <f ca="1">VLOOKUP($F86,OFFSET(enemy_skill_triggers!$A$1,0,0,COUNTA(enemy_skill_triggers!$A:$A),MATCH(K$1,enemy_skill_triggers!$1:$1,0)-MATCH($F$1,enemy_skill_triggers!$1:$1,0)+1),MATCH(K$1,enemy_skill_triggers!$1:$1,0)-MATCH($F$1,enemy_skill_triggers!$1:$1,0)+1,FALSE)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6" s="44" t="str">
        <f ca="1">VLOOKUP($F86,OFFSET(enemy_skill_triggers!$A$1,0,0,COUNTA(enemy_skill_triggers!$A:$A),MATCH(L$1,enemy_skill_triggers!$1:$1,0)-MATCH($F$1,enemy_skill_triggers!$1:$1,0)+1),MATCH(L$1,enemy_skill_triggers!$1:$1,0)-MATCH($F$1,enemy_skill_triggers!$1:$1,0)+1,FALSE)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6" s="44" t="str">
        <f ca="1">VLOOKUP($F86,OFFSET(enemy_skill_triggers!$A$1,0,0,COUNTA(enemy_skill_triggers!$A:$A),MATCH(M$1,enemy_skill_triggers!$1:$1,0)-MATCH($F$1,enemy_skill_triggers!$1:$1,0)+1),MATCH(M$1,enemy_skill_triggers!$1:$1,0)-MATCH($F$1,enemy_skill_triggers!$1:$1,0)+1,FALSE)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6" s="44" t="str">
        <f ca="1">VLOOKUP($F86,OFFSET(enemy_skill_triggers!$A$1,0,0,COUNTA(enemy_skill_triggers!$A:$A),MATCH(N$1,enemy_skill_triggers!$1:$1,0)-MATCH($F$1,enemy_skill_triggers!$1:$1,0)+1),MATCH(N$1,enemy_skill_triggers!$1:$1,0)-MATCH($F$1,enemy_skill_triggers!$1:$1,0)+1,FALSE)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6" s="44">
        <f ca="1">VLOOKUP($F86,OFFSET(enemy_skill_triggers!$A$1,0,0,COUNTA(enemy_skill_triggers!$A:$A),MATCH(O$1,enemy_skill_triggers!$1:$1,0)-MATCH($F$1,enemy_skill_triggers!$1:$1,0)+1),MATCH(O$1,enemy_skill_triggers!$1:$1,0)-MATCH($F$1,enemy_skill_triggers!$1:$1,0)+1,FALSE)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86" s="43"/>
      <c r="Q86" s="43"/>
      <c r="R86" s="172"/>
    </row>
    <row r="87" spans="1:18" ht="21" customHeight="1" thickBot="1" x14ac:dyDescent="0.2">
      <c r="A87" s="39" t="str">
        <f t="shared" si="5"/>
        <v>40034010_40034350</v>
      </c>
      <c r="B87" s="123">
        <v>40034010</v>
      </c>
      <c r="C87" s="43">
        <v>40034350</v>
      </c>
      <c r="D87" s="42" t="str">
        <f ca="1">VLOOKUP($C87,OFFSET(enemy_skills!$A$1,0,0,COUNTA(enemy_skills!$A:$A),MATCH(D$1,enemy_skills!$1:$1,0)-MATCH("enemy_skill_id",enemy_skills!$1:$1,0)+1),MATCH(D$1,enemy_skills!$1:$1,0)-MATCH("enemy_skill_id",enemy_skills!$1:$1,0)+1,FALSE)</f>
        <v>オーバーライト・アタック</v>
      </c>
      <c r="E87" s="42" t="str">
        <f ca="1">VLOOKUP($C87,OFFSET(enemy_skills!$A$1,0,0,COUNTA(enemy_skills!$A:$A),MATCH(E$1,enemy_skills!$1:$1,0)-MATCH("enemy_skill_id",enemy_skills!$1:$1,0)+1),MATCH(E$1,enemy_skills!$1:$1,0)-MATCH("enemy_skill_id",enemy_skills!$1:$1,0)+1,FALSE)</f>
        <v>解除するまで全ユニットの攻撃力50%DOWN_x000D_+全体攻撃</v>
      </c>
      <c r="F87" s="43">
        <v>40034660</v>
      </c>
      <c r="G87" s="44">
        <f ca="1">VLOOKUP($F87,OFFSET(enemy_skill_triggers!$A$1,0,0,COUNTA(enemy_skill_triggers!$A:$A),MATCH(G$1,enemy_skill_triggers!$1:$1,0)-MATCH($F$1,enemy_skill_triggers!$1:$1,0)+1),MATCH(G$1,enemy_skill_triggers!$1:$1,0)-MATCH($F$1,enemy_skill_triggers!$1:$1,0)+1,FALSE)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7" s="44">
        <f ca="1">VLOOKUP($F87,OFFSET(enemy_skill_triggers!$A$1,0,0,COUNTA(enemy_skill_triggers!$A:$A),MATCH(H$1,enemy_skill_triggers!$1:$1,0)-MATCH($F$1,enemy_skill_triggers!$1:$1,0)+1),MATCH(H$1,enemy_skill_triggers!$1:$1,0)-MATCH($F$1,enemy_skill_triggers!$1:$1,0)+1,FALSE)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87" s="44">
        <f ca="1">VLOOKUP($F87,OFFSET(enemy_skill_triggers!$A$1,0,0,COUNTA(enemy_skill_triggers!$A:$A),MATCH(I$1,enemy_skill_triggers!$1:$1,0)-MATCH($F$1,enemy_skill_triggers!$1:$1,0)+1),MATCH(I$1,enemy_skill_triggers!$1:$1,0)-MATCH($F$1,enemy_skill_triggers!$1:$1,0)+1,FALSE)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87" s="44" t="str">
        <f ca="1">VLOOKUP($F87,OFFSET(enemy_skill_triggers!$A$1,0,0,COUNTA(enemy_skill_triggers!$A:$A),MATCH(J$1,enemy_skill_triggers!$1:$1,0)-MATCH($F$1,enemy_skill_triggers!$1:$1,0)+1),MATCH(J$1,enemy_skill_triggers!$1:$1,0)-MATCH($F$1,enemy_skill_triggers!$1:$1,0)+1,FALSE)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7" s="44" t="str">
        <f ca="1">VLOOKUP($F87,OFFSET(enemy_skill_triggers!$A$1,0,0,COUNTA(enemy_skill_triggers!$A:$A),MATCH(K$1,enemy_skill_triggers!$1:$1,0)-MATCH($F$1,enemy_skill_triggers!$1:$1,0)+1),MATCH(K$1,enemy_skill_triggers!$1:$1,0)-MATCH($F$1,enemy_skill_triggers!$1:$1,0)+1,FALSE)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7" s="44" t="str">
        <f ca="1">VLOOKUP($F87,OFFSET(enemy_skill_triggers!$A$1,0,0,COUNTA(enemy_skill_triggers!$A:$A),MATCH(L$1,enemy_skill_triggers!$1:$1,0)-MATCH($F$1,enemy_skill_triggers!$1:$1,0)+1),MATCH(L$1,enemy_skill_triggers!$1:$1,0)-MATCH($F$1,enemy_skill_triggers!$1:$1,0)+1,FALSE)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7" s="44" t="str">
        <f ca="1">VLOOKUP($F87,OFFSET(enemy_skill_triggers!$A$1,0,0,COUNTA(enemy_skill_triggers!$A:$A),MATCH(M$1,enemy_skill_triggers!$1:$1,0)-MATCH($F$1,enemy_skill_triggers!$1:$1,0)+1),MATCH(M$1,enemy_skill_triggers!$1:$1,0)-MATCH($F$1,enemy_skill_triggers!$1:$1,0)+1,FALSE)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7" s="44" t="str">
        <f ca="1">VLOOKUP($F87,OFFSET(enemy_skill_triggers!$A$1,0,0,COUNTA(enemy_skill_triggers!$A:$A),MATCH(N$1,enemy_skill_triggers!$1:$1,0)-MATCH($F$1,enemy_skill_triggers!$1:$1,0)+1),MATCH(N$1,enemy_skill_triggers!$1:$1,0)-MATCH($F$1,enemy_skill_triggers!$1:$1,0)+1,FALSE)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7" s="44">
        <f ca="1">VLOOKUP($F87,OFFSET(enemy_skill_triggers!$A$1,0,0,COUNTA(enemy_skill_triggers!$A:$A),MATCH(O$1,enemy_skill_triggers!$1:$1,0)-MATCH($F$1,enemy_skill_triggers!$1:$1,0)+1),MATCH(O$1,enemy_skill_triggers!$1:$1,0)-MATCH($F$1,enemy_skill_triggers!$1:$1,0)+1,FALSE)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87" s="43"/>
      <c r="Q87" s="43"/>
      <c r="R87" s="172"/>
    </row>
    <row r="88" spans="1:18" ht="21" customHeight="1" thickBot="1" x14ac:dyDescent="0.2">
      <c r="A88" s="39" t="str">
        <f t="shared" si="5"/>
        <v>40034010_40034351</v>
      </c>
      <c r="B88" s="123">
        <v>40034010</v>
      </c>
      <c r="C88" s="43">
        <v>40034351</v>
      </c>
      <c r="D88" s="42" t="str">
        <f ca="1">VLOOKUP($C88,OFFSET(enemy_skills!$A$1,0,0,COUNTA(enemy_skills!$A:$A),MATCH(D$1,enemy_skills!$1:$1,0)-MATCH("enemy_skill_id",enemy_skills!$1:$1,0)+1),MATCH(D$1,enemy_skills!$1:$1,0)-MATCH("enemy_skill_id",enemy_skills!$1:$1,0)+1,FALSE)</f>
        <v>オーバーライト・ヒーリング</v>
      </c>
      <c r="E88" s="42" t="str">
        <f ca="1">VLOOKUP($C88,OFFSET(enemy_skills!$A$1,0,0,COUNTA(enemy_skills!$A:$A),MATCH(E$1,enemy_skills!$1:$1,0)-MATCH("enemy_skill_id",enemy_skills!$1:$1,0)+1),MATCH(E$1,enemy_skills!$1:$1,0)-MATCH("enemy_skill_id",enemy_skills!$1:$1,0)+1,FALSE)</f>
        <v>解除するまで全ユニットの回復力50%DOWN_x000D_+4回連続攻撃</v>
      </c>
      <c r="F88" s="43">
        <v>40034661</v>
      </c>
      <c r="G88" s="44">
        <f ca="1">VLOOKUP($F88,OFFSET(enemy_skill_triggers!$A$1,0,0,COUNTA(enemy_skill_triggers!$A:$A),MATCH(G$1,enemy_skill_triggers!$1:$1,0)-MATCH($F$1,enemy_skill_triggers!$1:$1,0)+1),MATCH(G$1,enemy_skill_triggers!$1:$1,0)-MATCH($F$1,enemy_skill_triggers!$1:$1,0)+1,FALSE)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8" s="44">
        <f ca="1">VLOOKUP($F88,OFFSET(enemy_skill_triggers!$A$1,0,0,COUNTA(enemy_skill_triggers!$A:$A),MATCH(H$1,enemy_skill_triggers!$1:$1,0)-MATCH($F$1,enemy_skill_triggers!$1:$1,0)+1),MATCH(H$1,enemy_skill_triggers!$1:$1,0)-MATCH($F$1,enemy_skill_triggers!$1:$1,0)+1,FALSE)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88" s="44">
        <f ca="1">VLOOKUP($F88,OFFSET(enemy_skill_triggers!$A$1,0,0,COUNTA(enemy_skill_triggers!$A:$A),MATCH(I$1,enemy_skill_triggers!$1:$1,0)-MATCH($F$1,enemy_skill_triggers!$1:$1,0)+1),MATCH(I$1,enemy_skill_triggers!$1:$1,0)-MATCH($F$1,enemy_skill_triggers!$1:$1,0)+1,FALSE)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88" s="44" t="str">
        <f ca="1">VLOOKUP($F88,OFFSET(enemy_skill_triggers!$A$1,0,0,COUNTA(enemy_skill_triggers!$A:$A),MATCH(J$1,enemy_skill_triggers!$1:$1,0)-MATCH($F$1,enemy_skill_triggers!$1:$1,0)+1),MATCH(J$1,enemy_skill_triggers!$1:$1,0)-MATCH($F$1,enemy_skill_triggers!$1:$1,0)+1,FALSE)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88" s="44" t="str">
        <f ca="1">VLOOKUP($F88,OFFSET(enemy_skill_triggers!$A$1,0,0,COUNTA(enemy_skill_triggers!$A:$A),MATCH(K$1,enemy_skill_triggers!$1:$1,0)-MATCH($F$1,enemy_skill_triggers!$1:$1,0)+1),MATCH(K$1,enemy_skill_triggers!$1:$1,0)-MATCH($F$1,enemy_skill_triggers!$1:$1,0)+1,FALSE)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8" s="44" t="str">
        <f ca="1">VLOOKUP($F88,OFFSET(enemy_skill_triggers!$A$1,0,0,COUNTA(enemy_skill_triggers!$A:$A),MATCH(L$1,enemy_skill_triggers!$1:$1,0)-MATCH($F$1,enemy_skill_triggers!$1:$1,0)+1),MATCH(L$1,enemy_skill_triggers!$1:$1,0)-MATCH($F$1,enemy_skill_triggers!$1:$1,0)+1,FALSE)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88" s="44" t="str">
        <f ca="1">VLOOKUP($F88,OFFSET(enemy_skill_triggers!$A$1,0,0,COUNTA(enemy_skill_triggers!$A:$A),MATCH(M$1,enemy_skill_triggers!$1:$1,0)-MATCH($F$1,enemy_skill_triggers!$1:$1,0)+1),MATCH(M$1,enemy_skill_triggers!$1:$1,0)-MATCH($F$1,enemy_skill_triggers!$1:$1,0)+1,FALSE)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8" s="44" t="str">
        <f ca="1">VLOOKUP($F88,OFFSET(enemy_skill_triggers!$A$1,0,0,COUNTA(enemy_skill_triggers!$A:$A),MATCH(N$1,enemy_skill_triggers!$1:$1,0)-MATCH($F$1,enemy_skill_triggers!$1:$1,0)+1),MATCH(N$1,enemy_skill_triggers!$1:$1,0)-MATCH($F$1,enemy_skill_triggers!$1:$1,0)+1,FALSE)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8" s="44">
        <f ca="1">VLOOKUP($F88,OFFSET(enemy_skill_triggers!$A$1,0,0,COUNTA(enemy_skill_triggers!$A:$A),MATCH(O$1,enemy_skill_triggers!$1:$1,0)-MATCH($F$1,enemy_skill_triggers!$1:$1,0)+1),MATCH(O$1,enemy_skill_triggers!$1:$1,0)-MATCH($F$1,enemy_skill_triggers!$1:$1,0)+1,FALSE)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88" s="43"/>
      <c r="Q88" s="43"/>
      <c r="R88" s="172"/>
    </row>
    <row r="89" spans="1:18" ht="21" customHeight="1" thickBot="1" x14ac:dyDescent="0.2">
      <c r="A89" s="39" t="str">
        <f t="shared" si="5"/>
        <v>40034010_40034352</v>
      </c>
      <c r="B89" s="123">
        <v>40034010</v>
      </c>
      <c r="C89" s="43">
        <v>40034352</v>
      </c>
      <c r="D89" s="42" t="str">
        <f ca="1">VLOOKUP($C89,OFFSET(enemy_skills!$A$1,0,0,COUNTA(enemy_skills!$A:$A),MATCH(D$1,enemy_skills!$1:$1,0)-MATCH("enemy_skill_id",enemy_skills!$1:$1,0)+1),MATCH(D$1,enemy_skills!$1:$1,0)-MATCH("enemy_skill_id",enemy_skills!$1:$1,0)+1,FALSE)</f>
        <v>無償の偏愛</v>
      </c>
      <c r="E89" s="42" t="str">
        <f ca="1">VLOOKUP($C89,OFFSET(enemy_skills!$A$1,0,0,COUNTA(enemy_skills!$A:$A),MATCH(E$1,enemy_skills!$1:$1,0)-MATCH("enemy_skill_id",enemy_skills!$1:$1,0)+1),MATCH(E$1,enemy_skills!$1:$1,0)-MATCH("enemy_skill_id",enemy_skills!$1:$1,0)+1,FALSE)</f>
        <v>最大10個のクラッシュパネルを_x000D_ダメージパネルに変換</v>
      </c>
      <c r="F89" s="43">
        <v>40034662</v>
      </c>
      <c r="G89" s="44">
        <f ca="1">VLOOKUP($F89,OFFSET(enemy_skill_triggers!$A$1,0,0,COUNTA(enemy_skill_triggers!$A:$A),MATCH(G$1,enemy_skill_triggers!$1:$1,0)-MATCH($F$1,enemy_skill_triggers!$1:$1,0)+1),MATCH(G$1,enemy_skill_triggers!$1:$1,0)-MATCH($F$1,enemy_skill_triggers!$1:$1,0)+1,FALSE)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89" s="44">
        <f ca="1">VLOOKUP($F89,OFFSET(enemy_skill_triggers!$A$1,0,0,COUNTA(enemy_skill_triggers!$A:$A),MATCH(H$1,enemy_skill_triggers!$1:$1,0)-MATCH($F$1,enemy_skill_triggers!$1:$1,0)+1),MATCH(H$1,enemy_skill_triggers!$1:$1,0)-MATCH($F$1,enemy_skill_triggers!$1:$1,0)+1,FALSE)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89" s="44">
        <f ca="1">VLOOKUP($F89,OFFSET(enemy_skill_triggers!$A$1,0,0,COUNTA(enemy_skill_triggers!$A:$A),MATCH(I$1,enemy_skill_triggers!$1:$1,0)-MATCH($F$1,enemy_skill_triggers!$1:$1,0)+1),MATCH(I$1,enemy_skill_triggers!$1:$1,0)-MATCH($F$1,enemy_skill_triggers!$1:$1,0)+1,FALSE)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89" s="44">
        <f ca="1">VLOOKUP($F89,OFFSET(enemy_skill_triggers!$A$1,0,0,COUNTA(enemy_skill_triggers!$A:$A),MATCH(J$1,enemy_skill_triggers!$1:$1,0)-MATCH($F$1,enemy_skill_triggers!$1:$1,0)+1),MATCH(J$1,enemy_skill_triggers!$1:$1,0)-MATCH($F$1,enemy_skill_triggers!$1:$1,0)+1,FALSE)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89" s="44" t="str">
        <f ca="1">VLOOKUP($F89,OFFSET(enemy_skill_triggers!$A$1,0,0,COUNTA(enemy_skill_triggers!$A:$A),MATCH(K$1,enemy_skill_triggers!$1:$1,0)-MATCH($F$1,enemy_skill_triggers!$1:$1,0)+1),MATCH(K$1,enemy_skill_triggers!$1:$1,0)-MATCH($F$1,enemy_skill_triggers!$1:$1,0)+1,FALSE)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89" s="44">
        <f ca="1">VLOOKUP($F89,OFFSET(enemy_skill_triggers!$A$1,0,0,COUNTA(enemy_skill_triggers!$A:$A),MATCH(L$1,enemy_skill_triggers!$1:$1,0)-MATCH($F$1,enemy_skill_triggers!$1:$1,0)+1),MATCH(L$1,enemy_skill_triggers!$1:$1,0)-MATCH($F$1,enemy_skill_triggers!$1:$1,0)+1,FALSE)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89" s="44" t="str">
        <f ca="1">VLOOKUP($F89,OFFSET(enemy_skill_triggers!$A$1,0,0,COUNTA(enemy_skill_triggers!$A:$A),MATCH(M$1,enemy_skill_triggers!$1:$1,0)-MATCH($F$1,enemy_skill_triggers!$1:$1,0)+1),MATCH(M$1,enemy_skill_triggers!$1:$1,0)-MATCH($F$1,enemy_skill_triggers!$1:$1,0)+1,FALSE)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89" s="44" t="str">
        <f ca="1">VLOOKUP($F89,OFFSET(enemy_skill_triggers!$A$1,0,0,COUNTA(enemy_skill_triggers!$A:$A),MATCH(N$1,enemy_skill_triggers!$1:$1,0)-MATCH($F$1,enemy_skill_triggers!$1:$1,0)+1),MATCH(N$1,enemy_skill_triggers!$1:$1,0)-MATCH($F$1,enemy_skill_triggers!$1:$1,0)+1,FALSE)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89" s="44">
        <f ca="1">VLOOKUP($F89,OFFSET(enemy_skill_triggers!$A$1,0,0,COUNTA(enemy_skill_triggers!$A:$A),MATCH(O$1,enemy_skill_triggers!$1:$1,0)-MATCH($F$1,enemy_skill_triggers!$1:$1,0)+1),MATCH(O$1,enemy_skill_triggers!$1:$1,0)-MATCH($F$1,enemy_skill_triggers!$1:$1,0)+1,FALSE)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89" s="43"/>
      <c r="Q89" s="43"/>
      <c r="R89" s="172"/>
    </row>
    <row r="90" spans="1:18" ht="21" customHeight="1" thickBot="1" x14ac:dyDescent="0.2">
      <c r="A90" s="39" t="str">
        <f t="shared" si="5"/>
        <v>40034010_40034353</v>
      </c>
      <c r="B90" s="123">
        <v>40034010</v>
      </c>
      <c r="C90" s="43">
        <v>40034353</v>
      </c>
      <c r="D90" s="42" t="str">
        <f ca="1">VLOOKUP($C90,OFFSET(enemy_skills!$A$1,0,0,COUNTA(enemy_skills!$A:$A),MATCH(D$1,enemy_skills!$1:$1,0)-MATCH("enemy_skill_id",enemy_skills!$1:$1,0)+1),MATCH(D$1,enemy_skills!$1:$1,0)-MATCH("enemy_skill_id",enemy_skills!$1:$1,0)+1,FALSE)</f>
        <v>ああ…他のひとに…_x000D_とられ…ちゃう……</v>
      </c>
      <c r="E90" s="42" t="str">
        <f ca="1">VLOOKUP($C90,OFFSET(enemy_skills!$A$1,0,0,COUNTA(enemy_skills!$A:$A),MATCH(E$1,enemy_skills!$1:$1,0)-MATCH("enemy_skill_id",enemy_skills!$1:$1,0)+1),MATCH(E$1,enemy_skills!$1:$1,0)-MATCH("enemy_skill_id",enemy_skills!$1:$1,0)+1,FALSE)</f>
        <v>私だけの…シヴァ…様…</v>
      </c>
      <c r="F90" s="43">
        <v>40034663</v>
      </c>
      <c r="G90" s="44">
        <f ca="1">VLOOKUP($F90,OFFSET(enemy_skill_triggers!$A$1,0,0,COUNTA(enemy_skill_triggers!$A:$A),MATCH(G$1,enemy_skill_triggers!$1:$1,0)-MATCH($F$1,enemy_skill_triggers!$1:$1,0)+1),MATCH(G$1,enemy_skill_triggers!$1:$1,0)-MATCH($F$1,enemy_skill_triggers!$1:$1,0)+1,FALSE)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0" s="44">
        <f ca="1">VLOOKUP($F90,OFFSET(enemy_skill_triggers!$A$1,0,0,COUNTA(enemy_skill_triggers!$A:$A),MATCH(H$1,enemy_skill_triggers!$1:$1,0)-MATCH($F$1,enemy_skill_triggers!$1:$1,0)+1),MATCH(H$1,enemy_skill_triggers!$1:$1,0)-MATCH($F$1,enemy_skill_triggers!$1:$1,0)+1,FALSE)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0" s="44">
        <f ca="1">VLOOKUP($F90,OFFSET(enemy_skill_triggers!$A$1,0,0,COUNTA(enemy_skill_triggers!$A:$A),MATCH(I$1,enemy_skill_triggers!$1:$1,0)-MATCH($F$1,enemy_skill_triggers!$1:$1,0)+1),MATCH(I$1,enemy_skill_triggers!$1:$1,0)-MATCH($F$1,enemy_skill_triggers!$1:$1,0)+1,FALSE)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0" s="44" t="str">
        <f ca="1">VLOOKUP($F90,OFFSET(enemy_skill_triggers!$A$1,0,0,COUNTA(enemy_skill_triggers!$A:$A),MATCH(J$1,enemy_skill_triggers!$1:$1,0)-MATCH($F$1,enemy_skill_triggers!$1:$1,0)+1),MATCH(J$1,enemy_skill_triggers!$1:$1,0)-MATCH($F$1,enemy_skill_triggers!$1:$1,0)+1,FALSE)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0" s="44" t="str">
        <f ca="1">VLOOKUP($F90,OFFSET(enemy_skill_triggers!$A$1,0,0,COUNTA(enemy_skill_triggers!$A:$A),MATCH(K$1,enemy_skill_triggers!$1:$1,0)-MATCH($F$1,enemy_skill_triggers!$1:$1,0)+1),MATCH(K$1,enemy_skill_triggers!$1:$1,0)-MATCH($F$1,enemy_skill_triggers!$1:$1,0)+1,FALSE)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0" s="44">
        <f ca="1">VLOOKUP($F90,OFFSET(enemy_skill_triggers!$A$1,0,0,COUNTA(enemy_skill_triggers!$A:$A),MATCH(L$1,enemy_skill_triggers!$1:$1,0)-MATCH($F$1,enemy_skill_triggers!$1:$1,0)+1),MATCH(L$1,enemy_skill_triggers!$1:$1,0)-MATCH($F$1,enemy_skill_triggers!$1:$1,0)+1,FALSE)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90" s="44" t="str">
        <f ca="1">VLOOKUP($F90,OFFSET(enemy_skill_triggers!$A$1,0,0,COUNTA(enemy_skill_triggers!$A:$A),MATCH(M$1,enemy_skill_triggers!$1:$1,0)-MATCH($F$1,enemy_skill_triggers!$1:$1,0)+1),MATCH(M$1,enemy_skill_triggers!$1:$1,0)-MATCH($F$1,enemy_skill_triggers!$1:$1,0)+1,FALSE)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0" s="44">
        <f ca="1">VLOOKUP($F90,OFFSET(enemy_skill_triggers!$A$1,0,0,COUNTA(enemy_skill_triggers!$A:$A),MATCH(N$1,enemy_skill_triggers!$1:$1,0)-MATCH($F$1,enemy_skill_triggers!$1:$1,0)+1),MATCH(N$1,enemy_skill_triggers!$1:$1,0)-MATCH($F$1,enemy_skill_triggers!$1:$1,0)+1,FALSE)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90" s="44">
        <f ca="1">VLOOKUP($F90,OFFSET(enemy_skill_triggers!$A$1,0,0,COUNTA(enemy_skill_triggers!$A:$A),MATCH(O$1,enemy_skill_triggers!$1:$1,0)-MATCH($F$1,enemy_skill_triggers!$1:$1,0)+1),MATCH(O$1,enemy_skill_triggers!$1:$1,0)-MATCH($F$1,enemy_skill_triggers!$1:$1,0)+1,FALSE)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0" s="43"/>
      <c r="Q90" s="43"/>
      <c r="R90" s="172"/>
    </row>
    <row r="91" spans="1:18" ht="21" customHeight="1" thickBot="1" x14ac:dyDescent="0.2">
      <c r="A91" s="39" t="str">
        <f t="shared" si="5"/>
        <v>40034010_40034354</v>
      </c>
      <c r="B91" s="123">
        <v>40034010</v>
      </c>
      <c r="C91" s="132">
        <v>40034354</v>
      </c>
      <c r="D91" s="169" t="str">
        <f ca="1">VLOOKUP($C91,OFFSET(enemy_skills!$A$1,0,0,COUNTA(enemy_skills!$A:$A),MATCH(D$1,enemy_skills!$1:$1,0)-MATCH("enemy_skill_id",enemy_skills!$1:$1,0)+1),MATCH(D$1,enemy_skills!$1:$1,0)-MATCH("enemy_skill_id",enemy_skills!$1:$1,0)+1,FALSE)</f>
        <v>場所は…あそこにしましょう</v>
      </c>
      <c r="E91" s="169" t="str">
        <f ca="1">VLOOKUP($C91,OFFSET(enemy_skills!$A$1,0,0,COUNTA(enemy_skills!$A:$A),MATCH(E$1,enemy_skills!$1:$1,0)-MATCH("enemy_skill_id",enemy_skills!$1:$1,0)+1),MATCH(E$1,enemy_skills!$1:$1,0)-MATCH("enemy_skill_id",enemy_skills!$1:$1,0)+1,FALSE)</f>
        <v>次のターンにCパネルを_x000D_ダメージパネルに変換（最大10個）</v>
      </c>
      <c r="F91" s="132">
        <v>40034664</v>
      </c>
      <c r="G91" s="136">
        <f ca="1">VLOOKUP($F91,OFFSET(enemy_skill_triggers!$A$1,0,0,COUNTA(enemy_skill_triggers!$A:$A),MATCH(G$1,enemy_skill_triggers!$1:$1,0)-MATCH($F$1,enemy_skill_triggers!$1:$1,0)+1),MATCH(G$1,enemy_skill_triggers!$1:$1,0)-MATCH($F$1,enemy_skill_triggers!$1:$1,0)+1,FALSE)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91" s="136">
        <f ca="1">VLOOKUP($F91,OFFSET(enemy_skill_triggers!$A$1,0,0,COUNTA(enemy_skill_triggers!$A:$A),MATCH(H$1,enemy_skill_triggers!$1:$1,0)-MATCH($F$1,enemy_skill_triggers!$1:$1,0)+1),MATCH(H$1,enemy_skill_triggers!$1:$1,0)-MATCH($F$1,enemy_skill_triggers!$1:$1,0)+1,FALSE)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1" s="136">
        <f ca="1">VLOOKUP($F91,OFFSET(enemy_skill_triggers!$A$1,0,0,COUNTA(enemy_skill_triggers!$A:$A),MATCH(I$1,enemy_skill_triggers!$1:$1,0)-MATCH($F$1,enemy_skill_triggers!$1:$1,0)+1),MATCH(I$1,enemy_skill_triggers!$1:$1,0)-MATCH($F$1,enemy_skill_triggers!$1:$1,0)+1,FALSE)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1" s="136">
        <f ca="1">VLOOKUP($F91,OFFSET(enemy_skill_triggers!$A$1,0,0,COUNTA(enemy_skill_triggers!$A:$A),MATCH(J$1,enemy_skill_triggers!$1:$1,0)-MATCH($F$1,enemy_skill_triggers!$1:$1,0)+1),MATCH(J$1,enemy_skill_triggers!$1:$1,0)-MATCH($F$1,enemy_skill_triggers!$1:$1,0)+1,FALSE)</f>
        <v>50</v>
      </c>
      <c r="K91" s="136" t="str">
        <f ca="1">VLOOKUP($F91,OFFSET(enemy_skill_triggers!$A$1,0,0,COUNTA(enemy_skill_triggers!$A:$A),MATCH(K$1,enemy_skill_triggers!$1:$1,0)-MATCH($F$1,enemy_skill_triggers!$1:$1,0)+1),MATCH(K$1,enemy_skill_triggers!$1:$1,0)-MATCH($F$1,enemy_skill_triggers!$1:$1,0)+1,FALSE)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1" s="136">
        <f ca="1">VLOOKUP($F91,OFFSET(enemy_skill_triggers!$A$1,0,0,COUNTA(enemy_skill_triggers!$A:$A),MATCH(L$1,enemy_skill_triggers!$1:$1,0)-MATCH($F$1,enemy_skill_triggers!$1:$1,0)+1),MATCH(L$1,enemy_skill_triggers!$1:$1,0)-MATCH($F$1,enemy_skill_triggers!$1:$1,0)+1,FALSE)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1" s="136" t="str">
        <f ca="1">VLOOKUP($F91,OFFSET(enemy_skill_triggers!$A$1,0,0,COUNTA(enemy_skill_triggers!$A:$A),MATCH(M$1,enemy_skill_triggers!$1:$1,0)-MATCH($F$1,enemy_skill_triggers!$1:$1,0)+1),MATCH(M$1,enemy_skill_triggers!$1:$1,0)-MATCH($F$1,enemy_skill_triggers!$1:$1,0)+1,FALSE)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1" s="136" t="str">
        <f ca="1">VLOOKUP($F91,OFFSET(enemy_skill_triggers!$A$1,0,0,COUNTA(enemy_skill_triggers!$A:$A),MATCH(N$1,enemy_skill_triggers!$1:$1,0)-MATCH($F$1,enemy_skill_triggers!$1:$1,0)+1),MATCH(N$1,enemy_skill_triggers!$1:$1,0)-MATCH($F$1,enemy_skill_triggers!$1:$1,0)+1,FALSE)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1" s="136">
        <f ca="1">VLOOKUP($F91,OFFSET(enemy_skill_triggers!$A$1,0,0,COUNTA(enemy_skill_triggers!$A:$A),MATCH(O$1,enemy_skill_triggers!$1:$1,0)-MATCH($F$1,enemy_skill_triggers!$1:$1,0)+1),MATCH(O$1,enemy_skill_triggers!$1:$1,0)-MATCH($F$1,enemy_skill_triggers!$1:$1,0)+1,FALSE)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1" s="132"/>
      <c r="Q91" s="132"/>
      <c r="R91" s="170"/>
    </row>
    <row r="92" spans="1:18" ht="21" customHeight="1" thickBot="1" x14ac:dyDescent="0.2">
      <c r="A92" s="39" t="str">
        <f t="shared" si="5"/>
        <v>40034011_40034376</v>
      </c>
      <c r="B92" s="123">
        <v>40034011</v>
      </c>
      <c r="C92" s="124">
        <v>40034376</v>
      </c>
      <c r="D92" s="166" t="str">
        <f ca="1">VLOOKUP($C92,OFFSET(enemy_skills!$A$1,0,0,COUNTA(enemy_skills!$A:$A),MATCH(D$1,enemy_skills!$1:$1,0)-MATCH("enemy_skill_id",enemy_skills!$1:$1,0)+1),MATCH(D$1,enemy_skills!$1:$1,0)-MATCH("enemy_skill_id",enemy_skills!$1:$1,0)+1,FALSE)</f>
        <v>…早く…あの女と別れてよ…シヴァ様…</v>
      </c>
      <c r="E92" s="166" t="str">
        <f ca="1">VLOOKUP($C92,OFFSET(enemy_skills!$A$1,0,0,COUNTA(enemy_skills!$A:$A),MATCH(E$1,enemy_skills!$1:$1,0)-MATCH("enemy_skill_id",enemy_skills!$1:$1,0)+1),MATCH(E$1,enemy_skills!$1:$1,0)-MATCH("enemy_skill_id",enemy_skills!$1:$1,0)+1,FALSE)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2" s="124">
        <v>40034610</v>
      </c>
      <c r="G92" s="128">
        <f ca="1">VLOOKUP($F92,OFFSET(enemy_skill_triggers!$A$1,0,0,COUNTA(enemy_skill_triggers!$A:$A),MATCH(G$1,enemy_skill_triggers!$1:$1,0)-MATCH($F$1,enemy_skill_triggers!$1:$1,0)+1),MATCH(G$1,enemy_skill_triggers!$1:$1,0)-MATCH($F$1,enemy_skill_triggers!$1:$1,0)+1,FALSE)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2" s="128">
        <f ca="1">VLOOKUP($F92,OFFSET(enemy_skill_triggers!$A$1,0,0,COUNTA(enemy_skill_triggers!$A:$A),MATCH(H$1,enemy_skill_triggers!$1:$1,0)-MATCH($F$1,enemy_skill_triggers!$1:$1,0)+1),MATCH(H$1,enemy_skill_triggers!$1:$1,0)-MATCH($F$1,enemy_skill_triggers!$1:$1,0)+1,FALSE)</f>
        <v>90</v>
      </c>
      <c r="I92" s="128">
        <f ca="1">VLOOKUP($F92,OFFSET(enemy_skill_triggers!$A$1,0,0,COUNTA(enemy_skill_triggers!$A:$A),MATCH(I$1,enemy_skill_triggers!$1:$1,0)-MATCH($F$1,enemy_skill_triggers!$1:$1,0)+1),MATCH(I$1,enemy_skill_triggers!$1:$1,0)-MATCH($F$1,enemy_skill_triggers!$1:$1,0)+1,FALSE)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2" s="128" t="str">
        <f ca="1">VLOOKUP($F92,OFFSET(enemy_skill_triggers!$A$1,0,0,COUNTA(enemy_skill_triggers!$A:$A),MATCH(J$1,enemy_skill_triggers!$1:$1,0)-MATCH($F$1,enemy_skill_triggers!$1:$1,0)+1),MATCH(J$1,enemy_skill_triggers!$1:$1,0)-MATCH($F$1,enemy_skill_triggers!$1:$1,0)+1,FALSE)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2" s="128" t="str">
        <f ca="1">VLOOKUP($F92,OFFSET(enemy_skill_triggers!$A$1,0,0,COUNTA(enemy_skill_triggers!$A:$A),MATCH(K$1,enemy_skill_triggers!$1:$1,0)-MATCH($F$1,enemy_skill_triggers!$1:$1,0)+1),MATCH(K$1,enemy_skill_triggers!$1:$1,0)-MATCH($F$1,enemy_skill_triggers!$1:$1,0)+1,FALSE)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2" s="128">
        <f ca="1">VLOOKUP($F92,OFFSET(enemy_skill_triggers!$A$1,0,0,COUNTA(enemy_skill_triggers!$A:$A),MATCH(L$1,enemy_skill_triggers!$1:$1,0)-MATCH($F$1,enemy_skill_triggers!$1:$1,0)+1),MATCH(L$1,enemy_skill_triggers!$1:$1,0)-MATCH($F$1,enemy_skill_triggers!$1:$1,0)+1,FALSE)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2" s="128" t="str">
        <f ca="1">VLOOKUP($F92,OFFSET(enemy_skill_triggers!$A$1,0,0,COUNTA(enemy_skill_triggers!$A:$A),MATCH(M$1,enemy_skill_triggers!$1:$1,0)-MATCH($F$1,enemy_skill_triggers!$1:$1,0)+1),MATCH(M$1,enemy_skill_triggers!$1:$1,0)-MATCH($F$1,enemy_skill_triggers!$1:$1,0)+1,FALSE)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2" s="128" t="str">
        <f ca="1">VLOOKUP($F92,OFFSET(enemy_skill_triggers!$A$1,0,0,COUNTA(enemy_skill_triggers!$A:$A),MATCH(N$1,enemy_skill_triggers!$1:$1,0)-MATCH($F$1,enemy_skill_triggers!$1:$1,0)+1),MATCH(N$1,enemy_skill_triggers!$1:$1,0)-MATCH($F$1,enemy_skill_triggers!$1:$1,0)+1,FALSE)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92" s="128">
        <f ca="1">VLOOKUP($F92,OFFSET(enemy_skill_triggers!$A$1,0,0,COUNTA(enemy_skill_triggers!$A:$A),MATCH(O$1,enemy_skill_triggers!$1:$1,0)-MATCH($F$1,enemy_skill_triggers!$1:$1,0)+1),MATCH(O$1,enemy_skill_triggers!$1:$1,0)-MATCH($F$1,enemy_skill_triggers!$1:$1,0)+1,FALSE)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2" s="124"/>
      <c r="Q92" s="124"/>
      <c r="R92" s="167"/>
    </row>
    <row r="93" spans="1:18" ht="21" customHeight="1" thickBot="1" x14ac:dyDescent="0.2">
      <c r="A93" s="39" t="str">
        <f t="shared" si="5"/>
        <v>40034011_40034377</v>
      </c>
      <c r="B93" s="123">
        <v>40034011</v>
      </c>
      <c r="C93" s="43">
        <v>40034377</v>
      </c>
      <c r="D93" s="42" t="str">
        <f ca="1">VLOOKUP($C93,OFFSET(enemy_skills!$A$1,0,0,COUNTA(enemy_skills!$A:$A),MATCH(D$1,enemy_skills!$1:$1,0)-MATCH("enemy_skill_id",enemy_skills!$1:$1,0)+1),MATCH(D$1,enemy_skills!$1:$1,0)-MATCH("enemy_skill_id",enemy_skills!$1:$1,0)+1,FALSE)</f>
        <v>…パール…ヴァティ……？_x000D_…早くシヴァ様と別れてね？</v>
      </c>
      <c r="E93" s="42" t="str">
        <f ca="1">VLOOKUP($C93,OFFSET(enemy_skills!$A$1,0,0,COUNTA(enemy_skills!$A:$A),MATCH(E$1,enemy_skills!$1:$1,0)-MATCH("enemy_skill_id",enemy_skills!$1:$1,0)+1),MATCH(E$1,enemy_skills!$1:$1,0)-MATCH("enemy_skill_id",enemy_skills!$1:$1,0)+1,FALSE)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3" s="43">
        <v>40034611</v>
      </c>
      <c r="G93" s="44">
        <f ca="1">VLOOKUP($F93,OFFSET(enemy_skill_triggers!$A$1,0,0,COUNTA(enemy_skill_triggers!$A:$A),MATCH(G$1,enemy_skill_triggers!$1:$1,0)-MATCH($F$1,enemy_skill_triggers!$1:$1,0)+1),MATCH(G$1,enemy_skill_triggers!$1:$1,0)-MATCH($F$1,enemy_skill_triggers!$1:$1,0)+1,FALSE)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3" s="44">
        <f ca="1">VLOOKUP($F93,OFFSET(enemy_skill_triggers!$A$1,0,0,COUNTA(enemy_skill_triggers!$A:$A),MATCH(H$1,enemy_skill_triggers!$1:$1,0)-MATCH($F$1,enemy_skill_triggers!$1:$1,0)+1),MATCH(H$1,enemy_skill_triggers!$1:$1,0)-MATCH($F$1,enemy_skill_triggers!$1:$1,0)+1,FALSE)</f>
        <v>97</v>
      </c>
      <c r="I93" s="44">
        <f ca="1">VLOOKUP($F93,OFFSET(enemy_skill_triggers!$A$1,0,0,COUNTA(enemy_skill_triggers!$A:$A),MATCH(I$1,enemy_skill_triggers!$1:$1,0)-MATCH($F$1,enemy_skill_triggers!$1:$1,0)+1),MATCH(I$1,enemy_skill_triggers!$1:$1,0)-MATCH($F$1,enemy_skill_triggers!$1:$1,0)+1,FALSE)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3" s="44" t="str">
        <f ca="1">VLOOKUP($F93,OFFSET(enemy_skill_triggers!$A$1,0,0,COUNTA(enemy_skill_triggers!$A:$A),MATCH(J$1,enemy_skill_triggers!$1:$1,0)-MATCH($F$1,enemy_skill_triggers!$1:$1,0)+1),MATCH(J$1,enemy_skill_triggers!$1:$1,0)-MATCH($F$1,enemy_skill_triggers!$1:$1,0)+1,FALSE)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3" s="44" t="str">
        <f ca="1">VLOOKUP($F93,OFFSET(enemy_skill_triggers!$A$1,0,0,COUNTA(enemy_skill_triggers!$A:$A),MATCH(K$1,enemy_skill_triggers!$1:$1,0)-MATCH($F$1,enemy_skill_triggers!$1:$1,0)+1),MATCH(K$1,enemy_skill_triggers!$1:$1,0)-MATCH($F$1,enemy_skill_triggers!$1:$1,0)+1,FALSE)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3" s="44">
        <f ca="1">VLOOKUP($F93,OFFSET(enemy_skill_triggers!$A$1,0,0,COUNTA(enemy_skill_triggers!$A:$A),MATCH(L$1,enemy_skill_triggers!$1:$1,0)-MATCH($F$1,enemy_skill_triggers!$1:$1,0)+1),MATCH(L$1,enemy_skill_triggers!$1:$1,0)-MATCH($F$1,enemy_skill_triggers!$1:$1,0)+1,FALSE)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3" s="44" t="str">
        <f ca="1">VLOOKUP($F93,OFFSET(enemy_skill_triggers!$A$1,0,0,COUNTA(enemy_skill_triggers!$A:$A),MATCH(M$1,enemy_skill_triggers!$1:$1,0)-MATCH($F$1,enemy_skill_triggers!$1:$1,0)+1),MATCH(M$1,enemy_skill_triggers!$1:$1,0)-MATCH($F$1,enemy_skill_triggers!$1:$1,0)+1,FALSE)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3" s="44">
        <f ca="1">VLOOKUP($F93,OFFSET(enemy_skill_triggers!$A$1,0,0,COUNTA(enemy_skill_triggers!$A:$A),MATCH(N$1,enemy_skill_triggers!$1:$1,0)-MATCH($F$1,enemy_skill_triggers!$1:$1,0)+1),MATCH(N$1,enemy_skill_triggers!$1:$1,0)-MATCH($F$1,enemy_skill_triggers!$1:$1,0)+1,FALSE)</f>
        <v>648</v>
      </c>
      <c r="O93" s="44">
        <f ca="1">VLOOKUP($F93,OFFSET(enemy_skill_triggers!$A$1,0,0,COUNTA(enemy_skill_triggers!$A:$A),MATCH(O$1,enemy_skill_triggers!$1:$1,0)-MATCH($F$1,enemy_skill_triggers!$1:$1,0)+1),MATCH(O$1,enemy_skill_triggers!$1:$1,0)-MATCH($F$1,enemy_skill_triggers!$1:$1,0)+1,FALSE)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3" s="43"/>
      <c r="Q93" s="43"/>
      <c r="R93" s="172"/>
    </row>
    <row r="94" spans="1:18" ht="21" customHeight="1" thickBot="1" x14ac:dyDescent="0.2">
      <c r="A94" s="39" t="str">
        <f t="shared" si="5"/>
        <v>40034011_40034377</v>
      </c>
      <c r="B94" s="123">
        <v>40034011</v>
      </c>
      <c r="C94" s="43">
        <v>40034377</v>
      </c>
      <c r="D94" s="42" t="str">
        <f ca="1">VLOOKUP($C94,OFFSET(enemy_skills!$A$1,0,0,COUNTA(enemy_skills!$A:$A),MATCH(D$1,enemy_skills!$1:$1,0)-MATCH("enemy_skill_id",enemy_skills!$1:$1,0)+1),MATCH(D$1,enemy_skills!$1:$1,0)-MATCH("enemy_skill_id",enemy_skills!$1:$1,0)+1,FALSE)</f>
        <v>…パール…ヴァティ……？_x000D_…早くシヴァ様と別れてね？</v>
      </c>
      <c r="E94" s="42" t="str">
        <f ca="1">VLOOKUP($C94,OFFSET(enemy_skills!$A$1,0,0,COUNTA(enemy_skills!$A:$A),MATCH(E$1,enemy_skills!$1:$1,0)-MATCH("enemy_skill_id",enemy_skills!$1:$1,0)+1),MATCH(E$1,enemy_skills!$1:$1,0)-MATCH("enemy_skill_id",enemy_skills!$1:$1,0)+1,FALSE)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4" s="43">
        <v>40034612</v>
      </c>
      <c r="G94" s="44">
        <f ca="1">VLOOKUP($F94,OFFSET(enemy_skill_triggers!$A$1,0,0,COUNTA(enemy_skill_triggers!$A:$A),MATCH(G$1,enemy_skill_triggers!$1:$1,0)-MATCH($F$1,enemy_skill_triggers!$1:$1,0)+1),MATCH(G$1,enemy_skill_triggers!$1:$1,0)-MATCH($F$1,enemy_skill_triggers!$1:$1,0)+1,FALSE)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4" s="44">
        <f ca="1">VLOOKUP($F94,OFFSET(enemy_skill_triggers!$A$1,0,0,COUNTA(enemy_skill_triggers!$A:$A),MATCH(H$1,enemy_skill_triggers!$1:$1,0)-MATCH($F$1,enemy_skill_triggers!$1:$1,0)+1),MATCH(H$1,enemy_skill_triggers!$1:$1,0)-MATCH($F$1,enemy_skill_triggers!$1:$1,0)+1,FALSE)</f>
        <v>96</v>
      </c>
      <c r="I94" s="44">
        <f ca="1">VLOOKUP($F94,OFFSET(enemy_skill_triggers!$A$1,0,0,COUNTA(enemy_skill_triggers!$A:$A),MATCH(I$1,enemy_skill_triggers!$1:$1,0)-MATCH($F$1,enemy_skill_triggers!$1:$1,0)+1),MATCH(I$1,enemy_skill_triggers!$1:$1,0)-MATCH($F$1,enemy_skill_triggers!$1:$1,0)+1,FALSE)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4" s="44" t="str">
        <f ca="1">VLOOKUP($F94,OFFSET(enemy_skill_triggers!$A$1,0,0,COUNTA(enemy_skill_triggers!$A:$A),MATCH(J$1,enemy_skill_triggers!$1:$1,0)-MATCH($F$1,enemy_skill_triggers!$1:$1,0)+1),MATCH(J$1,enemy_skill_triggers!$1:$1,0)-MATCH($F$1,enemy_skill_triggers!$1:$1,0)+1,FALSE)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4" s="44" t="str">
        <f ca="1">VLOOKUP($F94,OFFSET(enemy_skill_triggers!$A$1,0,0,COUNTA(enemy_skill_triggers!$A:$A),MATCH(K$1,enemy_skill_triggers!$1:$1,0)-MATCH($F$1,enemy_skill_triggers!$1:$1,0)+1),MATCH(K$1,enemy_skill_triggers!$1:$1,0)-MATCH($F$1,enemy_skill_triggers!$1:$1,0)+1,FALSE)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4" s="44">
        <f ca="1">VLOOKUP($F94,OFFSET(enemy_skill_triggers!$A$1,0,0,COUNTA(enemy_skill_triggers!$A:$A),MATCH(L$1,enemy_skill_triggers!$1:$1,0)-MATCH($F$1,enemy_skill_triggers!$1:$1,0)+1),MATCH(L$1,enemy_skill_triggers!$1:$1,0)-MATCH($F$1,enemy_skill_triggers!$1:$1,0)+1,FALSE)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4" s="44" t="str">
        <f ca="1">VLOOKUP($F94,OFFSET(enemy_skill_triggers!$A$1,0,0,COUNTA(enemy_skill_triggers!$A:$A),MATCH(M$1,enemy_skill_triggers!$1:$1,0)-MATCH($F$1,enemy_skill_triggers!$1:$1,0)+1),MATCH(M$1,enemy_skill_triggers!$1:$1,0)-MATCH($F$1,enemy_skill_triggers!$1:$1,0)+1,FALSE)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4" s="44">
        <f ca="1">VLOOKUP($F94,OFFSET(enemy_skill_triggers!$A$1,0,0,COUNTA(enemy_skill_triggers!$A:$A),MATCH(N$1,enemy_skill_triggers!$1:$1,0)-MATCH($F$1,enemy_skill_triggers!$1:$1,0)+1),MATCH(N$1,enemy_skill_triggers!$1:$1,0)-MATCH($F$1,enemy_skill_triggers!$1:$1,0)+1,FALSE)</f>
        <v>649</v>
      </c>
      <c r="O94" s="44">
        <f ca="1">VLOOKUP($F94,OFFSET(enemy_skill_triggers!$A$1,0,0,COUNTA(enemy_skill_triggers!$A:$A),MATCH(O$1,enemy_skill_triggers!$1:$1,0)-MATCH($F$1,enemy_skill_triggers!$1:$1,0)+1),MATCH(O$1,enemy_skill_triggers!$1:$1,0)-MATCH($F$1,enemy_skill_triggers!$1:$1,0)+1,FALSE)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4" s="43"/>
      <c r="Q94" s="43"/>
      <c r="R94" s="172"/>
    </row>
    <row r="95" spans="1:18" ht="21" customHeight="1" thickBot="1" x14ac:dyDescent="0.2">
      <c r="A95" s="39" t="str">
        <f t="shared" si="5"/>
        <v>40034011_40034378</v>
      </c>
      <c r="B95" s="123">
        <v>40034011</v>
      </c>
      <c r="C95" s="43">
        <v>40034378</v>
      </c>
      <c r="D95" s="42" t="str">
        <f ca="1">VLOOKUP($C95,OFFSET(enemy_skills!$A$1,0,0,COUNTA(enemy_skills!$A:$A),MATCH(D$1,enemy_skills!$1:$1,0)-MATCH("enemy_skill_id",enemy_skills!$1:$1,0)+1),MATCH(D$1,enemy_skills!$1:$1,0)-MATCH("enemy_skill_id",enemy_skills!$1:$1,0)+1,FALSE)</f>
        <v>…ドゥルガー…さん…_x000D_油断…できない…相手</v>
      </c>
      <c r="E95" s="42" t="str">
        <f ca="1">VLOOKUP($C95,OFFSET(enemy_skills!$A$1,0,0,COUNTA(enemy_skills!$A:$A),MATCH(E$1,enemy_skills!$1:$1,0)-MATCH("enemy_skill_id",enemy_skills!$1:$1,0)+1),MATCH(E$1,enemy_skills!$1:$1,0)-MATCH("enemy_skill_id",enemy_skills!$1:$1,0)+1,FALSE)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5" s="43">
        <v>40034613</v>
      </c>
      <c r="G95" s="44">
        <f ca="1">VLOOKUP($F95,OFFSET(enemy_skill_triggers!$A$1,0,0,COUNTA(enemy_skill_triggers!$A:$A),MATCH(G$1,enemy_skill_triggers!$1:$1,0)-MATCH($F$1,enemy_skill_triggers!$1:$1,0)+1),MATCH(G$1,enemy_skill_triggers!$1:$1,0)-MATCH($F$1,enemy_skill_triggers!$1:$1,0)+1,FALSE)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5" s="44">
        <f ca="1">VLOOKUP($F95,OFFSET(enemy_skill_triggers!$A$1,0,0,COUNTA(enemy_skill_triggers!$A:$A),MATCH(H$1,enemy_skill_triggers!$1:$1,0)-MATCH($F$1,enemy_skill_triggers!$1:$1,0)+1),MATCH(H$1,enemy_skill_triggers!$1:$1,0)-MATCH($F$1,enemy_skill_triggers!$1:$1,0)+1,FALSE)</f>
        <v>95</v>
      </c>
      <c r="I95" s="44">
        <f ca="1">VLOOKUP($F95,OFFSET(enemy_skill_triggers!$A$1,0,0,COUNTA(enemy_skill_triggers!$A:$A),MATCH(I$1,enemy_skill_triggers!$1:$1,0)-MATCH($F$1,enemy_skill_triggers!$1:$1,0)+1),MATCH(I$1,enemy_skill_triggers!$1:$1,0)-MATCH($F$1,enemy_skill_triggers!$1:$1,0)+1,FALSE)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5" s="44" t="str">
        <f ca="1">VLOOKUP($F95,OFFSET(enemy_skill_triggers!$A$1,0,0,COUNTA(enemy_skill_triggers!$A:$A),MATCH(J$1,enemy_skill_triggers!$1:$1,0)-MATCH($F$1,enemy_skill_triggers!$1:$1,0)+1),MATCH(J$1,enemy_skill_triggers!$1:$1,0)-MATCH($F$1,enemy_skill_triggers!$1:$1,0)+1,FALSE)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5" s="44" t="str">
        <f ca="1">VLOOKUP($F95,OFFSET(enemy_skill_triggers!$A$1,0,0,COUNTA(enemy_skill_triggers!$A:$A),MATCH(K$1,enemy_skill_triggers!$1:$1,0)-MATCH($F$1,enemy_skill_triggers!$1:$1,0)+1),MATCH(K$1,enemy_skill_triggers!$1:$1,0)-MATCH($F$1,enemy_skill_triggers!$1:$1,0)+1,FALSE)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5" s="44">
        <f ca="1">VLOOKUP($F95,OFFSET(enemy_skill_triggers!$A$1,0,0,COUNTA(enemy_skill_triggers!$A:$A),MATCH(L$1,enemy_skill_triggers!$1:$1,0)-MATCH($F$1,enemy_skill_triggers!$1:$1,0)+1),MATCH(L$1,enemy_skill_triggers!$1:$1,0)-MATCH($F$1,enemy_skill_triggers!$1:$1,0)+1,FALSE)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5" s="44" t="str">
        <f ca="1">VLOOKUP($F95,OFFSET(enemy_skill_triggers!$A$1,0,0,COUNTA(enemy_skill_triggers!$A:$A),MATCH(M$1,enemy_skill_triggers!$1:$1,0)-MATCH($F$1,enemy_skill_triggers!$1:$1,0)+1),MATCH(M$1,enemy_skill_triggers!$1:$1,0)-MATCH($F$1,enemy_skill_triggers!$1:$1,0)+1,FALSE)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5" s="44">
        <f ca="1">VLOOKUP($F95,OFFSET(enemy_skill_triggers!$A$1,0,0,COUNTA(enemy_skill_triggers!$A:$A),MATCH(N$1,enemy_skill_triggers!$1:$1,0)-MATCH($F$1,enemy_skill_triggers!$1:$1,0)+1),MATCH(N$1,enemy_skill_triggers!$1:$1,0)-MATCH($F$1,enemy_skill_triggers!$1:$1,0)+1,FALSE)</f>
        <v>1155</v>
      </c>
      <c r="O95" s="44">
        <f ca="1">VLOOKUP($F95,OFFSET(enemy_skill_triggers!$A$1,0,0,COUNTA(enemy_skill_triggers!$A:$A),MATCH(O$1,enemy_skill_triggers!$1:$1,0)-MATCH($F$1,enemy_skill_triggers!$1:$1,0)+1),MATCH(O$1,enemy_skill_triggers!$1:$1,0)-MATCH($F$1,enemy_skill_triggers!$1:$1,0)+1,FALSE)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5" s="43"/>
      <c r="Q95" s="43"/>
      <c r="R95" s="172"/>
    </row>
    <row r="96" spans="1:18" ht="21" customHeight="1" thickBot="1" x14ac:dyDescent="0.2">
      <c r="A96" s="39" t="str">
        <f t="shared" si="5"/>
        <v>40034011_40034378</v>
      </c>
      <c r="B96" s="123">
        <v>40034011</v>
      </c>
      <c r="C96" s="43">
        <v>40034378</v>
      </c>
      <c r="D96" s="42" t="str">
        <f ca="1">VLOOKUP($C96,OFFSET(enemy_skills!$A$1,0,0,COUNTA(enemy_skills!$A:$A),MATCH(D$1,enemy_skills!$1:$1,0)-MATCH("enemy_skill_id",enemy_skills!$1:$1,0)+1),MATCH(D$1,enemy_skills!$1:$1,0)-MATCH("enemy_skill_id",enemy_skills!$1:$1,0)+1,FALSE)</f>
        <v>…ドゥルガー…さん…_x000D_油断…できない…相手</v>
      </c>
      <c r="E96" s="42" t="str">
        <f ca="1">VLOOKUP($C96,OFFSET(enemy_skills!$A$1,0,0,COUNTA(enemy_skills!$A:$A),MATCH(E$1,enemy_skills!$1:$1,0)-MATCH("enemy_skill_id",enemy_skills!$1:$1,0)+1),MATCH(E$1,enemy_skills!$1:$1,0)-MATCH("enemy_skill_id",enemy_skills!$1:$1,0)+1,FALSE)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6" s="43">
        <v>40034614</v>
      </c>
      <c r="G96" s="44">
        <f ca="1">VLOOKUP($F96,OFFSET(enemy_skill_triggers!$A$1,0,0,COUNTA(enemy_skill_triggers!$A:$A),MATCH(G$1,enemy_skill_triggers!$1:$1,0)-MATCH($F$1,enemy_skill_triggers!$1:$1,0)+1),MATCH(G$1,enemy_skill_triggers!$1:$1,0)-MATCH($F$1,enemy_skill_triggers!$1:$1,0)+1,FALSE)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6" s="44">
        <f ca="1">VLOOKUP($F96,OFFSET(enemy_skill_triggers!$A$1,0,0,COUNTA(enemy_skill_triggers!$A:$A),MATCH(H$1,enemy_skill_triggers!$1:$1,0)-MATCH($F$1,enemy_skill_triggers!$1:$1,0)+1),MATCH(H$1,enemy_skill_triggers!$1:$1,0)-MATCH($F$1,enemy_skill_triggers!$1:$1,0)+1,FALSE)</f>
        <v>94</v>
      </c>
      <c r="I96" s="44">
        <f ca="1">VLOOKUP($F96,OFFSET(enemy_skill_triggers!$A$1,0,0,COUNTA(enemy_skill_triggers!$A:$A),MATCH(I$1,enemy_skill_triggers!$1:$1,0)-MATCH($F$1,enemy_skill_triggers!$1:$1,0)+1),MATCH(I$1,enemy_skill_triggers!$1:$1,0)-MATCH($F$1,enemy_skill_triggers!$1:$1,0)+1,FALSE)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6" s="44" t="str">
        <f ca="1">VLOOKUP($F96,OFFSET(enemy_skill_triggers!$A$1,0,0,COUNTA(enemy_skill_triggers!$A:$A),MATCH(J$1,enemy_skill_triggers!$1:$1,0)-MATCH($F$1,enemy_skill_triggers!$1:$1,0)+1),MATCH(J$1,enemy_skill_triggers!$1:$1,0)-MATCH($F$1,enemy_skill_triggers!$1:$1,0)+1,FALSE)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6" s="44" t="str">
        <f ca="1">VLOOKUP($F96,OFFSET(enemy_skill_triggers!$A$1,0,0,COUNTA(enemy_skill_triggers!$A:$A),MATCH(K$1,enemy_skill_triggers!$1:$1,0)-MATCH($F$1,enemy_skill_triggers!$1:$1,0)+1),MATCH(K$1,enemy_skill_triggers!$1:$1,0)-MATCH($F$1,enemy_skill_triggers!$1:$1,0)+1,FALSE)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6" s="44">
        <f ca="1">VLOOKUP($F96,OFFSET(enemy_skill_triggers!$A$1,0,0,COUNTA(enemy_skill_triggers!$A:$A),MATCH(L$1,enemy_skill_triggers!$1:$1,0)-MATCH($F$1,enemy_skill_triggers!$1:$1,0)+1),MATCH(L$1,enemy_skill_triggers!$1:$1,0)-MATCH($F$1,enemy_skill_triggers!$1:$1,0)+1,FALSE)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6" s="44" t="str">
        <f ca="1">VLOOKUP($F96,OFFSET(enemy_skill_triggers!$A$1,0,0,COUNTA(enemy_skill_triggers!$A:$A),MATCH(M$1,enemy_skill_triggers!$1:$1,0)-MATCH($F$1,enemy_skill_triggers!$1:$1,0)+1),MATCH(M$1,enemy_skill_triggers!$1:$1,0)-MATCH($F$1,enemy_skill_triggers!$1:$1,0)+1,FALSE)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6" s="44">
        <f ca="1">VLOOKUP($F96,OFFSET(enemy_skill_triggers!$A$1,0,0,COUNTA(enemy_skill_triggers!$A:$A),MATCH(N$1,enemy_skill_triggers!$1:$1,0)-MATCH($F$1,enemy_skill_triggers!$1:$1,0)+1),MATCH(N$1,enemy_skill_triggers!$1:$1,0)-MATCH($F$1,enemy_skill_triggers!$1:$1,0)+1,FALSE)</f>
        <v>1156</v>
      </c>
      <c r="O96" s="44">
        <f ca="1">VLOOKUP($F96,OFFSET(enemy_skill_triggers!$A$1,0,0,COUNTA(enemy_skill_triggers!$A:$A),MATCH(O$1,enemy_skill_triggers!$1:$1,0)-MATCH($F$1,enemy_skill_triggers!$1:$1,0)+1),MATCH(O$1,enemy_skill_triggers!$1:$1,0)-MATCH($F$1,enemy_skill_triggers!$1:$1,0)+1,FALSE)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6" s="43"/>
      <c r="Q96" s="43"/>
      <c r="R96" s="172"/>
    </row>
    <row r="97" spans="1:18" ht="21" customHeight="1" thickBot="1" x14ac:dyDescent="0.2">
      <c r="A97" s="39" t="str">
        <f t="shared" si="5"/>
        <v>40034011_40034379</v>
      </c>
      <c r="B97" s="123">
        <v>40034011</v>
      </c>
      <c r="C97" s="43">
        <v>40034379</v>
      </c>
      <c r="D97" s="42" t="str">
        <f ca="1">VLOOKUP($C97,OFFSET(enemy_skills!$A$1,0,0,COUNTA(enemy_skills!$A:$A),MATCH(D$1,enemy_skills!$1:$1,0)-MATCH("enemy_skill_id",enemy_skills!$1:$1,0)+1),MATCH(D$1,enemy_skills!$1:$1,0)-MATCH("enemy_skill_id",enemy_skills!$1:$1,0)+1,FALSE)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97" s="42" t="str">
        <f ca="1">VLOOKUP($C97,OFFSET(enemy_skills!$A$1,0,0,COUNTA(enemy_skills!$A:$A),MATCH(E$1,enemy_skills!$1:$1,0)-MATCH("enemy_skill_id",enemy_skills!$1:$1,0)+1),MATCH(E$1,enemy_skills!$1:$1,0)-MATCH("enemy_skill_id",enemy_skills!$1:$1,0)+1,FALSE)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7" s="43">
        <v>40034615</v>
      </c>
      <c r="G97" s="44">
        <f ca="1">VLOOKUP($F97,OFFSET(enemy_skill_triggers!$A$1,0,0,COUNTA(enemy_skill_triggers!$A:$A),MATCH(G$1,enemy_skill_triggers!$1:$1,0)-MATCH($F$1,enemy_skill_triggers!$1:$1,0)+1),MATCH(G$1,enemy_skill_triggers!$1:$1,0)-MATCH($F$1,enemy_skill_triggers!$1:$1,0)+1,FALSE)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7" s="44">
        <f ca="1">VLOOKUP($F97,OFFSET(enemy_skill_triggers!$A$1,0,0,COUNTA(enemy_skill_triggers!$A:$A),MATCH(H$1,enemy_skill_triggers!$1:$1,0)-MATCH($F$1,enemy_skill_triggers!$1:$1,0)+1),MATCH(H$1,enemy_skill_triggers!$1:$1,0)-MATCH($F$1,enemy_skill_triggers!$1:$1,0)+1,FALSE)</f>
        <v>100</v>
      </c>
      <c r="I97" s="44">
        <f ca="1">VLOOKUP($F97,OFFSET(enemy_skill_triggers!$A$1,0,0,COUNTA(enemy_skill_triggers!$A:$A),MATCH(I$1,enemy_skill_triggers!$1:$1,0)-MATCH($F$1,enemy_skill_triggers!$1:$1,0)+1),MATCH(I$1,enemy_skill_triggers!$1:$1,0)-MATCH($F$1,enemy_skill_triggers!$1:$1,0)+1,FALSE)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7" s="44" t="str">
        <f ca="1">VLOOKUP($F97,OFFSET(enemy_skill_triggers!$A$1,0,0,COUNTA(enemy_skill_triggers!$A:$A),MATCH(J$1,enemy_skill_triggers!$1:$1,0)-MATCH($F$1,enemy_skill_triggers!$1:$1,0)+1),MATCH(J$1,enemy_skill_triggers!$1:$1,0)-MATCH($F$1,enemy_skill_triggers!$1:$1,0)+1,FALSE)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7" s="44" t="str">
        <f ca="1">VLOOKUP($F97,OFFSET(enemy_skill_triggers!$A$1,0,0,COUNTA(enemy_skill_triggers!$A:$A),MATCH(K$1,enemy_skill_triggers!$1:$1,0)-MATCH($F$1,enemy_skill_triggers!$1:$1,0)+1),MATCH(K$1,enemy_skill_triggers!$1:$1,0)-MATCH($F$1,enemy_skill_triggers!$1:$1,0)+1,FALSE)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7" s="44">
        <f ca="1">VLOOKUP($F97,OFFSET(enemy_skill_triggers!$A$1,0,0,COUNTA(enemy_skill_triggers!$A:$A),MATCH(L$1,enemy_skill_triggers!$1:$1,0)-MATCH($F$1,enemy_skill_triggers!$1:$1,0)+1),MATCH(L$1,enemy_skill_triggers!$1:$1,0)-MATCH($F$1,enemy_skill_triggers!$1:$1,0)+1,FALSE)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7" s="44" t="str">
        <f ca="1">VLOOKUP($F97,OFFSET(enemy_skill_triggers!$A$1,0,0,COUNTA(enemy_skill_triggers!$A:$A),MATCH(M$1,enemy_skill_triggers!$1:$1,0)-MATCH($F$1,enemy_skill_triggers!$1:$1,0)+1),MATCH(M$1,enemy_skill_triggers!$1:$1,0)-MATCH($F$1,enemy_skill_triggers!$1:$1,0)+1,FALSE)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7" s="44">
        <f ca="1">VLOOKUP($F97,OFFSET(enemy_skill_triggers!$A$1,0,0,COUNTA(enemy_skill_triggers!$A:$A),MATCH(N$1,enemy_skill_triggers!$1:$1,0)-MATCH($F$1,enemy_skill_triggers!$1:$1,0)+1),MATCH(N$1,enemy_skill_triggers!$1:$1,0)-MATCH($F$1,enemy_skill_triggers!$1:$1,0)+1,FALSE)</f>
        <v>656</v>
      </c>
      <c r="O97" s="44">
        <f ca="1">VLOOKUP($F97,OFFSET(enemy_skill_triggers!$A$1,0,0,COUNTA(enemy_skill_triggers!$A:$A),MATCH(O$1,enemy_skill_triggers!$1:$1,0)-MATCH($F$1,enemy_skill_triggers!$1:$1,0)+1),MATCH(O$1,enemy_skill_triggers!$1:$1,0)-MATCH($F$1,enemy_skill_triggers!$1:$1,0)+1,FALSE)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7" s="43"/>
      <c r="Q97" s="43"/>
      <c r="R97" s="172"/>
    </row>
    <row r="98" spans="1:18" ht="21" customHeight="1" thickBot="1" x14ac:dyDescent="0.2">
      <c r="A98" s="39" t="str">
        <f t="shared" si="5"/>
        <v>40034011_40034379</v>
      </c>
      <c r="B98" s="123">
        <v>40034011</v>
      </c>
      <c r="C98" s="43">
        <v>40034379</v>
      </c>
      <c r="D98" s="42" t="str">
        <f ca="1">VLOOKUP($C98,OFFSET(enemy_skills!$A$1,0,0,COUNTA(enemy_skills!$A:$A),MATCH(D$1,enemy_skills!$1:$1,0)-MATCH("enemy_skill_id",enemy_skills!$1:$1,0)+1),MATCH(D$1,enemy_skills!$1:$1,0)-MATCH("enemy_skill_id",enemy_skills!$1:$1,0)+1,FALSE)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98" s="42" t="str">
        <f ca="1">VLOOKUP($C98,OFFSET(enemy_skills!$A$1,0,0,COUNTA(enemy_skills!$A:$A),MATCH(E$1,enemy_skills!$1:$1,0)-MATCH("enemy_skill_id",enemy_skills!$1:$1,0)+1),MATCH(E$1,enemy_skills!$1:$1,0)-MATCH("enemy_skill_id",enemy_skills!$1:$1,0)+1,FALSE)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8" s="43">
        <v>40034616</v>
      </c>
      <c r="G98" s="44">
        <f ca="1">VLOOKUP($F98,OFFSET(enemy_skill_triggers!$A$1,0,0,COUNTA(enemy_skill_triggers!$A:$A),MATCH(G$1,enemy_skill_triggers!$1:$1,0)-MATCH($F$1,enemy_skill_triggers!$1:$1,0)+1),MATCH(G$1,enemy_skill_triggers!$1:$1,0)-MATCH($F$1,enemy_skill_triggers!$1:$1,0)+1,FALSE)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8" s="44">
        <f ca="1">VLOOKUP($F98,OFFSET(enemy_skill_triggers!$A$1,0,0,COUNTA(enemy_skill_triggers!$A:$A),MATCH(H$1,enemy_skill_triggers!$1:$1,0)-MATCH($F$1,enemy_skill_triggers!$1:$1,0)+1),MATCH(H$1,enemy_skill_triggers!$1:$1,0)-MATCH($F$1,enemy_skill_triggers!$1:$1,0)+1,FALSE)</f>
        <v>99</v>
      </c>
      <c r="I98" s="44">
        <f ca="1">VLOOKUP($F98,OFFSET(enemy_skill_triggers!$A$1,0,0,COUNTA(enemy_skill_triggers!$A:$A),MATCH(I$1,enemy_skill_triggers!$1:$1,0)-MATCH($F$1,enemy_skill_triggers!$1:$1,0)+1),MATCH(I$1,enemy_skill_triggers!$1:$1,0)-MATCH($F$1,enemy_skill_triggers!$1:$1,0)+1,FALSE)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8" s="44" t="str">
        <f ca="1">VLOOKUP($F98,OFFSET(enemy_skill_triggers!$A$1,0,0,COUNTA(enemy_skill_triggers!$A:$A),MATCH(J$1,enemy_skill_triggers!$1:$1,0)-MATCH($F$1,enemy_skill_triggers!$1:$1,0)+1),MATCH(J$1,enemy_skill_triggers!$1:$1,0)-MATCH($F$1,enemy_skill_triggers!$1:$1,0)+1,FALSE)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8" s="44" t="str">
        <f ca="1">VLOOKUP($F98,OFFSET(enemy_skill_triggers!$A$1,0,0,COUNTA(enemy_skill_triggers!$A:$A),MATCH(K$1,enemy_skill_triggers!$1:$1,0)-MATCH($F$1,enemy_skill_triggers!$1:$1,0)+1),MATCH(K$1,enemy_skill_triggers!$1:$1,0)-MATCH($F$1,enemy_skill_triggers!$1:$1,0)+1,FALSE)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8" s="44">
        <f ca="1">VLOOKUP($F98,OFFSET(enemy_skill_triggers!$A$1,0,0,COUNTA(enemy_skill_triggers!$A:$A),MATCH(L$1,enemy_skill_triggers!$1:$1,0)-MATCH($F$1,enemy_skill_triggers!$1:$1,0)+1),MATCH(L$1,enemy_skill_triggers!$1:$1,0)-MATCH($F$1,enemy_skill_triggers!$1:$1,0)+1,FALSE)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8" s="44" t="str">
        <f ca="1">VLOOKUP($F98,OFFSET(enemy_skill_triggers!$A$1,0,0,COUNTA(enemy_skill_triggers!$A:$A),MATCH(M$1,enemy_skill_triggers!$1:$1,0)-MATCH($F$1,enemy_skill_triggers!$1:$1,0)+1),MATCH(M$1,enemy_skill_triggers!$1:$1,0)-MATCH($F$1,enemy_skill_triggers!$1:$1,0)+1,FALSE)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8" s="44">
        <f ca="1">VLOOKUP($F98,OFFSET(enemy_skill_triggers!$A$1,0,0,COUNTA(enemy_skill_triggers!$A:$A),MATCH(N$1,enemy_skill_triggers!$1:$1,0)-MATCH($F$1,enemy_skill_triggers!$1:$1,0)+1),MATCH(N$1,enemy_skill_triggers!$1:$1,0)-MATCH($F$1,enemy_skill_triggers!$1:$1,0)+1,FALSE)</f>
        <v>657</v>
      </c>
      <c r="O98" s="44">
        <f ca="1">VLOOKUP($F98,OFFSET(enemy_skill_triggers!$A$1,0,0,COUNTA(enemy_skill_triggers!$A:$A),MATCH(O$1,enemy_skill_triggers!$1:$1,0)-MATCH($F$1,enemy_skill_triggers!$1:$1,0)+1),MATCH(O$1,enemy_skill_triggers!$1:$1,0)-MATCH($F$1,enemy_skill_triggers!$1:$1,0)+1,FALSE)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8" s="43"/>
      <c r="Q98" s="43"/>
      <c r="R98" s="172"/>
    </row>
    <row r="99" spans="1:18" ht="21" customHeight="1" thickBot="1" x14ac:dyDescent="0.2">
      <c r="A99" s="39" t="str">
        <f t="shared" si="5"/>
        <v>40034011_40034379</v>
      </c>
      <c r="B99" s="123">
        <v>40034011</v>
      </c>
      <c r="C99" s="43">
        <v>40034379</v>
      </c>
      <c r="D99" s="42" t="str">
        <f ca="1">VLOOKUP($C99,OFFSET(enemy_skills!$A$1,0,0,COUNTA(enemy_skills!$A:$A),MATCH(D$1,enemy_skills!$1:$1,0)-MATCH("enemy_skill_id",enemy_skills!$1:$1,0)+1),MATCH(D$1,enemy_skills!$1:$1,0)-MATCH("enemy_skill_id",enemy_skills!$1:$1,0)+1,FALSE)</f>
        <v>シヴァ…様…？会いに…_x000D_きてくれた…嬉しい…</v>
      </c>
      <c r="E99" s="42" t="str">
        <f ca="1">VLOOKUP($C99,OFFSET(enemy_skills!$A$1,0,0,COUNTA(enemy_skills!$A:$A),MATCH(E$1,enemy_skills!$1:$1,0)-MATCH("enemy_skill_id",enemy_skills!$1:$1,0)+1),MATCH(E$1,enemy_skills!$1:$1,0)-MATCH("enemy_skill_id",enemy_skills!$1:$1,0)+1,FALSE)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99" s="43">
        <v>40034617</v>
      </c>
      <c r="G99" s="44">
        <f ca="1">VLOOKUP($F99,OFFSET(enemy_skill_triggers!$A$1,0,0,COUNTA(enemy_skill_triggers!$A:$A),MATCH(G$1,enemy_skill_triggers!$1:$1,0)-MATCH($F$1,enemy_skill_triggers!$1:$1,0)+1),MATCH(G$1,enemy_skill_triggers!$1:$1,0)-MATCH($F$1,enemy_skill_triggers!$1:$1,0)+1,FALSE)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99" s="44">
        <f ca="1">VLOOKUP($F99,OFFSET(enemy_skill_triggers!$A$1,0,0,COUNTA(enemy_skill_triggers!$A:$A),MATCH(H$1,enemy_skill_triggers!$1:$1,0)-MATCH($F$1,enemy_skill_triggers!$1:$1,0)+1),MATCH(H$1,enemy_skill_triggers!$1:$1,0)-MATCH($F$1,enemy_skill_triggers!$1:$1,0)+1,FALSE)</f>
        <v>98</v>
      </c>
      <c r="I99" s="44">
        <f ca="1">VLOOKUP($F99,OFFSET(enemy_skill_triggers!$A$1,0,0,COUNTA(enemy_skill_triggers!$A:$A),MATCH(I$1,enemy_skill_triggers!$1:$1,0)-MATCH($F$1,enemy_skill_triggers!$1:$1,0)+1),MATCH(I$1,enemy_skill_triggers!$1:$1,0)-MATCH($F$1,enemy_skill_triggers!$1:$1,0)+1,FALSE)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99" s="44" t="str">
        <f ca="1">VLOOKUP($F99,OFFSET(enemy_skill_triggers!$A$1,0,0,COUNTA(enemy_skill_triggers!$A:$A),MATCH(J$1,enemy_skill_triggers!$1:$1,0)-MATCH($F$1,enemy_skill_triggers!$1:$1,0)+1),MATCH(J$1,enemy_skill_triggers!$1:$1,0)-MATCH($F$1,enemy_skill_triggers!$1:$1,0)+1,FALSE)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99" s="44" t="str">
        <f ca="1">VLOOKUP($F99,OFFSET(enemy_skill_triggers!$A$1,0,0,COUNTA(enemy_skill_triggers!$A:$A),MATCH(K$1,enemy_skill_triggers!$1:$1,0)-MATCH($F$1,enemy_skill_triggers!$1:$1,0)+1),MATCH(K$1,enemy_skill_triggers!$1:$1,0)-MATCH($F$1,enemy_skill_triggers!$1:$1,0)+1,FALSE)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99" s="44">
        <f ca="1">VLOOKUP($F99,OFFSET(enemy_skill_triggers!$A$1,0,0,COUNTA(enemy_skill_triggers!$A:$A),MATCH(L$1,enemy_skill_triggers!$1:$1,0)-MATCH($F$1,enemy_skill_triggers!$1:$1,0)+1),MATCH(L$1,enemy_skill_triggers!$1:$1,0)-MATCH($F$1,enemy_skill_triggers!$1:$1,0)+1,FALSE)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99" s="44" t="str">
        <f ca="1">VLOOKUP($F99,OFFSET(enemy_skill_triggers!$A$1,0,0,COUNTA(enemy_skill_triggers!$A:$A),MATCH(M$1,enemy_skill_triggers!$1:$1,0)-MATCH($F$1,enemy_skill_triggers!$1:$1,0)+1),MATCH(M$1,enemy_skill_triggers!$1:$1,0)-MATCH($F$1,enemy_skill_triggers!$1:$1,0)+1,FALSE)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99" s="44">
        <f ca="1">VLOOKUP($F99,OFFSET(enemy_skill_triggers!$A$1,0,0,COUNTA(enemy_skill_triggers!$A:$A),MATCH(N$1,enemy_skill_triggers!$1:$1,0)-MATCH($F$1,enemy_skill_triggers!$1:$1,0)+1),MATCH(N$1,enemy_skill_triggers!$1:$1,0)-MATCH($F$1,enemy_skill_triggers!$1:$1,0)+1,FALSE)</f>
        <v>834</v>
      </c>
      <c r="O99" s="44">
        <f ca="1">VLOOKUP($F99,OFFSET(enemy_skill_triggers!$A$1,0,0,COUNTA(enemy_skill_triggers!$A:$A),MATCH(O$1,enemy_skill_triggers!$1:$1,0)-MATCH($F$1,enemy_skill_triggers!$1:$1,0)+1),MATCH(O$1,enemy_skill_triggers!$1:$1,0)-MATCH($F$1,enemy_skill_triggers!$1:$1,0)+1,FALSE)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99" s="43"/>
      <c r="Q99" s="43"/>
      <c r="R99" s="172"/>
    </row>
    <row r="100" spans="1:18" ht="21" customHeight="1" thickBot="1" x14ac:dyDescent="0.2">
      <c r="A100" s="39" t="str">
        <f t="shared" si="5"/>
        <v>40034011_40034380</v>
      </c>
      <c r="B100" s="123">
        <v>40034011</v>
      </c>
      <c r="C100" s="43">
        <v>40034380</v>
      </c>
      <c r="D100" s="42" t="str">
        <f ca="1">VLOOKUP($C100,OFFSET(enemy_skills!$A$1,0,0,COUNTA(enemy_skills!$A:$A),MATCH(D$1,enemy_skills!$1:$1,0)-MATCH("enemy_skill_id",enemy_skills!$1:$1,0)+1),MATCH(D$1,enemy_skills!$1:$1,0)-MATCH("enemy_skill_id",enemy_skills!$1:$1,0)+1,FALSE)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100" s="42" t="str">
        <f ca="1">VLOOKUP($C100,OFFSET(enemy_skills!$A$1,0,0,COUNTA(enemy_skills!$A:$A),MATCH(E$1,enemy_skills!$1:$1,0)-MATCH("enemy_skill_id",enemy_skills!$1:$1,0)+1),MATCH(E$1,enemy_skills!$1:$1,0)-MATCH("enemy_skill_id",enemy_skills!$1:$1,0)+1,FALSE)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100" s="43">
        <v>40034618</v>
      </c>
      <c r="G100" s="44">
        <f ca="1">VLOOKUP($F100,OFFSET(enemy_skill_triggers!$A$1,0,0,COUNTA(enemy_skill_triggers!$A:$A),MATCH(G$1,enemy_skill_triggers!$1:$1,0)-MATCH($F$1,enemy_skill_triggers!$1:$1,0)+1),MATCH(G$1,enemy_skill_triggers!$1:$1,0)-MATCH($F$1,enemy_skill_triggers!$1:$1,0)+1,FALSE)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0" s="44">
        <f ca="1">VLOOKUP($F100,OFFSET(enemy_skill_triggers!$A$1,0,0,COUNTA(enemy_skill_triggers!$A:$A),MATCH(H$1,enemy_skill_triggers!$1:$1,0)-MATCH($F$1,enemy_skill_triggers!$1:$1,0)+1),MATCH(H$1,enemy_skill_triggers!$1:$1,0)-MATCH($F$1,enemy_skill_triggers!$1:$1,0)+1,FALSE)</f>
        <v>93</v>
      </c>
      <c r="I100" s="44">
        <f ca="1">VLOOKUP($F100,OFFSET(enemy_skill_triggers!$A$1,0,0,COUNTA(enemy_skill_triggers!$A:$A),MATCH(I$1,enemy_skill_triggers!$1:$1,0)-MATCH($F$1,enemy_skill_triggers!$1:$1,0)+1),MATCH(I$1,enemy_skill_triggers!$1:$1,0)-MATCH($F$1,enemy_skill_triggers!$1:$1,0)+1,FALSE)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0" s="44" t="str">
        <f ca="1">VLOOKUP($F100,OFFSET(enemy_skill_triggers!$A$1,0,0,COUNTA(enemy_skill_triggers!$A:$A),MATCH(J$1,enemy_skill_triggers!$1:$1,0)-MATCH($F$1,enemy_skill_triggers!$1:$1,0)+1),MATCH(J$1,enemy_skill_triggers!$1:$1,0)-MATCH($F$1,enemy_skill_triggers!$1:$1,0)+1,FALSE)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0" s="44" t="str">
        <f ca="1">VLOOKUP($F100,OFFSET(enemy_skill_triggers!$A$1,0,0,COUNTA(enemy_skill_triggers!$A:$A),MATCH(K$1,enemy_skill_triggers!$1:$1,0)-MATCH($F$1,enemy_skill_triggers!$1:$1,0)+1),MATCH(K$1,enemy_skill_triggers!$1:$1,0)-MATCH($F$1,enemy_skill_triggers!$1:$1,0)+1,FALSE)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0" s="44">
        <f ca="1">VLOOKUP($F100,OFFSET(enemy_skill_triggers!$A$1,0,0,COUNTA(enemy_skill_triggers!$A:$A),MATCH(L$1,enemy_skill_triggers!$1:$1,0)-MATCH($F$1,enemy_skill_triggers!$1:$1,0)+1),MATCH(L$1,enemy_skill_triggers!$1:$1,0)-MATCH($F$1,enemy_skill_triggers!$1:$1,0)+1,FALSE)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0" s="44" t="str">
        <f ca="1">VLOOKUP($F100,OFFSET(enemy_skill_triggers!$A$1,0,0,COUNTA(enemy_skill_triggers!$A:$A),MATCH(M$1,enemy_skill_triggers!$1:$1,0)-MATCH($F$1,enemy_skill_triggers!$1:$1,0)+1),MATCH(M$1,enemy_skill_triggers!$1:$1,0)-MATCH($F$1,enemy_skill_triggers!$1:$1,0)+1,FALSE)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0" s="44">
        <f ca="1">VLOOKUP($F100,OFFSET(enemy_skill_triggers!$A$1,0,0,COUNTA(enemy_skill_triggers!$A:$A),MATCH(N$1,enemy_skill_triggers!$1:$1,0)-MATCH($F$1,enemy_skill_triggers!$1:$1,0)+1),MATCH(N$1,enemy_skill_triggers!$1:$1,0)-MATCH($F$1,enemy_skill_triggers!$1:$1,0)+1,FALSE)</f>
        <v>642</v>
      </c>
      <c r="O100" s="44">
        <f ca="1">VLOOKUP($F100,OFFSET(enemy_skill_triggers!$A$1,0,0,COUNTA(enemy_skill_triggers!$A:$A),MATCH(O$1,enemy_skill_triggers!$1:$1,0)-MATCH($F$1,enemy_skill_triggers!$1:$1,0)+1),MATCH(O$1,enemy_skill_triggers!$1:$1,0)-MATCH($F$1,enemy_skill_triggers!$1:$1,0)+1,FALSE)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0" s="43"/>
      <c r="Q100" s="43"/>
      <c r="R100" s="172"/>
    </row>
    <row r="101" spans="1:18" ht="21" customHeight="1" thickBot="1" x14ac:dyDescent="0.2">
      <c r="A101" s="39" t="str">
        <f t="shared" si="5"/>
        <v>40034011_40034380</v>
      </c>
      <c r="B101" s="123">
        <v>40034011</v>
      </c>
      <c r="C101" s="43">
        <v>40034380</v>
      </c>
      <c r="D101" s="42" t="str">
        <f ca="1">VLOOKUP($C101,OFFSET(enemy_skills!$A$1,0,0,COUNTA(enemy_skills!$A:$A),MATCH(D$1,enemy_skills!$1:$1,0)-MATCH("enemy_skill_id",enemy_skills!$1:$1,0)+1),MATCH(D$1,enemy_skills!$1:$1,0)-MATCH("enemy_skill_id",enemy_skills!$1:$1,0)+1,FALSE)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101" s="42" t="str">
        <f ca="1">VLOOKUP($C101,OFFSET(enemy_skills!$A$1,0,0,COUNTA(enemy_skills!$A:$A),MATCH(E$1,enemy_skills!$1:$1,0)-MATCH("enemy_skill_id",enemy_skills!$1:$1,0)+1),MATCH(E$1,enemy_skills!$1:$1,0)-MATCH("enemy_skill_id",enemy_skills!$1:$1,0)+1,FALSE)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101" s="43">
        <v>40034619</v>
      </c>
      <c r="G101" s="44">
        <f ca="1">VLOOKUP($F101,OFFSET(enemy_skill_triggers!$A$1,0,0,COUNTA(enemy_skill_triggers!$A:$A),MATCH(G$1,enemy_skill_triggers!$1:$1,0)-MATCH($F$1,enemy_skill_triggers!$1:$1,0)+1),MATCH(G$1,enemy_skill_triggers!$1:$1,0)-MATCH($F$1,enemy_skill_triggers!$1:$1,0)+1,FALSE)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1" s="44">
        <f ca="1">VLOOKUP($F101,OFFSET(enemy_skill_triggers!$A$1,0,0,COUNTA(enemy_skill_triggers!$A:$A),MATCH(H$1,enemy_skill_triggers!$1:$1,0)-MATCH($F$1,enemy_skill_triggers!$1:$1,0)+1),MATCH(H$1,enemy_skill_triggers!$1:$1,0)-MATCH($F$1,enemy_skill_triggers!$1:$1,0)+1,FALSE)</f>
        <v>92</v>
      </c>
      <c r="I101" s="44">
        <f ca="1">VLOOKUP($F101,OFFSET(enemy_skill_triggers!$A$1,0,0,COUNTA(enemy_skill_triggers!$A:$A),MATCH(I$1,enemy_skill_triggers!$1:$1,0)-MATCH($F$1,enemy_skill_triggers!$1:$1,0)+1),MATCH(I$1,enemy_skill_triggers!$1:$1,0)-MATCH($F$1,enemy_skill_triggers!$1:$1,0)+1,FALSE)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1" s="44" t="str">
        <f ca="1">VLOOKUP($F101,OFFSET(enemy_skill_triggers!$A$1,0,0,COUNTA(enemy_skill_triggers!$A:$A),MATCH(J$1,enemy_skill_triggers!$1:$1,0)-MATCH($F$1,enemy_skill_triggers!$1:$1,0)+1),MATCH(J$1,enemy_skill_triggers!$1:$1,0)-MATCH($F$1,enemy_skill_triggers!$1:$1,0)+1,FALSE)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1" s="44" t="str">
        <f ca="1">VLOOKUP($F101,OFFSET(enemy_skill_triggers!$A$1,0,0,COUNTA(enemy_skill_triggers!$A:$A),MATCH(K$1,enemy_skill_triggers!$1:$1,0)-MATCH($F$1,enemy_skill_triggers!$1:$1,0)+1),MATCH(K$1,enemy_skill_triggers!$1:$1,0)-MATCH($F$1,enemy_skill_triggers!$1:$1,0)+1,FALSE)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1" s="44">
        <f ca="1">VLOOKUP($F101,OFFSET(enemy_skill_triggers!$A$1,0,0,COUNTA(enemy_skill_triggers!$A:$A),MATCH(L$1,enemy_skill_triggers!$1:$1,0)-MATCH($F$1,enemy_skill_triggers!$1:$1,0)+1),MATCH(L$1,enemy_skill_triggers!$1:$1,0)-MATCH($F$1,enemy_skill_triggers!$1:$1,0)+1,FALSE)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1" s="44" t="str">
        <f ca="1">VLOOKUP($F101,OFFSET(enemy_skill_triggers!$A$1,0,0,COUNTA(enemy_skill_triggers!$A:$A),MATCH(M$1,enemy_skill_triggers!$1:$1,0)-MATCH($F$1,enemy_skill_triggers!$1:$1,0)+1),MATCH(M$1,enemy_skill_triggers!$1:$1,0)-MATCH($F$1,enemy_skill_triggers!$1:$1,0)+1,FALSE)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1" s="44">
        <f ca="1">VLOOKUP($F101,OFFSET(enemy_skill_triggers!$A$1,0,0,COUNTA(enemy_skill_triggers!$A:$A),MATCH(N$1,enemy_skill_triggers!$1:$1,0)-MATCH($F$1,enemy_skill_triggers!$1:$1,0)+1),MATCH(N$1,enemy_skill_triggers!$1:$1,0)-MATCH($F$1,enemy_skill_triggers!$1:$1,0)+1,FALSE)</f>
        <v>643</v>
      </c>
      <c r="O101" s="44">
        <f ca="1">VLOOKUP($F101,OFFSET(enemy_skill_triggers!$A$1,0,0,COUNTA(enemy_skill_triggers!$A:$A),MATCH(O$1,enemy_skill_triggers!$1:$1,0)-MATCH($F$1,enemy_skill_triggers!$1:$1,0)+1),MATCH(O$1,enemy_skill_triggers!$1:$1,0)-MATCH($F$1,enemy_skill_triggers!$1:$1,0)+1,FALSE)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1" s="43"/>
      <c r="Q101" s="43"/>
      <c r="R101" s="172"/>
    </row>
    <row r="102" spans="1:18" ht="21" customHeight="1" thickBot="1" x14ac:dyDescent="0.2">
      <c r="A102" s="39" t="str">
        <f t="shared" si="5"/>
        <v>40034011_40034380</v>
      </c>
      <c r="B102" s="123">
        <v>40034011</v>
      </c>
      <c r="C102" s="43">
        <v>40034380</v>
      </c>
      <c r="D102" s="42" t="str">
        <f ca="1">VLOOKUP($C102,OFFSET(enemy_skills!$A$1,0,0,COUNTA(enemy_skills!$A:$A),MATCH(D$1,enemy_skills!$1:$1,0)-MATCH("enemy_skill_id",enemy_skills!$1:$1,0)+1),MATCH(D$1,enemy_skills!$1:$1,0)-MATCH("enemy_skill_id",enemy_skills!$1:$1,0)+1,FALSE)</f>
        <v>作戦は…失敗でした…ね？_x000D_カーマ…さん</v>
      </c>
      <c r="E102" s="42" t="str">
        <f ca="1">VLOOKUP($C102,OFFSET(enemy_skills!$A$1,0,0,COUNTA(enemy_skills!$A:$A),MATCH(E$1,enemy_skills!$1:$1,0)-MATCH("enemy_skill_id",enemy_skills!$1:$1,0)+1),MATCH(E$1,enemy_skills!$1:$1,0)-MATCH("enemy_skill_id",enemy_skills!$1:$1,0)+1,FALSE)</f>
        <v>ハートパネルは30％の確率で_x000D_お邪魔パネルに変換されてドロップする！</v>
      </c>
      <c r="F102" s="43">
        <v>40034620</v>
      </c>
      <c r="G102" s="44">
        <f ca="1">VLOOKUP($F102,OFFSET(enemy_skill_triggers!$A$1,0,0,COUNTA(enemy_skill_triggers!$A:$A),MATCH(G$1,enemy_skill_triggers!$1:$1,0)-MATCH($F$1,enemy_skill_triggers!$1:$1,0)+1),MATCH(G$1,enemy_skill_triggers!$1:$1,0)-MATCH($F$1,enemy_skill_triggers!$1:$1,0)+1,FALSE)</f>
        <v>1</v>
      </c>
      <c r="H102" s="44">
        <f ca="1">VLOOKUP($F102,OFFSET(enemy_skill_triggers!$A$1,0,0,COUNTA(enemy_skill_triggers!$A:$A),MATCH(H$1,enemy_skill_triggers!$1:$1,0)-MATCH($F$1,enemy_skill_triggers!$1:$1,0)+1),MATCH(H$1,enemy_skill_triggers!$1:$1,0)-MATCH($F$1,enemy_skill_triggers!$1:$1,0)+1,FALSE)</f>
        <v>91</v>
      </c>
      <c r="I102" s="44">
        <f ca="1">VLOOKUP($F102,OFFSET(enemy_skill_triggers!$A$1,0,0,COUNTA(enemy_skill_triggers!$A:$A),MATCH(I$1,enemy_skill_triggers!$1:$1,0)-MATCH($F$1,enemy_skill_triggers!$1:$1,0)+1),MATCH(I$1,enemy_skill_triggers!$1:$1,0)-MATCH($F$1,enemy_skill_triggers!$1:$1,0)+1,FALSE)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2" s="44" t="str">
        <f ca="1">VLOOKUP($F102,OFFSET(enemy_skill_triggers!$A$1,0,0,COUNTA(enemy_skill_triggers!$A:$A),MATCH(J$1,enemy_skill_triggers!$1:$1,0)-MATCH($F$1,enemy_skill_triggers!$1:$1,0)+1),MATCH(J$1,enemy_skill_triggers!$1:$1,0)-MATCH($F$1,enemy_skill_triggers!$1:$1,0)+1,FALSE)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2" s="44" t="str">
        <f ca="1">VLOOKUP($F102,OFFSET(enemy_skill_triggers!$A$1,0,0,COUNTA(enemy_skill_triggers!$A:$A),MATCH(K$1,enemy_skill_triggers!$1:$1,0)-MATCH($F$1,enemy_skill_triggers!$1:$1,0)+1),MATCH(K$1,enemy_skill_triggers!$1:$1,0)-MATCH($F$1,enemy_skill_triggers!$1:$1,0)+1,FALSE)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2" s="44" t="str">
        <f ca="1">VLOOKUP($F102,OFFSET(enemy_skill_triggers!$A$1,0,0,COUNTA(enemy_skill_triggers!$A:$A),MATCH(L$1,enemy_skill_triggers!$1:$1,0)-MATCH($F$1,enemy_skill_triggers!$1:$1,0)+1),MATCH(L$1,enemy_skill_triggers!$1:$1,0)-MATCH($F$1,enemy_skill_triggers!$1:$1,0)+1,FALSE)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2" s="44" t="str">
        <f ca="1">VLOOKUP($F102,OFFSET(enemy_skill_triggers!$A$1,0,0,COUNTA(enemy_skill_triggers!$A:$A),MATCH(M$1,enemy_skill_triggers!$1:$1,0)-MATCH($F$1,enemy_skill_triggers!$1:$1,0)+1),MATCH(M$1,enemy_skill_triggers!$1:$1,0)-MATCH($F$1,enemy_skill_triggers!$1:$1,0)+1,FALSE)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2" s="44">
        <f ca="1">VLOOKUP($F102,OFFSET(enemy_skill_triggers!$A$1,0,0,COUNTA(enemy_skill_triggers!$A:$A),MATCH(N$1,enemy_skill_triggers!$1:$1,0)-MATCH($F$1,enemy_skill_triggers!$1:$1,0)+1),MATCH(N$1,enemy_skill_triggers!$1:$1,0)-MATCH($F$1,enemy_skill_triggers!$1:$1,0)+1,FALSE)</f>
        <v>836</v>
      </c>
      <c r="O102" s="44">
        <f ca="1">VLOOKUP($F102,OFFSET(enemy_skill_triggers!$A$1,0,0,COUNTA(enemy_skill_triggers!$A:$A),MATCH(O$1,enemy_skill_triggers!$1:$1,0)-MATCH($F$1,enemy_skill_triggers!$1:$1,0)+1),MATCH(O$1,enemy_skill_triggers!$1:$1,0)-MATCH($F$1,enemy_skill_triggers!$1:$1,0)+1,FALSE)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2" s="43"/>
      <c r="Q102" s="43"/>
      <c r="R102" s="172"/>
    </row>
    <row r="103" spans="1:18" ht="21" customHeight="1" thickBot="1" x14ac:dyDescent="0.2">
      <c r="A103" s="39" t="str">
        <f t="shared" si="5"/>
        <v>40034011_40034315</v>
      </c>
      <c r="B103" s="123">
        <v>40034011</v>
      </c>
      <c r="C103" s="43">
        <v>40034315</v>
      </c>
      <c r="D103" s="42" t="str">
        <f ca="1">VLOOKUP($C103,OFFSET(enemy_skills!$A$1,0,0,COUNTA(enemy_skills!$A:$A),MATCH(D$1,enemy_skills!$1:$1,0)-MATCH("enemy_skill_id",enemy_skills!$1:$1,0)+1),MATCH(D$1,enemy_skills!$1:$1,0)-MATCH("enemy_skill_id",enemy_skills!$1:$1,0)+1,FALSE)</f>
        <v>…1回…2回…</v>
      </c>
      <c r="E103" s="42" t="str">
        <f ca="1">VLOOKUP($C103,OFFSET(enemy_skills!$A$1,0,0,COUNTA(enemy_skills!$A:$A),MATCH(E$1,enemy_skills!$1:$1,0)-MATCH("enemy_skill_id",enemy_skills!$1:$1,0)+1),MATCH(E$1,enemy_skills!$1:$1,0)-MATCH("enemy_skill_id",enemy_skills!$1:$1,0)+1,FALSE)</f>
        <v>2回連続攻撃</v>
      </c>
      <c r="F103" s="43">
        <v>40034621</v>
      </c>
      <c r="G103" s="44">
        <f ca="1">VLOOKUP($F103,OFFSET(enemy_skill_triggers!$A$1,0,0,COUNTA(enemy_skill_triggers!$A:$A),MATCH(G$1,enemy_skill_triggers!$1:$1,0)-MATCH($F$1,enemy_skill_triggers!$1:$1,0)+1),MATCH(G$1,enemy_skill_triggers!$1:$1,0)-MATCH($F$1,enemy_skill_triggers!$1:$1,0)+1,FALSE)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3" s="44">
        <f ca="1">VLOOKUP($F103,OFFSET(enemy_skill_triggers!$A$1,0,0,COUNTA(enemy_skill_triggers!$A:$A),MATCH(H$1,enemy_skill_triggers!$1:$1,0)-MATCH($F$1,enemy_skill_triggers!$1:$1,0)+1),MATCH(H$1,enemy_skill_triggers!$1:$1,0)-MATCH($F$1,enemy_skill_triggers!$1:$1,0)+1,FALSE)</f>
        <v>89</v>
      </c>
      <c r="I103" s="44">
        <f ca="1">VLOOKUP($F103,OFFSET(enemy_skill_triggers!$A$1,0,0,COUNTA(enemy_skill_triggers!$A:$A),MATCH(I$1,enemy_skill_triggers!$1:$1,0)-MATCH($F$1,enemy_skill_triggers!$1:$1,0)+1),MATCH(I$1,enemy_skill_triggers!$1:$1,0)-MATCH($F$1,enemy_skill_triggers!$1:$1,0)+1,FALSE)</f>
        <v>25</v>
      </c>
      <c r="J103" s="44" t="str">
        <f ca="1">VLOOKUP($F103,OFFSET(enemy_skill_triggers!$A$1,0,0,COUNTA(enemy_skill_triggers!$A:$A),MATCH(J$1,enemy_skill_triggers!$1:$1,0)-MATCH($F$1,enemy_skill_triggers!$1:$1,0)+1),MATCH(J$1,enemy_skill_triggers!$1:$1,0)-MATCH($F$1,enemy_skill_triggers!$1:$1,0)+1,FALSE)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3" s="44" t="str">
        <f ca="1">VLOOKUP($F103,OFFSET(enemy_skill_triggers!$A$1,0,0,COUNTA(enemy_skill_triggers!$A:$A),MATCH(K$1,enemy_skill_triggers!$1:$1,0)-MATCH($F$1,enemy_skill_triggers!$1:$1,0)+1),MATCH(K$1,enemy_skill_triggers!$1:$1,0)-MATCH($F$1,enemy_skill_triggers!$1:$1,0)+1,FALSE)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3" s="44" t="str">
        <f ca="1">VLOOKUP($F103,OFFSET(enemy_skill_triggers!$A$1,0,0,COUNTA(enemy_skill_triggers!$A:$A),MATCH(L$1,enemy_skill_triggers!$1:$1,0)-MATCH($F$1,enemy_skill_triggers!$1:$1,0)+1),MATCH(L$1,enemy_skill_triggers!$1:$1,0)-MATCH($F$1,enemy_skill_triggers!$1:$1,0)+1,FALSE)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3" s="44" t="str">
        <f ca="1">VLOOKUP($F103,OFFSET(enemy_skill_triggers!$A$1,0,0,COUNTA(enemy_skill_triggers!$A:$A),MATCH(M$1,enemy_skill_triggers!$1:$1,0)-MATCH($F$1,enemy_skill_triggers!$1:$1,0)+1),MATCH(M$1,enemy_skill_triggers!$1:$1,0)-MATCH($F$1,enemy_skill_triggers!$1:$1,0)+1,FALSE)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3" s="44" t="str">
        <f ca="1">VLOOKUP($F103,OFFSET(enemy_skill_triggers!$A$1,0,0,COUNTA(enemy_skill_triggers!$A:$A),MATCH(N$1,enemy_skill_triggers!$1:$1,0)-MATCH($F$1,enemy_skill_triggers!$1:$1,0)+1),MATCH(N$1,enemy_skill_triggers!$1:$1,0)-MATCH($F$1,enemy_skill_triggers!$1:$1,0)+1,FALSE)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3" s="44">
        <f ca="1">VLOOKUP($F103,OFFSET(enemy_skill_triggers!$A$1,0,0,COUNTA(enemy_skill_triggers!$A:$A),MATCH(O$1,enemy_skill_triggers!$1:$1,0)-MATCH($F$1,enemy_skill_triggers!$1:$1,0)+1),MATCH(O$1,enemy_skill_triggers!$1:$1,0)-MATCH($F$1,enemy_skill_triggers!$1:$1,0)+1,FALSE)</f>
        <v>25</v>
      </c>
      <c r="P103" s="43"/>
      <c r="Q103" s="43"/>
      <c r="R103" s="172"/>
    </row>
    <row r="104" spans="1:18" ht="21" customHeight="1" thickBot="1" x14ac:dyDescent="0.2">
      <c r="A104" s="39" t="str">
        <f t="shared" si="5"/>
        <v>40034011_40034316</v>
      </c>
      <c r="B104" s="123">
        <v>40034011</v>
      </c>
      <c r="C104" s="43">
        <v>40034316</v>
      </c>
      <c r="D104" s="42" t="str">
        <f ca="1">VLOOKUP($C104,OFFSET(enemy_skills!$A$1,0,0,COUNTA(enemy_skills!$A:$A),MATCH(D$1,enemy_skills!$1:$1,0)-MATCH("enemy_skill_id",enemy_skills!$1:$1,0)+1),MATCH(D$1,enemy_skills!$1:$1,0)-MATCH("enemy_skill_id",enemy_skills!$1:$1,0)+1,FALSE)</f>
        <v>実力を見極める…</v>
      </c>
      <c r="E104" s="42" t="str">
        <f ca="1">VLOOKUP($C104,OFFSET(enemy_skills!$A$1,0,0,COUNTA(enemy_skills!$A:$A),MATCH(E$1,enemy_skills!$1:$1,0)-MATCH("enemy_skill_id",enemy_skills!$1:$1,0)+1),MATCH(E$1,enemy_skills!$1:$1,0)-MATCH("enemy_skill_id",enemy_skills!$1:$1,0)+1,FALSE)</f>
        <v>全体攻撃</v>
      </c>
      <c r="F104" s="43">
        <v>40034622</v>
      </c>
      <c r="G104" s="44">
        <f ca="1">VLOOKUP($F104,OFFSET(enemy_skill_triggers!$A$1,0,0,COUNTA(enemy_skill_triggers!$A:$A),MATCH(G$1,enemy_skill_triggers!$1:$1,0)-MATCH($F$1,enemy_skill_triggers!$1:$1,0)+1),MATCH(G$1,enemy_skill_triggers!$1:$1,0)-MATCH($F$1,enemy_skill_triggers!$1:$1,0)+1,FALSE)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4" s="44">
        <f ca="1">VLOOKUP($F104,OFFSET(enemy_skill_triggers!$A$1,0,0,COUNTA(enemy_skill_triggers!$A:$A),MATCH(H$1,enemy_skill_triggers!$1:$1,0)-MATCH($F$1,enemy_skill_triggers!$1:$1,0)+1),MATCH(H$1,enemy_skill_triggers!$1:$1,0)-MATCH($F$1,enemy_skill_triggers!$1:$1,0)+1,FALSE)</f>
        <v>88</v>
      </c>
      <c r="I104" s="44">
        <f ca="1">VLOOKUP($F104,OFFSET(enemy_skill_triggers!$A$1,0,0,COUNTA(enemy_skill_triggers!$A:$A),MATCH(I$1,enemy_skill_triggers!$1:$1,0)-MATCH($F$1,enemy_skill_triggers!$1:$1,0)+1),MATCH(I$1,enemy_skill_triggers!$1:$1,0)-MATCH($F$1,enemy_skill_triggers!$1:$1,0)+1,FALSE)</f>
        <v>33</v>
      </c>
      <c r="J104" s="44" t="str">
        <f ca="1">VLOOKUP($F104,OFFSET(enemy_skill_triggers!$A$1,0,0,COUNTA(enemy_skill_triggers!$A:$A),MATCH(J$1,enemy_skill_triggers!$1:$1,0)-MATCH($F$1,enemy_skill_triggers!$1:$1,0)+1),MATCH(J$1,enemy_skill_triggers!$1:$1,0)-MATCH($F$1,enemy_skill_triggers!$1:$1,0)+1,FALSE)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4" s="44" t="str">
        <f ca="1">VLOOKUP($F104,OFFSET(enemy_skill_triggers!$A$1,0,0,COUNTA(enemy_skill_triggers!$A:$A),MATCH(K$1,enemy_skill_triggers!$1:$1,0)-MATCH($F$1,enemy_skill_triggers!$1:$1,0)+1),MATCH(K$1,enemy_skill_triggers!$1:$1,0)-MATCH($F$1,enemy_skill_triggers!$1:$1,0)+1,FALSE)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4" s="44" t="str">
        <f ca="1">VLOOKUP($F104,OFFSET(enemy_skill_triggers!$A$1,0,0,COUNTA(enemy_skill_triggers!$A:$A),MATCH(L$1,enemy_skill_triggers!$1:$1,0)-MATCH($F$1,enemy_skill_triggers!$1:$1,0)+1),MATCH(L$1,enemy_skill_triggers!$1:$1,0)-MATCH($F$1,enemy_skill_triggers!$1:$1,0)+1,FALSE)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4" s="44" t="str">
        <f ca="1">VLOOKUP($F104,OFFSET(enemy_skill_triggers!$A$1,0,0,COUNTA(enemy_skill_triggers!$A:$A),MATCH(M$1,enemy_skill_triggers!$1:$1,0)-MATCH($F$1,enemy_skill_triggers!$1:$1,0)+1),MATCH(M$1,enemy_skill_triggers!$1:$1,0)-MATCH($F$1,enemy_skill_triggers!$1:$1,0)+1,FALSE)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4" s="44" t="str">
        <f ca="1">VLOOKUP($F104,OFFSET(enemy_skill_triggers!$A$1,0,0,COUNTA(enemy_skill_triggers!$A:$A),MATCH(N$1,enemy_skill_triggers!$1:$1,0)-MATCH($F$1,enemy_skill_triggers!$1:$1,0)+1),MATCH(N$1,enemy_skill_triggers!$1:$1,0)-MATCH($F$1,enemy_skill_triggers!$1:$1,0)+1,FALSE)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4" s="44">
        <f ca="1">VLOOKUP($F104,OFFSET(enemy_skill_triggers!$A$1,0,0,COUNTA(enemy_skill_triggers!$A:$A),MATCH(O$1,enemy_skill_triggers!$1:$1,0)-MATCH($F$1,enemy_skill_triggers!$1:$1,0)+1),MATCH(O$1,enemy_skill_triggers!$1:$1,0)-MATCH($F$1,enemy_skill_triggers!$1:$1,0)+1,FALSE)</f>
        <v>33</v>
      </c>
      <c r="P104" s="43"/>
      <c r="Q104" s="43"/>
      <c r="R104" s="172"/>
    </row>
    <row r="105" spans="1:18" ht="21" customHeight="1" thickBot="1" x14ac:dyDescent="0.2">
      <c r="A105" s="39" t="str">
        <f t="shared" si="5"/>
        <v>40034011_40034317</v>
      </c>
      <c r="B105" s="123">
        <v>40034011</v>
      </c>
      <c r="C105" s="43">
        <v>40034317</v>
      </c>
      <c r="D105" s="42" t="str">
        <f ca="1">VLOOKUP($C105,OFFSET(enemy_skills!$A$1,0,0,COUNTA(enemy_skills!$A:$A),MATCH(D$1,enemy_skills!$1:$1,0)-MATCH("enemy_skill_id",enemy_skills!$1:$1,0)+1),MATCH(D$1,enemy_skills!$1:$1,0)-MATCH("enemy_skill_id",enemy_skills!$1:$1,0)+1,FALSE)</f>
        <v>えいっ…</v>
      </c>
      <c r="E105" s="42" t="str">
        <f ca="1">VLOOKUP($C105,OFFSET(enemy_skills!$A$1,0,0,COUNTA(enemy_skills!$A:$A),MATCH(E$1,enemy_skills!$1:$1,0)-MATCH("enemy_skill_id",enemy_skills!$1:$1,0)+1),MATCH(E$1,enemy_skills!$1:$1,0)-MATCH("enemy_skill_id",enemy_skills!$1:$1,0)+1,FALSE)</f>
        <v>クリティカル！</v>
      </c>
      <c r="F105" s="43">
        <v>40034623</v>
      </c>
      <c r="G105" s="44">
        <f ca="1">VLOOKUP($F105,OFFSET(enemy_skill_triggers!$A$1,0,0,COUNTA(enemy_skill_triggers!$A:$A),MATCH(G$1,enemy_skill_triggers!$1:$1,0)-MATCH($F$1,enemy_skill_triggers!$1:$1,0)+1),MATCH(G$1,enemy_skill_triggers!$1:$1,0)-MATCH($F$1,enemy_skill_triggers!$1:$1,0)+1,FALSE)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5" s="44">
        <f ca="1">VLOOKUP($F105,OFFSET(enemy_skill_triggers!$A$1,0,0,COUNTA(enemy_skill_triggers!$A:$A),MATCH(H$1,enemy_skill_triggers!$1:$1,0)-MATCH($F$1,enemy_skill_triggers!$1:$1,0)+1),MATCH(H$1,enemy_skill_triggers!$1:$1,0)-MATCH($F$1,enemy_skill_triggers!$1:$1,0)+1,FALSE)</f>
        <v>87</v>
      </c>
      <c r="I105" s="44">
        <f ca="1">VLOOKUP($F105,OFFSET(enemy_skill_triggers!$A$1,0,0,COUNTA(enemy_skill_triggers!$A:$A),MATCH(I$1,enemy_skill_triggers!$1:$1,0)-MATCH($F$1,enemy_skill_triggers!$1:$1,0)+1),MATCH(I$1,enemy_skill_triggers!$1:$1,0)-MATCH($F$1,enemy_skill_triggers!$1:$1,0)+1,FALSE)</f>
        <v>50</v>
      </c>
      <c r="J105" s="44" t="str">
        <f ca="1">VLOOKUP($F105,OFFSET(enemy_skill_triggers!$A$1,0,0,COUNTA(enemy_skill_triggers!$A:$A),MATCH(J$1,enemy_skill_triggers!$1:$1,0)-MATCH($F$1,enemy_skill_triggers!$1:$1,0)+1),MATCH(J$1,enemy_skill_triggers!$1:$1,0)-MATCH($F$1,enemy_skill_triggers!$1:$1,0)+1,FALSE)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5" s="44" t="str">
        <f ca="1">VLOOKUP($F105,OFFSET(enemy_skill_triggers!$A$1,0,0,COUNTA(enemy_skill_triggers!$A:$A),MATCH(K$1,enemy_skill_triggers!$1:$1,0)-MATCH($F$1,enemy_skill_triggers!$1:$1,0)+1),MATCH(K$1,enemy_skill_triggers!$1:$1,0)-MATCH($F$1,enemy_skill_triggers!$1:$1,0)+1,FALSE)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5" s="44" t="str">
        <f ca="1">VLOOKUP($F105,OFFSET(enemy_skill_triggers!$A$1,0,0,COUNTA(enemy_skill_triggers!$A:$A),MATCH(L$1,enemy_skill_triggers!$1:$1,0)-MATCH($F$1,enemy_skill_triggers!$1:$1,0)+1),MATCH(L$1,enemy_skill_triggers!$1:$1,0)-MATCH($F$1,enemy_skill_triggers!$1:$1,0)+1,FALSE)</f>
        <v>null</v>
      </c>
      <c r="M105" s="44" t="str">
        <f ca="1">VLOOKUP($F105,OFFSET(enemy_skill_triggers!$A$1,0,0,COUNTA(enemy_skill_triggers!$A:$A),MATCH(M$1,enemy_skill_triggers!$1:$1,0)-MATCH($F$1,enemy_skill_triggers!$1:$1,0)+1),MATCH(M$1,enemy_skill_triggers!$1:$1,0)-MATCH($F$1,enemy_skill_triggers!$1:$1,0)+1,FALSE)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5" s="44" t="str">
        <f ca="1">VLOOKUP($F105,OFFSET(enemy_skill_triggers!$A$1,0,0,COUNTA(enemy_skill_triggers!$A:$A),MATCH(N$1,enemy_skill_triggers!$1:$1,0)-MATCH($F$1,enemy_skill_triggers!$1:$1,0)+1),MATCH(N$1,enemy_skill_triggers!$1:$1,0)-MATCH($F$1,enemy_skill_triggers!$1:$1,0)+1,FALSE)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5" s="44">
        <f ca="1">VLOOKUP($F105,OFFSET(enemy_skill_triggers!$A$1,0,0,COUNTA(enemy_skill_triggers!$A:$A),MATCH(O$1,enemy_skill_triggers!$1:$1,0)-MATCH($F$1,enemy_skill_triggers!$1:$1,0)+1),MATCH(O$1,enemy_skill_triggers!$1:$1,0)-MATCH($F$1,enemy_skill_triggers!$1:$1,0)+1,FALSE)</f>
        <v>50</v>
      </c>
      <c r="P105" s="43"/>
      <c r="Q105" s="43"/>
      <c r="R105" s="172"/>
    </row>
    <row r="106" spans="1:18" ht="21" customHeight="1" thickBot="1" x14ac:dyDescent="0.2">
      <c r="A106" s="39" t="str">
        <f t="shared" si="5"/>
        <v>40034011_40034318</v>
      </c>
      <c r="B106" s="123">
        <v>40034011</v>
      </c>
      <c r="C106" s="43">
        <v>40034318</v>
      </c>
      <c r="D106" s="42" t="str">
        <f ca="1">VLOOKUP($C106,OFFSET(enemy_skills!$A$1,0,0,COUNTA(enemy_skills!$A:$A),MATCH(D$1,enemy_skills!$1:$1,0)-MATCH("enemy_skill_id",enemy_skills!$1:$1,0)+1),MATCH(D$1,enemy_skills!$1:$1,0)-MATCH("enemy_skill_id",enemy_skills!$1:$1,0)+1,FALSE)</f>
        <v>かかってきなさい…</v>
      </c>
      <c r="E106" s="42" t="str">
        <f ca="1">VLOOKUP($C106,OFFSET(enemy_skills!$A$1,0,0,COUNTA(enemy_skills!$A:$A),MATCH(E$1,enemy_skills!$1:$1,0)-MATCH("enemy_skill_id",enemy_skills!$1:$1,0)+1),MATCH(E$1,enemy_skills!$1:$1,0)-MATCH("enemy_skill_id",enemy_skills!$1:$1,0)+1,FALSE)</f>
        <v>5ターンカウンター_x000D_+全体攻撃</v>
      </c>
      <c r="F106" s="43">
        <v>40034624</v>
      </c>
      <c r="G106" s="44">
        <f ca="1">VLOOKUP($F106,OFFSET(enemy_skill_triggers!$A$1,0,0,COUNTA(enemy_skill_triggers!$A:$A),MATCH(G$1,enemy_skill_triggers!$1:$1,0)-MATCH($F$1,enemy_skill_triggers!$1:$1,0)+1),MATCH(G$1,enemy_skill_triggers!$1:$1,0)-MATCH($F$1,enemy_skill_triggers!$1:$1,0)+1,FALSE)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6" s="44">
        <f ca="1">VLOOKUP($F106,OFFSET(enemy_skill_triggers!$A$1,0,0,COUNTA(enemy_skill_triggers!$A:$A),MATCH(H$1,enemy_skill_triggers!$1:$1,0)-MATCH($F$1,enemy_skill_triggers!$1:$1,0)+1),MATCH(H$1,enemy_skill_triggers!$1:$1,0)-MATCH($F$1,enemy_skill_triggers!$1:$1,0)+1,FALSE)</f>
        <v>86</v>
      </c>
      <c r="I106" s="44">
        <f ca="1">VLOOKUP($F106,OFFSET(enemy_skill_triggers!$A$1,0,0,COUNTA(enemy_skill_triggers!$A:$A),MATCH(I$1,enemy_skill_triggers!$1:$1,0)-MATCH($F$1,enemy_skill_triggers!$1:$1,0)+1),MATCH(I$1,enemy_skill_triggers!$1:$1,0)-MATCH($F$1,enemy_skill_triggers!$1:$1,0)+1,FALSE)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6" s="44" t="str">
        <f ca="1">VLOOKUP($F106,OFFSET(enemy_skill_triggers!$A$1,0,0,COUNTA(enemy_skill_triggers!$A:$A),MATCH(J$1,enemy_skill_triggers!$1:$1,0)-MATCH($F$1,enemy_skill_triggers!$1:$1,0)+1),MATCH(J$1,enemy_skill_triggers!$1:$1,0)-MATCH($F$1,enemy_skill_triggers!$1:$1,0)+1,FALSE)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6" s="44" t="str">
        <f ca="1">VLOOKUP($F106,OFFSET(enemy_skill_triggers!$A$1,0,0,COUNTA(enemy_skill_triggers!$A:$A),MATCH(K$1,enemy_skill_triggers!$1:$1,0)-MATCH($F$1,enemy_skill_triggers!$1:$1,0)+1),MATCH(K$1,enemy_skill_triggers!$1:$1,0)-MATCH($F$1,enemy_skill_triggers!$1:$1,0)+1,FALSE)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6" s="44">
        <f ca="1">VLOOKUP($F106,OFFSET(enemy_skill_triggers!$A$1,0,0,COUNTA(enemy_skill_triggers!$A:$A),MATCH(L$1,enemy_skill_triggers!$1:$1,0)-MATCH($F$1,enemy_skill_triggers!$1:$1,0)+1),MATCH(L$1,enemy_skill_triggers!$1:$1,0)-MATCH($F$1,enemy_skill_triggers!$1:$1,0)+1,FALSE)</f>
        <v>1</v>
      </c>
      <c r="M106" s="44" t="str">
        <f ca="1">VLOOKUP($F106,OFFSET(enemy_skill_triggers!$A$1,0,0,COUNTA(enemy_skill_triggers!$A:$A),MATCH(M$1,enemy_skill_triggers!$1:$1,0)-MATCH($F$1,enemy_skill_triggers!$1:$1,0)+1),MATCH(M$1,enemy_skill_triggers!$1:$1,0)-MATCH($F$1,enemy_skill_triggers!$1:$1,0)+1,FALSE)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6" s="44" t="str">
        <f ca="1">VLOOKUP($F106,OFFSET(enemy_skill_triggers!$A$1,0,0,COUNTA(enemy_skill_triggers!$A:$A),MATCH(N$1,enemy_skill_triggers!$1:$1,0)-MATCH($F$1,enemy_skill_triggers!$1:$1,0)+1),MATCH(N$1,enemy_skill_triggers!$1:$1,0)-MATCH($F$1,enemy_skill_triggers!$1:$1,0)+1,FALSE)</f>
        <v>null</v>
      </c>
      <c r="O106" s="44">
        <f ca="1">VLOOKUP($F106,OFFSET(enemy_skill_triggers!$A$1,0,0,COUNTA(enemy_skill_triggers!$A:$A),MATCH(O$1,enemy_skill_triggers!$1:$1,0)-MATCH($F$1,enemy_skill_triggers!$1:$1,0)+1),MATCH(O$1,enemy_skill_triggers!$1:$1,0)-MATCH($F$1,enemy_skill_triggers!$1:$1,0)+1,FALSE)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6" s="43"/>
      <c r="Q106" s="43"/>
      <c r="R106" s="172"/>
    </row>
    <row r="107" spans="1:18" ht="21" customHeight="1" thickBot="1" x14ac:dyDescent="0.2">
      <c r="A107" s="39" t="str">
        <f t="shared" si="5"/>
        <v>40034011_40034319</v>
      </c>
      <c r="B107" s="123">
        <v>40034011</v>
      </c>
      <c r="C107" s="132">
        <v>40034319</v>
      </c>
      <c r="D107" s="169" t="str">
        <f ca="1">VLOOKUP($C107,OFFSET(enemy_skills!$A$1,0,0,COUNTA(enemy_skills!$A:$A),MATCH(D$1,enemy_skills!$1:$1,0)-MATCH("enemy_skill_id",enemy_skills!$1:$1,0)+1),MATCH(D$1,enemy_skills!$1:$1,0)-MATCH("enemy_skill_id",enemy_skills!$1:$1,0)+1,FALSE)</f>
        <v>…また…後で…会いましょう？</v>
      </c>
      <c r="E107" s="169" t="str">
        <f ca="1">VLOOKUP($C107,OFFSET(enemy_skills!$A$1,0,0,COUNTA(enemy_skills!$A:$A),MATCH(E$1,enemy_skills!$1:$1,0)-MATCH("enemy_skill_id",enemy_skills!$1:$1,0)+1),MATCH(E$1,enemy_skills!$1:$1,0)-MATCH("enemy_skill_id",enemy_skills!$1:$1,0)+1,FALSE)</f>
        <v>カーリーは立ち去っていった</v>
      </c>
      <c r="F107" s="132">
        <v>40034625</v>
      </c>
      <c r="G107" s="136">
        <f ca="1">VLOOKUP($F107,OFFSET(enemy_skill_triggers!$A$1,0,0,COUNTA(enemy_skill_triggers!$A:$A),MATCH(G$1,enemy_skill_triggers!$1:$1,0)-MATCH($F$1,enemy_skill_triggers!$1:$1,0)+1),MATCH(G$1,enemy_skill_triggers!$1:$1,0)-MATCH($F$1,enemy_skill_triggers!$1:$1,0)+1,FALSE)</f>
        <v>0</v>
      </c>
      <c r="H107" s="136">
        <f ca="1">VLOOKUP($F107,OFFSET(enemy_skill_triggers!$A$1,0,0,COUNTA(enemy_skill_triggers!$A:$A),MATCH(H$1,enemy_skill_triggers!$1:$1,0)-MATCH($F$1,enemy_skill_triggers!$1:$1,0)+1),MATCH(H$1,enemy_skill_triggers!$1:$1,0)-MATCH($F$1,enemy_skill_triggers!$1:$1,0)+1,FALSE)</f>
        <v>85</v>
      </c>
      <c r="I107" s="136">
        <f ca="1">VLOOKUP($F107,OFFSET(enemy_skill_triggers!$A$1,0,0,COUNTA(enemy_skill_triggers!$A:$A),MATCH(I$1,enemy_skill_triggers!$1:$1,0)-MATCH($F$1,enemy_skill_triggers!$1:$1,0)+1),MATCH(I$1,enemy_skill_triggers!$1:$1,0)-MATCH($F$1,enemy_skill_triggers!$1:$1,0)+1,FALSE)</f>
        <v>100</v>
      </c>
      <c r="J107" s="136" t="str">
        <f ca="1">VLOOKUP($F107,OFFSET(enemy_skill_triggers!$A$1,0,0,COUNTA(enemy_skill_triggers!$A:$A),MATCH(J$1,enemy_skill_triggers!$1:$1,0)-MATCH($F$1,enemy_skill_triggers!$1:$1,0)+1),MATCH(J$1,enemy_skill_triggers!$1:$1,0)-MATCH($F$1,enemy_skill_triggers!$1:$1,0)+1,FALSE)</f>
        <v>null</v>
      </c>
      <c r="K107" s="136" t="str">
        <f ca="1">VLOOKUP($F107,OFFSET(enemy_skill_triggers!$A$1,0,0,COUNTA(enemy_skill_triggers!$A:$A),MATCH(K$1,enemy_skill_triggers!$1:$1,0)-MATCH($F$1,enemy_skill_triggers!$1:$1,0)+1),MATCH(K$1,enemy_skill_triggers!$1:$1,0)-MATCH($F$1,enemy_skill_triggers!$1:$1,0)+1,FALSE)</f>
        <v>null</v>
      </c>
      <c r="L107" s="136">
        <f ca="1">VLOOKUP($F107,OFFSET(enemy_skill_triggers!$A$1,0,0,COUNTA(enemy_skill_triggers!$A:$A),MATCH(L$1,enemy_skill_triggers!$1:$1,0)-MATCH($F$1,enemy_skill_triggers!$1:$1,0)+1),MATCH(L$1,enemy_skill_triggers!$1:$1,0)-MATCH($F$1,enemy_skill_triggers!$1:$1,0)+1,FALSE)</f>
        <v>0</v>
      </c>
      <c r="M107" s="136" t="str">
        <f ca="1">VLOOKUP($F107,OFFSET(enemy_skill_triggers!$A$1,0,0,COUNTA(enemy_skill_triggers!$A:$A),MATCH(M$1,enemy_skill_triggers!$1:$1,0)-MATCH($F$1,enemy_skill_triggers!$1:$1,0)+1),MATCH(M$1,enemy_skill_triggers!$1:$1,0)-MATCH($F$1,enemy_skill_triggers!$1:$1,0)+1,FALSE)</f>
        <v>null</v>
      </c>
      <c r="N107" s="136">
        <f ca="1">VLOOKUP($F107,OFFSET(enemy_skill_triggers!$A$1,0,0,COUNTA(enemy_skill_triggers!$A:$A),MATCH(N$1,enemy_skill_triggers!$1:$1,0)-MATCH($F$1,enemy_skill_triggers!$1:$1,0)+1),MATCH(N$1,enemy_skill_triggers!$1:$1,0)-MATCH($F$1,enemy_skill_triggers!$1:$1,0)+1,FALSE)</f>
        <v>0</v>
      </c>
      <c r="O107" s="136">
        <f ca="1">VLOOKUP($F107,OFFSET(enemy_skill_triggers!$A$1,0,0,COUNTA(enemy_skill_triggers!$A:$A),MATCH(O$1,enemy_skill_triggers!$1:$1,0)-MATCH($F$1,enemy_skill_triggers!$1:$1,0)+1),MATCH(O$1,enemy_skill_triggers!$1:$1,0)-MATCH($F$1,enemy_skill_triggers!$1:$1,0)+1,FALSE)</f>
        <v>100</v>
      </c>
      <c r="P107" s="132"/>
      <c r="Q107" s="132"/>
      <c r="R107" s="170"/>
    </row>
  </sheetData>
  <autoFilter ref="A1:R1"/>
  <phoneticPr fontId="5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>
    <tabColor rgb="FF0000FF"/>
  </sheetPr>
  <dimension ref="A1:AB82"/>
  <sheetViews>
    <sheetView showGridLines="0" tabSelected="1" workbookViewId="0">
      <pane ySplit="1" topLeftCell="A38" activePane="bottomLeft" state="frozenSplit"/>
      <selection pane="bottomLeft" activeCell="B50" sqref="B50"/>
    </sheetView>
  </sheetViews>
  <sheetFormatPr baseColWidth="12" defaultColWidth="12.83203125" defaultRowHeight="21" customHeight="1" outlineLevelCol="1" x14ac:dyDescent="0.15"/>
  <cols>
    <col min="1" max="1" width="12.83203125" style="45"/>
    <col min="2" max="2" width="121" style="45" customWidth="1"/>
    <col min="3" max="4" width="12.83203125" style="45"/>
    <col min="5" max="5" width="23.6640625" style="45" bestFit="1" customWidth="1"/>
    <col min="6" max="6" width="44.1640625" style="45" bestFit="1" customWidth="1"/>
    <col min="7" max="7" width="52" style="45" hidden="1" customWidth="1" outlineLevel="1"/>
    <col min="8" max="8" width="18.33203125" style="45" hidden="1" customWidth="1" outlineLevel="1"/>
    <col min="9" max="11" width="18.6640625" style="45" hidden="1" customWidth="1" outlineLevel="1"/>
    <col min="12" max="12" width="23.6640625" style="45" customWidth="1" collapsed="1"/>
    <col min="13" max="18" width="23.6640625" style="45" hidden="1" customWidth="1" outlineLevel="1"/>
    <col min="19" max="19" width="23.6640625" style="45" customWidth="1" collapsed="1"/>
    <col min="20" max="24" width="23.6640625" style="45" hidden="1" customWidth="1" outlineLevel="1"/>
    <col min="25" max="25" width="23.6640625" style="45" customWidth="1" collapsed="1"/>
    <col min="26" max="27" width="12.83203125" style="45"/>
    <col min="28" max="28" width="44.5" style="45" customWidth="1"/>
    <col min="29" max="16384" width="12.83203125" style="45"/>
  </cols>
  <sheetData>
    <row r="1" spans="1:28" ht="21" customHeight="1" thickBot="1" x14ac:dyDescent="0.2">
      <c r="A1" s="121" t="s">
        <v>79</v>
      </c>
      <c r="B1" s="121" t="s">
        <v>80</v>
      </c>
      <c r="C1" s="121" t="s">
        <v>81</v>
      </c>
      <c r="D1" s="121" t="s">
        <v>127</v>
      </c>
      <c r="E1" s="121" t="s">
        <v>82</v>
      </c>
      <c r="F1" s="121" t="s">
        <v>83</v>
      </c>
      <c r="G1" s="122" t="s">
        <v>133</v>
      </c>
      <c r="H1" s="122" t="s">
        <v>139</v>
      </c>
      <c r="I1" s="122" t="s">
        <v>141</v>
      </c>
      <c r="J1" s="122" t="s">
        <v>140</v>
      </c>
      <c r="K1" s="122" t="s">
        <v>142</v>
      </c>
      <c r="L1" s="122" t="s">
        <v>134</v>
      </c>
      <c r="M1" s="122" t="s">
        <v>132</v>
      </c>
      <c r="N1" s="122" t="s">
        <v>135</v>
      </c>
      <c r="O1" s="122" t="s">
        <v>143</v>
      </c>
      <c r="P1" s="122" t="s">
        <v>144</v>
      </c>
      <c r="Q1" s="122" t="s">
        <v>145</v>
      </c>
      <c r="R1" s="122" t="s">
        <v>146</v>
      </c>
      <c r="S1" s="122" t="s">
        <v>136</v>
      </c>
      <c r="T1" s="122" t="s">
        <v>137</v>
      </c>
      <c r="U1" s="122" t="s">
        <v>147</v>
      </c>
      <c r="V1" s="122" t="s">
        <v>148</v>
      </c>
      <c r="W1" s="122" t="s">
        <v>149</v>
      </c>
      <c r="X1" s="122" t="s">
        <v>150</v>
      </c>
      <c r="Y1" s="122" t="s">
        <v>138</v>
      </c>
      <c r="Z1" s="122" t="s">
        <v>76</v>
      </c>
      <c r="AA1" s="122" t="s">
        <v>77</v>
      </c>
      <c r="AB1" s="122" t="s">
        <v>78</v>
      </c>
    </row>
    <row r="2" spans="1:28" ht="85" thickBot="1" x14ac:dyDescent="0.2">
      <c r="A2" s="123">
        <v>40034300</v>
      </c>
      <c r="B2" s="139" t="s">
        <v>341</v>
      </c>
      <c r="C2" s="125">
        <v>3</v>
      </c>
      <c r="D2" s="125" t="s">
        <v>128</v>
      </c>
      <c r="E2" s="126" t="s">
        <v>408</v>
      </c>
      <c r="F2" s="126" t="s">
        <v>279</v>
      </c>
      <c r="G2" s="127" t="str">
        <f>IFERROR(LEFT(B2,FIND("],",B2)),B2)</f>
        <v>[effect:enemy_message, val1:2.0, val2:2.4]</v>
      </c>
      <c r="H2" s="127">
        <f>FIND("effect:",G2)+7</f>
        <v>9</v>
      </c>
      <c r="I2" s="127">
        <f>IFERROR(FIND(",",G2),LEN(G2))</f>
        <v>22</v>
      </c>
      <c r="J2" s="127" t="e">
        <f>FIND("target:",G2)+7</f>
        <v>#VALUE!</v>
      </c>
      <c r="K2" s="127">
        <f>FIND(",",G2,I2+1)</f>
        <v>32</v>
      </c>
      <c r="L2" s="127" t="str">
        <f>IFERROR(VLOOKUP(MID(G2,J2,K2-J2),[6]skilldef!$C:$D,2,FALSE),"-") &amp; " / " &amp; IFERROR(VLOOKUP(MID(G2,H2,I2-H2),[6]skilldef!$A:$B,2,FALSE),"-")</f>
        <v>- / -</v>
      </c>
      <c r="M2" s="127" t="str">
        <f>IFERROR(RIGHT(B2,LEN(B2)-FIND("],",B2)-1),"none")</f>
        <v xml:space="preserve">[effect:freq_turn, target:enemy_all, turn:2, val:2, animation:enemy_freq_turn],[effect:tolerance, target:myself, turn:-1, count:-1, tolerance_effect:all, animation:enemy_tolerance]    </v>
      </c>
      <c r="N2" s="128" t="str">
        <f>IFERROR(LEFT(M2,FIND("],",M2)+S13),M2)</f>
        <v xml:space="preserve">[effect:freq_turn, target:enemy_all, turn:2, val:2, animation:enemy_freq_turn],[effect:tolerance, target:myself, turn:-1, count:-1, tolerance_effect:all, animation:enemy_tolerance]    </v>
      </c>
      <c r="O2" s="127">
        <f>FIND("effect:",N2)+7</f>
        <v>9</v>
      </c>
      <c r="P2" s="127">
        <f>IFERROR(FIND(",",N2),LEN(N2))</f>
        <v>18</v>
      </c>
      <c r="Q2" s="127">
        <f>FIND("target:",N2)+7</f>
        <v>27</v>
      </c>
      <c r="R2" s="127">
        <f>FIND(",",N2,P2+1)</f>
        <v>36</v>
      </c>
      <c r="S2" s="127" t="str">
        <f>IFERROR(VLOOKUP(MID(N2,Q2,R2-Q2),[6]skilldef!$C:$D,2,FALSE),"-") &amp; " / " &amp; IFERROR(VLOOKUP(MID(N2,O2,P2-O2),[6]skilldef!$A:$B,2,FALSE),"-")</f>
        <v>敵全体に / 攻撃頻度がUP</v>
      </c>
      <c r="T2" s="128" t="str">
        <f>IFERROR(RIGHT(M2,LEN(M2)-FIND("],",M2)-1),"none")</f>
        <v xml:space="preserve">[effect:tolerance, target:myself, turn:-1, count:-1, tolerance_effect:all, animation:enemy_tolerance]    </v>
      </c>
      <c r="U2" s="127">
        <f>FIND("effect:",T2)+7</f>
        <v>9</v>
      </c>
      <c r="V2" s="127">
        <f>IFERROR(FIND(",",T2),LEN(T2))</f>
        <v>18</v>
      </c>
      <c r="W2" s="127">
        <f>FIND("target:",T2)+7</f>
        <v>27</v>
      </c>
      <c r="X2" s="127">
        <f>FIND(",",T2,V2+1)</f>
        <v>33</v>
      </c>
      <c r="Y2" s="127" t="str">
        <f>IFERROR(VLOOKUP(MID(T2,W2,X2-W2),[6]skilldef!$C:$D,2,FALSE),"-") &amp; " / " &amp; IFERROR(VLOOKUP(MID(T2,U2,V2-U2),[6]skilldef!$A:$B,2,FALSE),"-")</f>
        <v>自分自身に / 状態異常耐性</v>
      </c>
      <c r="Z2" s="125"/>
      <c r="AA2" s="129"/>
      <c r="AB2" s="130" t="s">
        <v>258</v>
      </c>
    </row>
    <row r="3" spans="1:28" ht="40" customHeight="1" thickBot="1" x14ac:dyDescent="0.2">
      <c r="A3" s="123">
        <v>40034301</v>
      </c>
      <c r="B3" s="140" t="s">
        <v>331</v>
      </c>
      <c r="C3" s="46">
        <v>3</v>
      </c>
      <c r="D3" s="46" t="s">
        <v>128</v>
      </c>
      <c r="E3" s="47" t="s">
        <v>330</v>
      </c>
      <c r="F3" s="47" t="s">
        <v>318</v>
      </c>
      <c r="G3" s="59"/>
      <c r="H3" s="59"/>
      <c r="I3" s="59"/>
      <c r="J3" s="59"/>
      <c r="K3" s="59"/>
      <c r="L3" s="59" t="str">
        <f>IFERROR(VLOOKUP(MID(G3,J3,K3-J3),[6]skilldef!$C:$D,2,FALSE),"-") &amp; " / " &amp; IFERROR(VLOOKUP(MID(G3,H3,I3-H3),[6]skilldef!$A:$B,2,FALSE),"-")</f>
        <v>- / -</v>
      </c>
      <c r="M3" s="59" t="str">
        <f>IFERROR(RIGHT(B3,LEN(B3)-FIND("],",B3)-1),"none")</f>
        <v>none</v>
      </c>
      <c r="N3" s="44" t="str">
        <f>IFERROR(LEFT(M3,FIND("],",M3)+S14),M3)</f>
        <v>none</v>
      </c>
      <c r="O3" s="59" t="e">
        <f>FIND("effect:",N3)+7</f>
        <v>#VALUE!</v>
      </c>
      <c r="P3" s="59">
        <f>IFERROR(FIND(",",N3),LEN(N3))</f>
        <v>4</v>
      </c>
      <c r="Q3" s="59" t="e">
        <f>FIND("target:",N3)+7</f>
        <v>#VALUE!</v>
      </c>
      <c r="R3" s="59" t="e">
        <f>FIND(",",N3,P3+1)</f>
        <v>#VALUE!</v>
      </c>
      <c r="S3" s="59" t="str">
        <f>IFERROR(VLOOKUP(MID(N3,Q3,R3-Q3),[6]skilldef!$C:$D,2,FALSE),"-") &amp; " / " &amp; IFERROR(VLOOKUP(MID(N3,O3,P3-O3),[6]skilldef!$A:$B,2,FALSE),"-")</f>
        <v>- / -</v>
      </c>
      <c r="T3" s="44" t="str">
        <f>IFERROR(RIGHT(M3,LEN(M3)-FIND("],",M3)-1),"none")</f>
        <v>none</v>
      </c>
      <c r="U3" s="59" t="e">
        <f>FIND("effect:",T3)+7</f>
        <v>#VALUE!</v>
      </c>
      <c r="V3" s="59">
        <f>IFERROR(FIND(",",T3),LEN(T3))</f>
        <v>4</v>
      </c>
      <c r="W3" s="59" t="e">
        <f>FIND("target:",T3)+7</f>
        <v>#VALUE!</v>
      </c>
      <c r="X3" s="59" t="e">
        <f>FIND(",",T3,V3+1)</f>
        <v>#VALUE!</v>
      </c>
      <c r="Y3" s="59" t="str">
        <f>IFERROR(VLOOKUP(MID(T3,W3,X3-W3),[6]skilldef!$C:$D,2,FALSE),"-") &amp; " / " &amp; IFERROR(VLOOKUP(MID(T3,U3,V3-U3),[6]skilldef!$A:$B,2,FALSE),"-")</f>
        <v>- / -</v>
      </c>
      <c r="Z3" s="46"/>
      <c r="AA3" s="48"/>
      <c r="AB3" s="131" t="s">
        <v>270</v>
      </c>
    </row>
    <row r="4" spans="1:28" ht="41" customHeight="1" thickBot="1" x14ac:dyDescent="0.2">
      <c r="A4" s="123">
        <v>40034302</v>
      </c>
      <c r="B4" s="141" t="s">
        <v>332</v>
      </c>
      <c r="C4" s="133">
        <v>3</v>
      </c>
      <c r="D4" s="133" t="s">
        <v>128</v>
      </c>
      <c r="E4" s="134" t="s">
        <v>336</v>
      </c>
      <c r="F4" s="134" t="s">
        <v>337</v>
      </c>
      <c r="G4" s="135" t="str">
        <f t="shared" ref="G4:G43" si="0">IFERROR(LEFT(B4,FIND("],",B4)),B4)</f>
        <v>[effect:enemy_message, val1:2.0, val2:2.4]</v>
      </c>
      <c r="H4" s="135">
        <f t="shared" ref="H4:H56" si="1">FIND("effect:",G4)+7</f>
        <v>9</v>
      </c>
      <c r="I4" s="135">
        <f t="shared" ref="I4:I43" si="2">IFERROR(FIND(",",G4),LEN(G4))</f>
        <v>22</v>
      </c>
      <c r="J4" s="135" t="e">
        <f t="shared" ref="J4:J43" si="3">FIND("target:",G4)+7</f>
        <v>#VALUE!</v>
      </c>
      <c r="K4" s="135">
        <f t="shared" ref="K4:K43" si="4">FIND(",",G4,I4+1)</f>
        <v>32</v>
      </c>
      <c r="L4" s="135" t="str">
        <f>IFERROR(VLOOKUP(MID(G4,J4,K4-J4),[6]skilldef!$C:$D,2,FALSE),"-") &amp; " / " &amp; IFERROR(VLOOKUP(MID(G4,H4,I4-H4),[6]skilldef!$A:$B,2,FALSE),"-")</f>
        <v>- / -</v>
      </c>
      <c r="M4" s="135" t="str">
        <f t="shared" ref="M4:M43" si="5">IFERROR(RIGHT(B4,LEN(B4)-FIND("],",B4)-1),"none")</f>
        <v xml:space="preserve">[effect:suicide, val:1, dead_type:escape]    </v>
      </c>
      <c r="N4" s="136" t="str">
        <f>IFERROR(LEFT(M4,FIND("],",M4)+S14),M4)</f>
        <v xml:space="preserve">[effect:suicide, val:1, dead_type:escape]    </v>
      </c>
      <c r="O4" s="135">
        <f t="shared" ref="O4:O56" si="6">FIND("effect:",N4)+7</f>
        <v>9</v>
      </c>
      <c r="P4" s="135">
        <f t="shared" ref="P4:P43" si="7">IFERROR(FIND(",",N4),LEN(N4))</f>
        <v>16</v>
      </c>
      <c r="Q4" s="135" t="e">
        <f t="shared" ref="Q4:Q43" si="8">FIND("target:",N4)+7</f>
        <v>#VALUE!</v>
      </c>
      <c r="R4" s="135">
        <f t="shared" ref="R4:R43" si="9">FIND(",",N4,P4+1)</f>
        <v>23</v>
      </c>
      <c r="S4" s="135" t="str">
        <f>IFERROR(VLOOKUP(MID(N4,Q4,R4-Q4),[6]skilldef!$C:$D,2,FALSE),"-") &amp; " / " &amp; IFERROR(VLOOKUP(MID(N4,O4,P4-O4),[6]skilldef!$A:$B,2,FALSE),"-")</f>
        <v>- / -</v>
      </c>
      <c r="T4" s="136" t="str">
        <f t="shared" ref="T4:T43" si="10">IFERROR(RIGHT(M4,LEN(M4)-FIND("],",M4)-1),"none")</f>
        <v>none</v>
      </c>
      <c r="U4" s="135" t="e">
        <f t="shared" ref="U4:U56" si="11">FIND("effect:",T4)+7</f>
        <v>#VALUE!</v>
      </c>
      <c r="V4" s="135">
        <f t="shared" ref="V4:V43" si="12">IFERROR(FIND(",",T4),LEN(T4))</f>
        <v>4</v>
      </c>
      <c r="W4" s="135" t="e">
        <f t="shared" ref="W4:W43" si="13">FIND("target:",T4)+7</f>
        <v>#VALUE!</v>
      </c>
      <c r="X4" s="135" t="e">
        <f t="shared" ref="X4:X43" si="14">FIND(",",T4,V4+1)</f>
        <v>#VALUE!</v>
      </c>
      <c r="Y4" s="135" t="str">
        <f>IFERROR(VLOOKUP(MID(T4,W4,X4-W4),[6]skilldef!$C:$D,2,FALSE),"-") &amp; " / " &amp; IFERROR(VLOOKUP(MID(T4,U4,V4-U4),[6]skilldef!$A:$B,2,FALSE),"-")</f>
        <v>- / -</v>
      </c>
      <c r="Z4" s="133"/>
      <c r="AA4" s="137"/>
      <c r="AB4" s="138" t="s">
        <v>259</v>
      </c>
    </row>
    <row r="5" spans="1:28" ht="57" thickBot="1" x14ac:dyDescent="0.2">
      <c r="A5" s="123">
        <v>40034303</v>
      </c>
      <c r="B5" s="142" t="s">
        <v>342</v>
      </c>
      <c r="C5" s="143">
        <v>3</v>
      </c>
      <c r="D5" s="143" t="s">
        <v>128</v>
      </c>
      <c r="E5" s="144" t="s">
        <v>325</v>
      </c>
      <c r="F5" s="144" t="s">
        <v>319</v>
      </c>
      <c r="G5" s="145" t="str">
        <f t="shared" si="0"/>
        <v>[effect:enemy_message, val1:2.0, val2:2.4]</v>
      </c>
      <c r="H5" s="145">
        <f t="shared" si="1"/>
        <v>9</v>
      </c>
      <c r="I5" s="145">
        <f t="shared" si="2"/>
        <v>22</v>
      </c>
      <c r="J5" s="145" t="e">
        <f t="shared" si="3"/>
        <v>#VALUE!</v>
      </c>
      <c r="K5" s="145">
        <f t="shared" si="4"/>
        <v>32</v>
      </c>
      <c r="L5" s="145" t="str">
        <f>IFERROR(VLOOKUP(MID(G5,J5,K5-J5),[6]skilldef!$C:$D,2,FALSE),"-") &amp; " / " &amp; IFERROR(VLOOKUP(MID(G5,H5,I5-H5),[6]skilldef!$A:$B,2,FALSE),"-")</f>
        <v>- / -</v>
      </c>
      <c r="M5" s="145" t="str">
        <f t="shared" si="5"/>
        <v xml:space="preserve">[effect:tolerance, target:myself, turn:-1, count:-1, tolerance_effect:all, animation:enemy_tolerance]    </v>
      </c>
      <c r="N5" s="146" t="str">
        <f>IFERROR(LEFT(M5,FIND("],",M5)+S16),M5)</f>
        <v xml:space="preserve">[effect:tolerance, target:myself, turn:-1, count:-1, tolerance_effect:all, animation:enemy_tolerance]    </v>
      </c>
      <c r="O5" s="145">
        <f t="shared" si="6"/>
        <v>9</v>
      </c>
      <c r="P5" s="145">
        <f t="shared" si="7"/>
        <v>18</v>
      </c>
      <c r="Q5" s="145">
        <f t="shared" si="8"/>
        <v>27</v>
      </c>
      <c r="R5" s="145">
        <f t="shared" si="9"/>
        <v>33</v>
      </c>
      <c r="S5" s="145" t="str">
        <f>IFERROR(VLOOKUP(MID(N5,Q5,R5-Q5),[6]skilldef!$C:$D,2,FALSE),"-") &amp; " / " &amp; IFERROR(VLOOKUP(MID(N5,O5,P5-O5),[6]skilldef!$A:$B,2,FALSE),"-")</f>
        <v>自分自身に / 状態異常耐性</v>
      </c>
      <c r="T5" s="146" t="str">
        <f t="shared" si="10"/>
        <v>none</v>
      </c>
      <c r="U5" s="145" t="e">
        <f t="shared" si="11"/>
        <v>#VALUE!</v>
      </c>
      <c r="V5" s="145">
        <f t="shared" si="12"/>
        <v>4</v>
      </c>
      <c r="W5" s="145" t="e">
        <f t="shared" si="13"/>
        <v>#VALUE!</v>
      </c>
      <c r="X5" s="145" t="e">
        <f t="shared" si="14"/>
        <v>#VALUE!</v>
      </c>
      <c r="Y5" s="145" t="str">
        <f>IFERROR(VLOOKUP(MID(T5,W5,X5-W5),[6]skilldef!$C:$D,2,FALSE),"-") &amp; " / " &amp; IFERROR(VLOOKUP(MID(T5,U5,V5-U5),[6]skilldef!$A:$B,2,FALSE),"-")</f>
        <v>- / -</v>
      </c>
      <c r="Z5" s="143"/>
      <c r="AA5" s="147"/>
      <c r="AB5" s="148" t="s">
        <v>282</v>
      </c>
    </row>
    <row r="6" spans="1:28" s="156" customFormat="1" ht="41" customHeight="1" thickBot="1" x14ac:dyDescent="0.2">
      <c r="A6" s="123">
        <v>40034304</v>
      </c>
      <c r="B6" s="140" t="s">
        <v>333</v>
      </c>
      <c r="C6" s="46">
        <v>3</v>
      </c>
      <c r="D6" s="46" t="s">
        <v>128</v>
      </c>
      <c r="E6" s="47" t="s">
        <v>418</v>
      </c>
      <c r="F6" s="47" t="s">
        <v>335</v>
      </c>
      <c r="G6" s="59" t="str">
        <f t="shared" ref="G6" si="15">IFERROR(LEFT(B6,FIND("],",B6)),B6)</f>
        <v>[effect:enemy_message, val1:2.0, val2:2.4]</v>
      </c>
      <c r="H6" s="59">
        <f t="shared" ref="H6" si="16">FIND("effect:",G6)+7</f>
        <v>9</v>
      </c>
      <c r="I6" s="59">
        <f t="shared" ref="I6" si="17">IFERROR(FIND(",",G6),LEN(G6))</f>
        <v>22</v>
      </c>
      <c r="J6" s="59" t="e">
        <f t="shared" ref="J6" si="18">FIND("target:",G6)+7</f>
        <v>#VALUE!</v>
      </c>
      <c r="K6" s="59">
        <f t="shared" ref="K6" si="19">FIND(",",G6,I6+1)</f>
        <v>32</v>
      </c>
      <c r="L6" s="59" t="str">
        <f>IFERROR(VLOOKUP(MID(G6,J6,K6-J6),[6]skilldef!$C:$D,2,FALSE),"-") &amp; " / " &amp; IFERROR(VLOOKUP(MID(G6,H6,I6-H6),[6]skilldef!$A:$B,2,FALSE),"-")</f>
        <v>- / -</v>
      </c>
      <c r="M6" s="59" t="str">
        <f t="shared" ref="M6" si="20">IFERROR(RIGHT(B6,LEN(B6)-FIND("],",B6)-1),"none")</f>
        <v>none</v>
      </c>
      <c r="N6" s="44" t="str">
        <f t="shared" ref="N6" si="21">IFERROR(LEFT(M6,FIND("],",M6)+S16),M6)</f>
        <v>none</v>
      </c>
      <c r="O6" s="59" t="e">
        <f t="shared" ref="O6" si="22">FIND("effect:",N6)+7</f>
        <v>#VALUE!</v>
      </c>
      <c r="P6" s="59">
        <f t="shared" ref="P6" si="23">IFERROR(FIND(",",N6),LEN(N6))</f>
        <v>4</v>
      </c>
      <c r="Q6" s="59" t="e">
        <f t="shared" ref="Q6" si="24">FIND("target:",N6)+7</f>
        <v>#VALUE!</v>
      </c>
      <c r="R6" s="59" t="e">
        <f t="shared" ref="R6" si="25">FIND(",",N6,P6+1)</f>
        <v>#VALUE!</v>
      </c>
      <c r="S6" s="59" t="str">
        <f>IFERROR(VLOOKUP(MID(N6,Q6,R6-Q6),[6]skilldef!$C:$D,2,FALSE),"-") &amp; " / " &amp; IFERROR(VLOOKUP(MID(N6,O6,P6-O6),[6]skilldef!$A:$B,2,FALSE),"-")</f>
        <v>- / -</v>
      </c>
      <c r="T6" s="44" t="str">
        <f t="shared" ref="T6" si="26">IFERROR(RIGHT(M6,LEN(M6)-FIND("],",M6)-1),"none")</f>
        <v>none</v>
      </c>
      <c r="U6" s="59" t="e">
        <f t="shared" ref="U6" si="27">FIND("effect:",T6)+7</f>
        <v>#VALUE!</v>
      </c>
      <c r="V6" s="59">
        <f t="shared" ref="V6" si="28">IFERROR(FIND(",",T6),LEN(T6))</f>
        <v>4</v>
      </c>
      <c r="W6" s="59" t="e">
        <f t="shared" ref="W6" si="29">FIND("target:",T6)+7</f>
        <v>#VALUE!</v>
      </c>
      <c r="X6" s="59" t="e">
        <f t="shared" ref="X6" si="30">FIND(",",T6,V6+1)</f>
        <v>#VALUE!</v>
      </c>
      <c r="Y6" s="59" t="str">
        <f>IFERROR(VLOOKUP(MID(T6,W6,X6-W6),[6]skilldef!$C:$D,2,FALSE),"-") &amp; " / " &amp; IFERROR(VLOOKUP(MID(T6,U6,V6-U6),[6]skilldef!$A:$B,2,FALSE),"-")</f>
        <v>- / -</v>
      </c>
      <c r="Z6" s="46"/>
      <c r="AA6" s="48"/>
      <c r="AB6" s="131" t="s">
        <v>260</v>
      </c>
    </row>
    <row r="7" spans="1:28" ht="41" customHeight="1" thickBot="1" x14ac:dyDescent="0.2">
      <c r="A7" s="123">
        <v>40034305</v>
      </c>
      <c r="B7" s="149" t="s">
        <v>334</v>
      </c>
      <c r="C7" s="150">
        <v>3</v>
      </c>
      <c r="D7" s="150" t="s">
        <v>128</v>
      </c>
      <c r="E7" s="151" t="s">
        <v>409</v>
      </c>
      <c r="F7" s="151" t="s">
        <v>338</v>
      </c>
      <c r="G7" s="152" t="str">
        <f t="shared" si="0"/>
        <v>[effect:enemy_message, val1:2.0, val2:2.4]</v>
      </c>
      <c r="H7" s="152">
        <f t="shared" si="1"/>
        <v>9</v>
      </c>
      <c r="I7" s="152">
        <f t="shared" si="2"/>
        <v>22</v>
      </c>
      <c r="J7" s="152" t="e">
        <f t="shared" si="3"/>
        <v>#VALUE!</v>
      </c>
      <c r="K7" s="152">
        <f t="shared" si="4"/>
        <v>32</v>
      </c>
      <c r="L7" s="152" t="str">
        <f>IFERROR(VLOOKUP(MID(G7,J7,K7-J7),[6]skilldef!$C:$D,2,FALSE),"-") &amp; " / " &amp; IFERROR(VLOOKUP(MID(G7,H7,I7-H7),[6]skilldef!$A:$B,2,FALSE),"-")</f>
        <v>- / -</v>
      </c>
      <c r="M7" s="152" t="str">
        <f t="shared" si="5"/>
        <v>none</v>
      </c>
      <c r="N7" s="153" t="str">
        <f t="shared" ref="N7:N36" si="31">IFERROR(LEFT(M7,FIND("],",M7)+S17),M7)</f>
        <v>none</v>
      </c>
      <c r="O7" s="152" t="e">
        <f t="shared" si="6"/>
        <v>#VALUE!</v>
      </c>
      <c r="P7" s="152">
        <f t="shared" si="7"/>
        <v>4</v>
      </c>
      <c r="Q7" s="152" t="e">
        <f t="shared" si="8"/>
        <v>#VALUE!</v>
      </c>
      <c r="R7" s="152" t="e">
        <f t="shared" si="9"/>
        <v>#VALUE!</v>
      </c>
      <c r="S7" s="152" t="str">
        <f>IFERROR(VLOOKUP(MID(N7,Q7,R7-Q7),[6]skilldef!$C:$D,2,FALSE),"-") &amp; " / " &amp; IFERROR(VLOOKUP(MID(N7,O7,P7-O7),[6]skilldef!$A:$B,2,FALSE),"-")</f>
        <v>- / -</v>
      </c>
      <c r="T7" s="153" t="str">
        <f t="shared" si="10"/>
        <v>none</v>
      </c>
      <c r="U7" s="152" t="e">
        <f t="shared" si="11"/>
        <v>#VALUE!</v>
      </c>
      <c r="V7" s="152">
        <f t="shared" si="12"/>
        <v>4</v>
      </c>
      <c r="W7" s="152" t="e">
        <f t="shared" si="13"/>
        <v>#VALUE!</v>
      </c>
      <c r="X7" s="152" t="e">
        <f t="shared" si="14"/>
        <v>#VALUE!</v>
      </c>
      <c r="Y7" s="152" t="str">
        <f>IFERROR(VLOOKUP(MID(T7,W7,X7-W7),[6]skilldef!$C:$D,2,FALSE),"-") &amp; " / " &amp; IFERROR(VLOOKUP(MID(T7,U7,V7-U7),[6]skilldef!$A:$B,2,FALSE),"-")</f>
        <v>- / -</v>
      </c>
      <c r="Z7" s="150"/>
      <c r="AA7" s="154"/>
      <c r="AB7" s="155" t="s">
        <v>260</v>
      </c>
    </row>
    <row r="8" spans="1:28" ht="41" customHeight="1" thickBot="1" x14ac:dyDescent="0.2">
      <c r="A8" s="123">
        <v>40034306</v>
      </c>
      <c r="B8" s="139" t="s">
        <v>315</v>
      </c>
      <c r="C8" s="125">
        <v>3</v>
      </c>
      <c r="D8" s="125" t="s">
        <v>128</v>
      </c>
      <c r="E8" s="126" t="s">
        <v>314</v>
      </c>
      <c r="F8" s="126" t="s">
        <v>441</v>
      </c>
      <c r="G8" s="127" t="str">
        <f t="shared" si="0"/>
        <v xml:space="preserve">[effect:break_enchance_enemy, target:myself, val:200, lowest_val:1000, count :10, status:attack, turn:3, block01:block_green, calc:add, animation:enemy_enhance_attack]    </v>
      </c>
      <c r="H8" s="127">
        <f t="shared" si="1"/>
        <v>9</v>
      </c>
      <c r="I8" s="127">
        <f t="shared" si="2"/>
        <v>29</v>
      </c>
      <c r="J8" s="127">
        <f t="shared" si="3"/>
        <v>38</v>
      </c>
      <c r="K8" s="127">
        <f t="shared" si="4"/>
        <v>44</v>
      </c>
      <c r="L8" s="127" t="str">
        <f>IFERROR(VLOOKUP(MID(G8,J8,K8-J8),[6]skilldef!$C:$D,2,FALSE),"-") &amp; " / " &amp; IFERROR(VLOOKUP(MID(G8,H8,I8-H8),[6]skilldef!$A:$B,2,FALSE),"-")</f>
        <v>自分自身に / -</v>
      </c>
      <c r="M8" s="127" t="str">
        <f t="shared" si="5"/>
        <v>none</v>
      </c>
      <c r="N8" s="128" t="str">
        <f t="shared" si="31"/>
        <v>none</v>
      </c>
      <c r="O8" s="127" t="e">
        <f t="shared" si="6"/>
        <v>#VALUE!</v>
      </c>
      <c r="P8" s="127">
        <f t="shared" si="7"/>
        <v>4</v>
      </c>
      <c r="Q8" s="127" t="e">
        <f t="shared" si="8"/>
        <v>#VALUE!</v>
      </c>
      <c r="R8" s="127" t="e">
        <f t="shared" si="9"/>
        <v>#VALUE!</v>
      </c>
      <c r="S8" s="127" t="str">
        <f>IFERROR(VLOOKUP(MID(N8,Q8,R8-Q8),[6]skilldef!$C:$D,2,FALSE),"-") &amp; " / " &amp; IFERROR(VLOOKUP(MID(N8,O8,P8-O8),[6]skilldef!$A:$B,2,FALSE),"-")</f>
        <v>- / -</v>
      </c>
      <c r="T8" s="128" t="str">
        <f t="shared" si="10"/>
        <v>none</v>
      </c>
      <c r="U8" s="127" t="e">
        <f t="shared" si="11"/>
        <v>#VALUE!</v>
      </c>
      <c r="V8" s="127">
        <f t="shared" si="12"/>
        <v>4</v>
      </c>
      <c r="W8" s="127" t="e">
        <f t="shared" si="13"/>
        <v>#VALUE!</v>
      </c>
      <c r="X8" s="127" t="e">
        <f t="shared" si="14"/>
        <v>#VALUE!</v>
      </c>
      <c r="Y8" s="127" t="str">
        <f>IFERROR(VLOOKUP(MID(T8,W8,X8-W8),[6]skilldef!$C:$D,2,FALSE),"-") &amp; " / " &amp; IFERROR(VLOOKUP(MID(T8,U8,V8-U8),[6]skilldef!$A:$B,2,FALSE),"-")</f>
        <v>- / -</v>
      </c>
      <c r="Z8" s="125"/>
      <c r="AA8" s="129"/>
      <c r="AB8" s="130" t="s">
        <v>271</v>
      </c>
    </row>
    <row r="9" spans="1:28" ht="21" customHeight="1" thickBot="1" x14ac:dyDescent="0.2">
      <c r="A9" s="123">
        <v>40034307</v>
      </c>
      <c r="B9" s="140" t="s">
        <v>312</v>
      </c>
      <c r="C9" s="46">
        <v>3</v>
      </c>
      <c r="D9" s="46" t="s">
        <v>128</v>
      </c>
      <c r="E9" s="47" t="s">
        <v>464</v>
      </c>
      <c r="F9" s="47" t="s">
        <v>459</v>
      </c>
      <c r="G9" s="59" t="str">
        <f t="shared" si="0"/>
        <v>[effect:degrade_unit, target:unit_all, turn:4, status:heal, val:0.6, calc:mul, animation:degrade_unit_all_heal]</v>
      </c>
      <c r="H9" s="59">
        <f t="shared" si="1"/>
        <v>9</v>
      </c>
      <c r="I9" s="59">
        <f t="shared" si="2"/>
        <v>21</v>
      </c>
      <c r="J9" s="59">
        <f t="shared" si="3"/>
        <v>30</v>
      </c>
      <c r="K9" s="59">
        <f t="shared" si="4"/>
        <v>38</v>
      </c>
      <c r="L9" s="59" t="str">
        <f>IFERROR(VLOOKUP(MID(G9,J9,K9-J9),[6]skilldef!$C:$D,2,FALSE),"-") &amp; " / " &amp; IFERROR(VLOOKUP(MID(G9,H9,I9-H9),[6]skilldef!$A:$B,2,FALSE),"-")</f>
        <v>味方全体に / ステータスDOWN</v>
      </c>
      <c r="M9" s="59" t="str">
        <f t="shared" si="5"/>
        <v xml:space="preserve">[effect:rush, count:2, val:0.6]  </v>
      </c>
      <c r="N9" s="44" t="str">
        <f t="shared" si="31"/>
        <v xml:space="preserve">[effect:rush, count:2, val:0.6]  </v>
      </c>
      <c r="O9" s="59">
        <f t="shared" si="6"/>
        <v>9</v>
      </c>
      <c r="P9" s="59">
        <f t="shared" si="7"/>
        <v>13</v>
      </c>
      <c r="Q9" s="59" t="e">
        <f t="shared" si="8"/>
        <v>#VALUE!</v>
      </c>
      <c r="R9" s="59">
        <f t="shared" si="9"/>
        <v>22</v>
      </c>
      <c r="S9" s="59" t="str">
        <f>IFERROR(VLOOKUP(MID(N9,Q9,R9-Q9),[6]skilldef!$C:$D,2,FALSE),"-") &amp; " / " &amp; IFERROR(VLOOKUP(MID(N9,O9,P9-O9),[6]skilldef!$A:$B,2,FALSE),"-")</f>
        <v>- / 連続攻撃</v>
      </c>
      <c r="T9" s="44" t="str">
        <f t="shared" si="10"/>
        <v>none</v>
      </c>
      <c r="U9" s="59" t="e">
        <f t="shared" si="11"/>
        <v>#VALUE!</v>
      </c>
      <c r="V9" s="59">
        <f t="shared" si="12"/>
        <v>4</v>
      </c>
      <c r="W9" s="59" t="e">
        <f t="shared" si="13"/>
        <v>#VALUE!</v>
      </c>
      <c r="X9" s="59" t="e">
        <f t="shared" si="14"/>
        <v>#VALUE!</v>
      </c>
      <c r="Y9" s="59" t="str">
        <f>IFERROR(VLOOKUP(MID(T9,W9,X9-W9),[6]skilldef!$C:$D,2,FALSE),"-") &amp; " / " &amp; IFERROR(VLOOKUP(MID(T9,U9,V9-U9),[6]skilldef!$A:$B,2,FALSE),"-")</f>
        <v>- / -</v>
      </c>
      <c r="Z9" s="46"/>
      <c r="AA9" s="48"/>
      <c r="AB9" s="131" t="s">
        <v>261</v>
      </c>
    </row>
    <row r="10" spans="1:28" ht="21" customHeight="1" thickBot="1" x14ac:dyDescent="0.2">
      <c r="A10" s="123">
        <v>40034308</v>
      </c>
      <c r="B10" s="140" t="s">
        <v>432</v>
      </c>
      <c r="C10" s="46">
        <v>3</v>
      </c>
      <c r="D10" s="46" t="s">
        <v>128</v>
      </c>
      <c r="E10" s="47" t="s">
        <v>313</v>
      </c>
      <c r="F10" s="47" t="s">
        <v>287</v>
      </c>
      <c r="G10" s="59" t="str">
        <f t="shared" si="0"/>
        <v xml:space="preserve">[effect:damage_anti_tribe, target:unit_all, tribe:unknown, val1:3, val2:0.2]    </v>
      </c>
      <c r="H10" s="59">
        <f t="shared" si="1"/>
        <v>9</v>
      </c>
      <c r="I10" s="59">
        <f t="shared" si="2"/>
        <v>26</v>
      </c>
      <c r="J10" s="59">
        <f t="shared" si="3"/>
        <v>35</v>
      </c>
      <c r="K10" s="59">
        <f t="shared" si="4"/>
        <v>43</v>
      </c>
      <c r="L10" s="59" t="str">
        <f>IFERROR(VLOOKUP(MID(G10,J10,K10-J10),[6]skilldef!$C:$D,2,FALSE),"-") &amp; " / " &amp; IFERROR(VLOOKUP(MID(G10,H10,I10-H10),[6]skilldef!$A:$B,2,FALSE),"-")</f>
        <v>味方全体に / 種族キラー</v>
      </c>
      <c r="M10" s="59" t="str">
        <f t="shared" si="5"/>
        <v>none</v>
      </c>
      <c r="N10" s="44" t="str">
        <f t="shared" si="31"/>
        <v>none</v>
      </c>
      <c r="O10" s="59" t="e">
        <f t="shared" si="6"/>
        <v>#VALUE!</v>
      </c>
      <c r="P10" s="59">
        <f t="shared" si="7"/>
        <v>4</v>
      </c>
      <c r="Q10" s="59" t="e">
        <f t="shared" si="8"/>
        <v>#VALUE!</v>
      </c>
      <c r="R10" s="59" t="e">
        <f t="shared" si="9"/>
        <v>#VALUE!</v>
      </c>
      <c r="S10" s="59" t="str">
        <f>IFERROR(VLOOKUP(MID(N10,Q10,R10-Q10),[6]skilldef!$C:$D,2,FALSE),"-") &amp; " / " &amp; IFERROR(VLOOKUP(MID(N10,O10,P10-O10),[6]skilldef!$A:$B,2,FALSE),"-")</f>
        <v>- / -</v>
      </c>
      <c r="T10" s="44" t="str">
        <f t="shared" si="10"/>
        <v>none</v>
      </c>
      <c r="U10" s="59" t="e">
        <f t="shared" si="11"/>
        <v>#VALUE!</v>
      </c>
      <c r="V10" s="59">
        <f t="shared" si="12"/>
        <v>4</v>
      </c>
      <c r="W10" s="59" t="e">
        <f t="shared" si="13"/>
        <v>#VALUE!</v>
      </c>
      <c r="X10" s="59" t="e">
        <f t="shared" si="14"/>
        <v>#VALUE!</v>
      </c>
      <c r="Y10" s="59" t="str">
        <f>IFERROR(VLOOKUP(MID(T10,W10,X10-W10),[6]skilldef!$C:$D,2,FALSE),"-") &amp; " / " &amp; IFERROR(VLOOKUP(MID(T10,U10,V10-U10),[6]skilldef!$A:$B,2,FALSE),"-")</f>
        <v>- / -</v>
      </c>
      <c r="Z10" s="46"/>
      <c r="AA10" s="48"/>
      <c r="AB10" s="131" t="s">
        <v>262</v>
      </c>
    </row>
    <row r="11" spans="1:28" ht="21" customHeight="1" thickBot="1" x14ac:dyDescent="0.2">
      <c r="A11" s="123">
        <v>40034309</v>
      </c>
      <c r="B11" s="141" t="s">
        <v>310</v>
      </c>
      <c r="C11" s="133">
        <v>3</v>
      </c>
      <c r="D11" s="133" t="s">
        <v>128</v>
      </c>
      <c r="E11" s="134" t="s">
        <v>339</v>
      </c>
      <c r="F11" s="134" t="s">
        <v>460</v>
      </c>
      <c r="G11" s="135" t="str">
        <f t="shared" si="0"/>
        <v>[effect:degrade_unit, target:unit_all, turn:4, status:attack, val:0.5, calc:mul]</v>
      </c>
      <c r="H11" s="135">
        <f t="shared" si="1"/>
        <v>9</v>
      </c>
      <c r="I11" s="135">
        <f t="shared" si="2"/>
        <v>21</v>
      </c>
      <c r="J11" s="135">
        <f t="shared" si="3"/>
        <v>30</v>
      </c>
      <c r="K11" s="135">
        <f t="shared" si="4"/>
        <v>38</v>
      </c>
      <c r="L11" s="135" t="str">
        <f>IFERROR(VLOOKUP(MID(G11,J11,K11-J11),[6]skilldef!$C:$D,2,FALSE),"-") &amp; " / " &amp; IFERROR(VLOOKUP(MID(G11,H11,I11-H11),[6]skilldef!$A:$B,2,FALSE),"-")</f>
        <v>味方全体に / ステータスDOWN</v>
      </c>
      <c r="M11" s="135" t="str">
        <f t="shared" si="5"/>
        <v xml:space="preserve">[effect:spread, val:0.2]   </v>
      </c>
      <c r="N11" s="136" t="str">
        <f t="shared" si="31"/>
        <v xml:space="preserve">[effect:spread, val:0.2]   </v>
      </c>
      <c r="O11" s="135">
        <f t="shared" si="6"/>
        <v>9</v>
      </c>
      <c r="P11" s="135">
        <f t="shared" si="7"/>
        <v>15</v>
      </c>
      <c r="Q11" s="135" t="e">
        <f t="shared" si="8"/>
        <v>#VALUE!</v>
      </c>
      <c r="R11" s="135" t="e">
        <f t="shared" si="9"/>
        <v>#VALUE!</v>
      </c>
      <c r="S11" s="135" t="str">
        <f>IFERROR(VLOOKUP(MID(N11,Q11,R11-Q11),[6]skilldef!$C:$D,2,FALSE),"-") &amp; " / " &amp; IFERROR(VLOOKUP(MID(N11,O11,P11-O11),[6]skilldef!$A:$B,2,FALSE),"-")</f>
        <v>- / 全体攻撃</v>
      </c>
      <c r="T11" s="136" t="str">
        <f t="shared" si="10"/>
        <v>none</v>
      </c>
      <c r="U11" s="135" t="e">
        <f t="shared" si="11"/>
        <v>#VALUE!</v>
      </c>
      <c r="V11" s="135">
        <f t="shared" si="12"/>
        <v>4</v>
      </c>
      <c r="W11" s="135" t="e">
        <f t="shared" si="13"/>
        <v>#VALUE!</v>
      </c>
      <c r="X11" s="135" t="e">
        <f t="shared" si="14"/>
        <v>#VALUE!</v>
      </c>
      <c r="Y11" s="135" t="str">
        <f>IFERROR(VLOOKUP(MID(T11,W11,X11-W11),[6]skilldef!$C:$D,2,FALSE),"-") &amp; " / " &amp; IFERROR(VLOOKUP(MID(T11,U11,V11-U11),[6]skilldef!$A:$B,2,FALSE),"-")</f>
        <v>- / -</v>
      </c>
      <c r="Z11" s="133"/>
      <c r="AA11" s="137"/>
      <c r="AB11" s="138" t="s">
        <v>261</v>
      </c>
    </row>
    <row r="12" spans="1:28" ht="36" customHeight="1" thickBot="1" x14ac:dyDescent="0.2">
      <c r="A12" s="123">
        <v>40034310</v>
      </c>
      <c r="B12" s="139" t="s">
        <v>321</v>
      </c>
      <c r="C12" s="125">
        <v>3</v>
      </c>
      <c r="D12" s="125" t="s">
        <v>128</v>
      </c>
      <c r="E12" s="126" t="s">
        <v>404</v>
      </c>
      <c r="F12" s="126" t="s">
        <v>299</v>
      </c>
      <c r="G12" s="127" t="str">
        <f t="shared" si="0"/>
        <v xml:space="preserve">[effect:drop_block, block_type:jammer, color:block_heart, val:0, rate:0.5, turn:-1, animation:jammer_influence04]    </v>
      </c>
      <c r="H12" s="127">
        <f t="shared" si="1"/>
        <v>9</v>
      </c>
      <c r="I12" s="127">
        <f t="shared" si="2"/>
        <v>19</v>
      </c>
      <c r="J12" s="127" t="e">
        <f t="shared" si="3"/>
        <v>#VALUE!</v>
      </c>
      <c r="K12" s="127">
        <f t="shared" si="4"/>
        <v>38</v>
      </c>
      <c r="L12" s="127" t="str">
        <f>IFERROR(VLOOKUP(MID(G12,J12,K12-J12),[6]skilldef!$C:$D,2,FALSE),"-") &amp; " / " &amp; IFERROR(VLOOKUP(MID(G12,H12,I12-H12),[6]skilldef!$A:$B,2,FALSE),"-")</f>
        <v>- / 特定ブロックの割合ドロップ</v>
      </c>
      <c r="M12" s="127" t="str">
        <f t="shared" si="5"/>
        <v>none</v>
      </c>
      <c r="N12" s="128" t="str">
        <f t="shared" si="31"/>
        <v>none</v>
      </c>
      <c r="O12" s="127" t="e">
        <f t="shared" si="6"/>
        <v>#VALUE!</v>
      </c>
      <c r="P12" s="127">
        <f t="shared" si="7"/>
        <v>4</v>
      </c>
      <c r="Q12" s="127" t="e">
        <f t="shared" si="8"/>
        <v>#VALUE!</v>
      </c>
      <c r="R12" s="127" t="e">
        <f t="shared" si="9"/>
        <v>#VALUE!</v>
      </c>
      <c r="S12" s="127" t="str">
        <f>IFERROR(VLOOKUP(MID(N12,Q12,R12-Q12),[6]skilldef!$C:$D,2,FALSE),"-") &amp; " / " &amp; IFERROR(VLOOKUP(MID(N12,O12,P12-O12),[6]skilldef!$A:$B,2,FALSE),"-")</f>
        <v>- / -</v>
      </c>
      <c r="T12" s="128" t="str">
        <f t="shared" si="10"/>
        <v>none</v>
      </c>
      <c r="U12" s="127" t="e">
        <f t="shared" si="11"/>
        <v>#VALUE!</v>
      </c>
      <c r="V12" s="127">
        <f t="shared" si="12"/>
        <v>4</v>
      </c>
      <c r="W12" s="127" t="e">
        <f t="shared" si="13"/>
        <v>#VALUE!</v>
      </c>
      <c r="X12" s="127" t="e">
        <f t="shared" si="14"/>
        <v>#VALUE!</v>
      </c>
      <c r="Y12" s="127" t="str">
        <f>IFERROR(VLOOKUP(MID(T12,W12,X12-W12),[6]skilldef!$C:$D,2,FALSE),"-") &amp; " / " &amp; IFERROR(VLOOKUP(MID(T12,U12,V12-U12),[6]skilldef!$A:$B,2,FALSE),"-")</f>
        <v>- / -</v>
      </c>
      <c r="Z12" s="125"/>
      <c r="AA12" s="129"/>
      <c r="AB12" s="130" t="s">
        <v>272</v>
      </c>
    </row>
    <row r="13" spans="1:28" ht="29" thickBot="1" x14ac:dyDescent="0.2">
      <c r="A13" s="123">
        <v>40034311</v>
      </c>
      <c r="B13" s="140" t="s">
        <v>291</v>
      </c>
      <c r="C13" s="46">
        <v>3</v>
      </c>
      <c r="D13" s="46" t="s">
        <v>128</v>
      </c>
      <c r="E13" s="47" t="s">
        <v>410</v>
      </c>
      <c r="F13" s="47" t="s">
        <v>289</v>
      </c>
      <c r="G13" s="59" t="str">
        <f t="shared" si="0"/>
        <v xml:space="preserve">[effect:drop_block, block_type:jammer, color:block_heart, val:0, rate:0.5, turn:-1, animation:jammer_influence04]    </v>
      </c>
      <c r="H13" s="59">
        <f t="shared" si="1"/>
        <v>9</v>
      </c>
      <c r="I13" s="59">
        <f t="shared" si="2"/>
        <v>19</v>
      </c>
      <c r="J13" s="59" t="e">
        <f t="shared" si="3"/>
        <v>#VALUE!</v>
      </c>
      <c r="K13" s="59">
        <f t="shared" si="4"/>
        <v>38</v>
      </c>
      <c r="L13" s="59" t="str">
        <f>IFERROR(VLOOKUP(MID(G13,J13,K13-J13),[6]skilldef!$C:$D,2,FALSE),"-") &amp; " / " &amp; IFERROR(VLOOKUP(MID(G13,H13,I13-H13),[6]skilldef!$A:$B,2,FALSE),"-")</f>
        <v>- / 特定ブロックの割合ドロップ</v>
      </c>
      <c r="M13" s="59" t="str">
        <f t="shared" si="5"/>
        <v>none</v>
      </c>
      <c r="N13" s="44" t="str">
        <f t="shared" si="31"/>
        <v>none</v>
      </c>
      <c r="O13" s="59" t="e">
        <f t="shared" si="6"/>
        <v>#VALUE!</v>
      </c>
      <c r="P13" s="59">
        <f t="shared" si="7"/>
        <v>4</v>
      </c>
      <c r="Q13" s="59" t="e">
        <f t="shared" si="8"/>
        <v>#VALUE!</v>
      </c>
      <c r="R13" s="59" t="e">
        <f t="shared" si="9"/>
        <v>#VALUE!</v>
      </c>
      <c r="S13" s="59" t="str">
        <f>IFERROR(VLOOKUP(MID(N13,Q13,R13-Q13),[6]skilldef!$C:$D,2,FALSE),"-") &amp; " / " &amp; IFERROR(VLOOKUP(MID(N13,O13,P13-O13),[6]skilldef!$A:$B,2,FALSE),"-")</f>
        <v>- / -</v>
      </c>
      <c r="T13" s="44" t="str">
        <f t="shared" si="10"/>
        <v>none</v>
      </c>
      <c r="U13" s="59" t="e">
        <f t="shared" si="11"/>
        <v>#VALUE!</v>
      </c>
      <c r="V13" s="59">
        <f t="shared" si="12"/>
        <v>4</v>
      </c>
      <c r="W13" s="59" t="e">
        <f t="shared" si="13"/>
        <v>#VALUE!</v>
      </c>
      <c r="X13" s="59" t="e">
        <f t="shared" si="14"/>
        <v>#VALUE!</v>
      </c>
      <c r="Y13" s="59" t="str">
        <f>IFERROR(VLOOKUP(MID(T13,W13,X13-W13),[6]skilldef!$C:$D,2,FALSE),"-") &amp; " / " &amp; IFERROR(VLOOKUP(MID(T13,U13,V13-U13),[6]skilldef!$A:$B,2,FALSE),"-")</f>
        <v>- / -</v>
      </c>
      <c r="Z13" s="46"/>
      <c r="AA13" s="48"/>
      <c r="AB13" s="131" t="s">
        <v>283</v>
      </c>
    </row>
    <row r="14" spans="1:28" ht="29" thickBot="1" x14ac:dyDescent="0.2">
      <c r="A14" s="123">
        <v>40034312</v>
      </c>
      <c r="B14" s="140" t="s">
        <v>291</v>
      </c>
      <c r="C14" s="46">
        <v>3</v>
      </c>
      <c r="D14" s="46" t="s">
        <v>128</v>
      </c>
      <c r="E14" s="47" t="s">
        <v>413</v>
      </c>
      <c r="F14" s="47" t="s">
        <v>290</v>
      </c>
      <c r="G14" s="59" t="str">
        <f t="shared" si="0"/>
        <v xml:space="preserve">[effect:drop_block, block_type:jammer, color:block_heart, val:0, rate:0.5, turn:-1, animation:jammer_influence04]    </v>
      </c>
      <c r="H14" s="59">
        <f t="shared" si="1"/>
        <v>9</v>
      </c>
      <c r="I14" s="59">
        <f t="shared" si="2"/>
        <v>19</v>
      </c>
      <c r="J14" s="59" t="e">
        <f t="shared" si="3"/>
        <v>#VALUE!</v>
      </c>
      <c r="K14" s="59">
        <f t="shared" si="4"/>
        <v>38</v>
      </c>
      <c r="L14" s="59" t="str">
        <f>IFERROR(VLOOKUP(MID(G14,J14,K14-J14),[6]skilldef!$C:$D,2,FALSE),"-") &amp; " / " &amp; IFERROR(VLOOKUP(MID(G14,H14,I14-H14),[6]skilldef!$A:$B,2,FALSE),"-")</f>
        <v>- / 特定ブロックの割合ドロップ</v>
      </c>
      <c r="M14" s="59" t="str">
        <f t="shared" si="5"/>
        <v>none</v>
      </c>
      <c r="N14" s="44" t="str">
        <f t="shared" si="31"/>
        <v>none</v>
      </c>
      <c r="O14" s="59" t="e">
        <f t="shared" si="6"/>
        <v>#VALUE!</v>
      </c>
      <c r="P14" s="59">
        <f t="shared" si="7"/>
        <v>4</v>
      </c>
      <c r="Q14" s="59" t="e">
        <f t="shared" si="8"/>
        <v>#VALUE!</v>
      </c>
      <c r="R14" s="59" t="e">
        <f t="shared" si="9"/>
        <v>#VALUE!</v>
      </c>
      <c r="S14" s="59" t="str">
        <f>IFERROR(VLOOKUP(MID(N14,Q14,R14-Q14),[6]skilldef!$C:$D,2,FALSE),"-") &amp; " / " &amp; IFERROR(VLOOKUP(MID(N14,O14,P14-O14),[6]skilldef!$A:$B,2,FALSE),"-")</f>
        <v>- / -</v>
      </c>
      <c r="T14" s="44" t="str">
        <f t="shared" si="10"/>
        <v>none</v>
      </c>
      <c r="U14" s="59" t="e">
        <f t="shared" si="11"/>
        <v>#VALUE!</v>
      </c>
      <c r="V14" s="59">
        <f t="shared" si="12"/>
        <v>4</v>
      </c>
      <c r="W14" s="59" t="e">
        <f t="shared" si="13"/>
        <v>#VALUE!</v>
      </c>
      <c r="X14" s="59" t="e">
        <f t="shared" si="14"/>
        <v>#VALUE!</v>
      </c>
      <c r="Y14" s="59" t="str">
        <f>IFERROR(VLOOKUP(MID(T14,W14,X14-W14),[6]skilldef!$C:$D,2,FALSE),"-") &amp; " / " &amp; IFERROR(VLOOKUP(MID(T14,U14,V14-U14),[6]skilldef!$A:$B,2,FALSE),"-")</f>
        <v>- / -</v>
      </c>
      <c r="Z14" s="46"/>
      <c r="AA14" s="48"/>
      <c r="AB14" s="131" t="s">
        <v>284</v>
      </c>
    </row>
    <row r="15" spans="1:28" ht="29" thickBot="1" x14ac:dyDescent="0.2">
      <c r="A15" s="123">
        <v>40034313</v>
      </c>
      <c r="B15" s="140" t="s">
        <v>291</v>
      </c>
      <c r="C15" s="46">
        <v>3</v>
      </c>
      <c r="D15" s="46" t="s">
        <v>128</v>
      </c>
      <c r="E15" s="47" t="s">
        <v>414</v>
      </c>
      <c r="F15" s="47" t="s">
        <v>288</v>
      </c>
      <c r="G15" s="59" t="str">
        <f t="shared" si="0"/>
        <v xml:space="preserve">[effect:drop_block, block_type:jammer, color:block_heart, val:0, rate:0.5, turn:-1, animation:jammer_influence04]    </v>
      </c>
      <c r="H15" s="59">
        <f t="shared" si="1"/>
        <v>9</v>
      </c>
      <c r="I15" s="59">
        <f t="shared" si="2"/>
        <v>19</v>
      </c>
      <c r="J15" s="59" t="e">
        <f t="shared" si="3"/>
        <v>#VALUE!</v>
      </c>
      <c r="K15" s="59">
        <f t="shared" si="4"/>
        <v>38</v>
      </c>
      <c r="L15" s="59" t="str">
        <f>IFERROR(VLOOKUP(MID(G15,J15,K15-J15),[6]skilldef!$C:$D,2,FALSE),"-") &amp; " / " &amp; IFERROR(VLOOKUP(MID(G15,H15,I15-H15),[6]skilldef!$A:$B,2,FALSE),"-")</f>
        <v>- / 特定ブロックの割合ドロップ</v>
      </c>
      <c r="M15" s="59" t="str">
        <f t="shared" si="5"/>
        <v>none</v>
      </c>
      <c r="N15" s="44" t="str">
        <f t="shared" si="31"/>
        <v>none</v>
      </c>
      <c r="O15" s="59" t="e">
        <f t="shared" si="6"/>
        <v>#VALUE!</v>
      </c>
      <c r="P15" s="59">
        <f t="shared" si="7"/>
        <v>4</v>
      </c>
      <c r="Q15" s="59" t="e">
        <f t="shared" si="8"/>
        <v>#VALUE!</v>
      </c>
      <c r="R15" s="59" t="e">
        <f t="shared" si="9"/>
        <v>#VALUE!</v>
      </c>
      <c r="S15" s="59" t="str">
        <f>IFERROR(VLOOKUP(MID(N15,Q15,R15-Q15),[6]skilldef!$C:$D,2,FALSE),"-") &amp; " / " &amp; IFERROR(VLOOKUP(MID(N15,O15,P15-O15),[6]skilldef!$A:$B,2,FALSE),"-")</f>
        <v>- / -</v>
      </c>
      <c r="T15" s="44" t="str">
        <f t="shared" si="10"/>
        <v>none</v>
      </c>
      <c r="U15" s="59" t="e">
        <f t="shared" si="11"/>
        <v>#VALUE!</v>
      </c>
      <c r="V15" s="59">
        <f t="shared" si="12"/>
        <v>4</v>
      </c>
      <c r="W15" s="59" t="e">
        <f t="shared" si="13"/>
        <v>#VALUE!</v>
      </c>
      <c r="X15" s="59" t="e">
        <f t="shared" si="14"/>
        <v>#VALUE!</v>
      </c>
      <c r="Y15" s="59" t="str">
        <f>IFERROR(VLOOKUP(MID(T15,W15,X15-W15),[6]skilldef!$C:$D,2,FALSE),"-") &amp; " / " &amp; IFERROR(VLOOKUP(MID(T15,U15,V15-U15),[6]skilldef!$A:$B,2,FALSE),"-")</f>
        <v>- / -</v>
      </c>
      <c r="Z15" s="46"/>
      <c r="AA15" s="48"/>
      <c r="AB15" s="131" t="s">
        <v>285</v>
      </c>
    </row>
    <row r="16" spans="1:28" ht="29" thickBot="1" x14ac:dyDescent="0.2">
      <c r="A16" s="123">
        <v>40034314</v>
      </c>
      <c r="B16" s="140" t="s">
        <v>291</v>
      </c>
      <c r="C16" s="46">
        <v>3</v>
      </c>
      <c r="D16" s="46" t="s">
        <v>128</v>
      </c>
      <c r="E16" s="47" t="s">
        <v>326</v>
      </c>
      <c r="F16" s="47" t="s">
        <v>288</v>
      </c>
      <c r="G16" s="59" t="str">
        <f t="shared" si="0"/>
        <v xml:space="preserve">[effect:drop_block, block_type:jammer, color:block_heart, val:0, rate:0.5, turn:-1, animation:jammer_influence04]    </v>
      </c>
      <c r="H16" s="59">
        <f t="shared" si="1"/>
        <v>9</v>
      </c>
      <c r="I16" s="59">
        <f t="shared" si="2"/>
        <v>19</v>
      </c>
      <c r="J16" s="59" t="e">
        <f t="shared" si="3"/>
        <v>#VALUE!</v>
      </c>
      <c r="K16" s="59">
        <f t="shared" si="4"/>
        <v>38</v>
      </c>
      <c r="L16" s="59" t="str">
        <f>IFERROR(VLOOKUP(MID(G16,J16,K16-J16),[6]skilldef!$C:$D,2,FALSE),"-") &amp; " / " &amp; IFERROR(VLOOKUP(MID(G16,H16,I16-H16),[6]skilldef!$A:$B,2,FALSE),"-")</f>
        <v>- / 特定ブロックの割合ドロップ</v>
      </c>
      <c r="M16" s="59" t="str">
        <f t="shared" si="5"/>
        <v>none</v>
      </c>
      <c r="N16" s="44" t="str">
        <f t="shared" si="31"/>
        <v>none</v>
      </c>
      <c r="O16" s="59" t="e">
        <f t="shared" si="6"/>
        <v>#VALUE!</v>
      </c>
      <c r="P16" s="59">
        <f t="shared" si="7"/>
        <v>4</v>
      </c>
      <c r="Q16" s="59" t="e">
        <f t="shared" si="8"/>
        <v>#VALUE!</v>
      </c>
      <c r="R16" s="59" t="e">
        <f t="shared" si="9"/>
        <v>#VALUE!</v>
      </c>
      <c r="S16" s="59" t="str">
        <f>IFERROR(VLOOKUP(MID(N16,Q16,R16-Q16),[6]skilldef!$C:$D,2,FALSE),"-") &amp; " / " &amp; IFERROR(VLOOKUP(MID(N16,O16,P16-O16),[6]skilldef!$A:$B,2,FALSE),"-")</f>
        <v>- / -</v>
      </c>
      <c r="T16" s="44" t="str">
        <f t="shared" si="10"/>
        <v>none</v>
      </c>
      <c r="U16" s="59" t="e">
        <f t="shared" si="11"/>
        <v>#VALUE!</v>
      </c>
      <c r="V16" s="59">
        <f t="shared" si="12"/>
        <v>4</v>
      </c>
      <c r="W16" s="59" t="e">
        <f t="shared" si="13"/>
        <v>#VALUE!</v>
      </c>
      <c r="X16" s="59" t="e">
        <f t="shared" si="14"/>
        <v>#VALUE!</v>
      </c>
      <c r="Y16" s="59" t="str">
        <f>IFERROR(VLOOKUP(MID(T16,W16,X16-W16),[6]skilldef!$C:$D,2,FALSE),"-") &amp; " / " &amp; IFERROR(VLOOKUP(MID(T16,U16,V16-U16),[6]skilldef!$A:$B,2,FALSE),"-")</f>
        <v>- / -</v>
      </c>
      <c r="Z16" s="46"/>
      <c r="AA16" s="48"/>
      <c r="AB16" s="131" t="s">
        <v>286</v>
      </c>
    </row>
    <row r="17" spans="1:28" ht="21" customHeight="1" thickBot="1" x14ac:dyDescent="0.2">
      <c r="A17" s="123">
        <v>40034315</v>
      </c>
      <c r="B17" s="140" t="s">
        <v>348</v>
      </c>
      <c r="C17" s="46">
        <v>3</v>
      </c>
      <c r="D17" s="46" t="s">
        <v>128</v>
      </c>
      <c r="E17" s="47" t="s">
        <v>400</v>
      </c>
      <c r="F17" s="47" t="s">
        <v>273</v>
      </c>
      <c r="G17" s="59" t="str">
        <f t="shared" si="0"/>
        <v xml:space="preserve">[effect:rush, count:2, val:0.8]    </v>
      </c>
      <c r="H17" s="59">
        <f t="shared" si="1"/>
        <v>9</v>
      </c>
      <c r="I17" s="59">
        <f t="shared" si="2"/>
        <v>13</v>
      </c>
      <c r="J17" s="59" t="e">
        <f t="shared" si="3"/>
        <v>#VALUE!</v>
      </c>
      <c r="K17" s="59">
        <f t="shared" si="4"/>
        <v>22</v>
      </c>
      <c r="L17" s="59" t="str">
        <f>IFERROR(VLOOKUP(MID(G17,J17,K17-J17),[6]skilldef!$C:$D,2,FALSE),"-") &amp; " / " &amp; IFERROR(VLOOKUP(MID(G17,H17,I17-H17),[6]skilldef!$A:$B,2,FALSE),"-")</f>
        <v>- / 連続攻撃</v>
      </c>
      <c r="M17" s="59" t="str">
        <f t="shared" si="5"/>
        <v>none</v>
      </c>
      <c r="N17" s="44" t="str">
        <f t="shared" si="31"/>
        <v>none</v>
      </c>
      <c r="O17" s="59" t="e">
        <f t="shared" si="6"/>
        <v>#VALUE!</v>
      </c>
      <c r="P17" s="59">
        <f t="shared" si="7"/>
        <v>4</v>
      </c>
      <c r="Q17" s="59" t="e">
        <f t="shared" si="8"/>
        <v>#VALUE!</v>
      </c>
      <c r="R17" s="59" t="e">
        <f t="shared" si="9"/>
        <v>#VALUE!</v>
      </c>
      <c r="S17" s="59" t="str">
        <f>IFERROR(VLOOKUP(MID(N17,Q17,R17-Q17),[6]skilldef!$C:$D,2,FALSE),"-") &amp; " / " &amp; IFERROR(VLOOKUP(MID(N17,O17,P17-O17),[6]skilldef!$A:$B,2,FALSE),"-")</f>
        <v>- / -</v>
      </c>
      <c r="T17" s="44" t="str">
        <f t="shared" si="10"/>
        <v>none</v>
      </c>
      <c r="U17" s="59" t="e">
        <f t="shared" si="11"/>
        <v>#VALUE!</v>
      </c>
      <c r="V17" s="59">
        <f t="shared" si="12"/>
        <v>4</v>
      </c>
      <c r="W17" s="59" t="e">
        <f t="shared" si="13"/>
        <v>#VALUE!</v>
      </c>
      <c r="X17" s="59" t="e">
        <f t="shared" si="14"/>
        <v>#VALUE!</v>
      </c>
      <c r="Y17" s="59" t="str">
        <f>IFERROR(VLOOKUP(MID(T17,W17,X17-W17),[6]skilldef!$C:$D,2,FALSE),"-") &amp; " / " &amp; IFERROR(VLOOKUP(MID(T17,U17,V17-U17),[6]skilldef!$A:$B,2,FALSE),"-")</f>
        <v>- / -</v>
      </c>
      <c r="Z17" s="46"/>
      <c r="AA17" s="48"/>
      <c r="AB17" s="131" t="s">
        <v>263</v>
      </c>
    </row>
    <row r="18" spans="1:28" ht="21" customHeight="1" thickBot="1" x14ac:dyDescent="0.2">
      <c r="A18" s="123">
        <v>40034316</v>
      </c>
      <c r="B18" s="140" t="s">
        <v>349</v>
      </c>
      <c r="C18" s="46">
        <v>3</v>
      </c>
      <c r="D18" s="46" t="s">
        <v>128</v>
      </c>
      <c r="E18" s="47" t="s">
        <v>401</v>
      </c>
      <c r="F18" s="47" t="s">
        <v>274</v>
      </c>
      <c r="G18" s="59" t="str">
        <f t="shared" si="0"/>
        <v xml:space="preserve">[effect:spread, val:0.4]    </v>
      </c>
      <c r="H18" s="59">
        <f t="shared" si="1"/>
        <v>9</v>
      </c>
      <c r="I18" s="59">
        <f t="shared" si="2"/>
        <v>15</v>
      </c>
      <c r="J18" s="59" t="e">
        <f t="shared" si="3"/>
        <v>#VALUE!</v>
      </c>
      <c r="K18" s="59" t="e">
        <f t="shared" si="4"/>
        <v>#VALUE!</v>
      </c>
      <c r="L18" s="59" t="str">
        <f>IFERROR(VLOOKUP(MID(G18,J18,K18-J18),[6]skilldef!$C:$D,2,FALSE),"-") &amp; " / " &amp; IFERROR(VLOOKUP(MID(G18,H18,I18-H18),[6]skilldef!$A:$B,2,FALSE),"-")</f>
        <v>- / 全体攻撃</v>
      </c>
      <c r="M18" s="59" t="str">
        <f t="shared" si="5"/>
        <v>none</v>
      </c>
      <c r="N18" s="44" t="str">
        <f t="shared" si="31"/>
        <v>none</v>
      </c>
      <c r="O18" s="59" t="e">
        <f t="shared" si="6"/>
        <v>#VALUE!</v>
      </c>
      <c r="P18" s="59">
        <f t="shared" si="7"/>
        <v>4</v>
      </c>
      <c r="Q18" s="59" t="e">
        <f t="shared" si="8"/>
        <v>#VALUE!</v>
      </c>
      <c r="R18" s="59" t="e">
        <f t="shared" si="9"/>
        <v>#VALUE!</v>
      </c>
      <c r="S18" s="59" t="str">
        <f>IFERROR(VLOOKUP(MID(N18,Q18,R18-Q18),[6]skilldef!$C:$D,2,FALSE),"-") &amp; " / " &amp; IFERROR(VLOOKUP(MID(N18,O18,P18-O18),[6]skilldef!$A:$B,2,FALSE),"-")</f>
        <v>- / -</v>
      </c>
      <c r="T18" s="44" t="str">
        <f t="shared" si="10"/>
        <v>none</v>
      </c>
      <c r="U18" s="59" t="e">
        <f t="shared" si="11"/>
        <v>#VALUE!</v>
      </c>
      <c r="V18" s="59">
        <f t="shared" si="12"/>
        <v>4</v>
      </c>
      <c r="W18" s="59" t="e">
        <f t="shared" si="13"/>
        <v>#VALUE!</v>
      </c>
      <c r="X18" s="59" t="e">
        <f t="shared" si="14"/>
        <v>#VALUE!</v>
      </c>
      <c r="Y18" s="59" t="str">
        <f>IFERROR(VLOOKUP(MID(T18,W18,X18-W18),[6]skilldef!$C:$D,2,FALSE),"-") &amp; " / " &amp; IFERROR(VLOOKUP(MID(T18,U18,V18-U18),[6]skilldef!$A:$B,2,FALSE),"-")</f>
        <v>- / -</v>
      </c>
      <c r="Z18" s="46"/>
      <c r="AA18" s="48"/>
      <c r="AB18" s="131" t="s">
        <v>263</v>
      </c>
    </row>
    <row r="19" spans="1:28" ht="21" customHeight="1" thickBot="1" x14ac:dyDescent="0.2">
      <c r="A19" s="123">
        <v>40034317</v>
      </c>
      <c r="B19" s="140" t="s">
        <v>436</v>
      </c>
      <c r="C19" s="46">
        <v>3</v>
      </c>
      <c r="D19" s="46" t="s">
        <v>128</v>
      </c>
      <c r="E19" s="47" t="s">
        <v>402</v>
      </c>
      <c r="F19" s="47" t="s">
        <v>462</v>
      </c>
      <c r="G19" s="59" t="str">
        <f t="shared" si="0"/>
        <v>[effect:critical, val:2, animation:enemy_critical]</v>
      </c>
      <c r="H19" s="59">
        <f t="shared" si="1"/>
        <v>9</v>
      </c>
      <c r="I19" s="59">
        <f t="shared" si="2"/>
        <v>17</v>
      </c>
      <c r="J19" s="59" t="e">
        <f t="shared" si="3"/>
        <v>#VALUE!</v>
      </c>
      <c r="K19" s="59">
        <f t="shared" si="4"/>
        <v>24</v>
      </c>
      <c r="L19" s="59" t="str">
        <f>IFERROR(VLOOKUP(MID(G19,J19,K19-J19),[6]skilldef!$C:$D,2,FALSE),"-") &amp; " / " &amp; IFERROR(VLOOKUP(MID(G19,H19,I19-H19),[6]skilldef!$A:$B,2,FALSE),"-")</f>
        <v>- / 大攻撃</v>
      </c>
      <c r="M19" s="59" t="str">
        <f t="shared" si="5"/>
        <v>none</v>
      </c>
      <c r="N19" s="44" t="str">
        <f t="shared" si="31"/>
        <v>none</v>
      </c>
      <c r="O19" s="59" t="e">
        <f t="shared" si="6"/>
        <v>#VALUE!</v>
      </c>
      <c r="P19" s="59">
        <f t="shared" si="7"/>
        <v>4</v>
      </c>
      <c r="Q19" s="59" t="e">
        <f t="shared" si="8"/>
        <v>#VALUE!</v>
      </c>
      <c r="R19" s="59" t="e">
        <f t="shared" si="9"/>
        <v>#VALUE!</v>
      </c>
      <c r="S19" s="59" t="str">
        <f>IFERROR(VLOOKUP(MID(N19,Q19,R19-Q19),[6]skilldef!$C:$D,2,FALSE),"-") &amp; " / " &amp; IFERROR(VLOOKUP(MID(N19,O19,P19-O19),[6]skilldef!$A:$B,2,FALSE),"-")</f>
        <v>- / -</v>
      </c>
      <c r="T19" s="44" t="str">
        <f t="shared" si="10"/>
        <v>none</v>
      </c>
      <c r="U19" s="59" t="e">
        <f t="shared" si="11"/>
        <v>#VALUE!</v>
      </c>
      <c r="V19" s="59">
        <f t="shared" si="12"/>
        <v>4</v>
      </c>
      <c r="W19" s="59" t="e">
        <f t="shared" si="13"/>
        <v>#VALUE!</v>
      </c>
      <c r="X19" s="59" t="e">
        <f t="shared" si="14"/>
        <v>#VALUE!</v>
      </c>
      <c r="Y19" s="59" t="str">
        <f>IFERROR(VLOOKUP(MID(T19,W19,X19-W19),[6]skilldef!$C:$D,2,FALSE),"-") &amp; " / " &amp; IFERROR(VLOOKUP(MID(T19,U19,V19-U19),[6]skilldef!$A:$B,2,FALSE),"-")</f>
        <v>- / -</v>
      </c>
      <c r="Z19" s="46"/>
      <c r="AA19" s="48"/>
      <c r="AB19" s="131" t="s">
        <v>263</v>
      </c>
    </row>
    <row r="20" spans="1:28" ht="21" customHeight="1" thickBot="1" x14ac:dyDescent="0.2">
      <c r="A20" s="123">
        <v>40034318</v>
      </c>
      <c r="B20" s="140" t="s">
        <v>292</v>
      </c>
      <c r="C20" s="46">
        <v>3</v>
      </c>
      <c r="D20" s="46" t="s">
        <v>128</v>
      </c>
      <c r="E20" s="47" t="s">
        <v>403</v>
      </c>
      <c r="F20" s="47" t="s">
        <v>423</v>
      </c>
      <c r="G20" s="59" t="str">
        <f t="shared" si="0"/>
        <v>[effect:enemy_counter, target:myself, invoke_condition:unit_all, counter_target:attacker, turn:5, val:0.35, animation:enemy_counter]</v>
      </c>
      <c r="H20" s="59">
        <f t="shared" si="1"/>
        <v>9</v>
      </c>
      <c r="I20" s="59">
        <f t="shared" si="2"/>
        <v>22</v>
      </c>
      <c r="J20" s="59">
        <f t="shared" si="3"/>
        <v>31</v>
      </c>
      <c r="K20" s="59">
        <f t="shared" si="4"/>
        <v>37</v>
      </c>
      <c r="L20" s="59" t="str">
        <f>IFERROR(VLOOKUP(MID(G20,J20,K20-J20),[6]skilldef!$C:$D,2,FALSE),"-") &amp; " / " &amp; IFERROR(VLOOKUP(MID(G20,H20,I20-H20),[6]skilldef!$A:$B,2,FALSE),"-")</f>
        <v>自分自身に / カウンター</v>
      </c>
      <c r="M20" s="59" t="str">
        <f t="shared" si="5"/>
        <v>[effect:spread, val:0.2]</v>
      </c>
      <c r="N20" s="44" t="str">
        <f t="shared" si="31"/>
        <v>[effect:spread, val:0.2]</v>
      </c>
      <c r="O20" s="59">
        <f t="shared" si="6"/>
        <v>9</v>
      </c>
      <c r="P20" s="59">
        <f t="shared" si="7"/>
        <v>15</v>
      </c>
      <c r="Q20" s="59" t="e">
        <f t="shared" si="8"/>
        <v>#VALUE!</v>
      </c>
      <c r="R20" s="59" t="e">
        <f t="shared" si="9"/>
        <v>#VALUE!</v>
      </c>
      <c r="S20" s="59" t="str">
        <f>IFERROR(VLOOKUP(MID(N20,Q20,R20-Q20),[6]skilldef!$C:$D,2,FALSE),"-") &amp; " / " &amp; IFERROR(VLOOKUP(MID(N20,O20,P20-O20),[6]skilldef!$A:$B,2,FALSE),"-")</f>
        <v>- / 全体攻撃</v>
      </c>
      <c r="T20" s="44" t="str">
        <f t="shared" si="10"/>
        <v>none</v>
      </c>
      <c r="U20" s="59" t="e">
        <f t="shared" si="11"/>
        <v>#VALUE!</v>
      </c>
      <c r="V20" s="59">
        <f t="shared" si="12"/>
        <v>4</v>
      </c>
      <c r="W20" s="59" t="e">
        <f t="shared" si="13"/>
        <v>#VALUE!</v>
      </c>
      <c r="X20" s="59" t="e">
        <f t="shared" si="14"/>
        <v>#VALUE!</v>
      </c>
      <c r="Y20" s="59" t="str">
        <f>IFERROR(VLOOKUP(MID(T20,W20,X20-W20),[6]skilldef!$C:$D,2,FALSE),"-") &amp; " / " &amp; IFERROR(VLOOKUP(MID(T20,U20,V20-U20),[6]skilldef!$A:$B,2,FALSE),"-")</f>
        <v>- / -</v>
      </c>
      <c r="Z20" s="46"/>
      <c r="AA20" s="48"/>
      <c r="AB20" s="131" t="s">
        <v>263</v>
      </c>
    </row>
    <row r="21" spans="1:28" ht="21" customHeight="1" thickBot="1" x14ac:dyDescent="0.2">
      <c r="A21" s="123">
        <v>40034319</v>
      </c>
      <c r="B21" s="141" t="s">
        <v>278</v>
      </c>
      <c r="C21" s="133">
        <v>3</v>
      </c>
      <c r="D21" s="133" t="s">
        <v>128</v>
      </c>
      <c r="E21" s="134" t="s">
        <v>280</v>
      </c>
      <c r="F21" s="134" t="s">
        <v>454</v>
      </c>
      <c r="G21" s="135" t="str">
        <f t="shared" si="0"/>
        <v>[effect:enemy_message, val1:1.4, val2:2.4]</v>
      </c>
      <c r="H21" s="135">
        <f t="shared" si="1"/>
        <v>9</v>
      </c>
      <c r="I21" s="135">
        <f t="shared" si="2"/>
        <v>22</v>
      </c>
      <c r="J21" s="135" t="e">
        <f t="shared" si="3"/>
        <v>#VALUE!</v>
      </c>
      <c r="K21" s="135">
        <f t="shared" si="4"/>
        <v>32</v>
      </c>
      <c r="L21" s="135" t="str">
        <f>IFERROR(VLOOKUP(MID(G21,J21,K21-J21),[6]skilldef!$C:$D,2,FALSE),"-") &amp; " / " &amp; IFERROR(VLOOKUP(MID(G21,H21,I21-H21),[6]skilldef!$A:$B,2,FALSE),"-")</f>
        <v>- / -</v>
      </c>
      <c r="M21" s="135" t="str">
        <f t="shared" si="5"/>
        <v>none</v>
      </c>
      <c r="N21" s="136" t="str">
        <f t="shared" si="31"/>
        <v>none</v>
      </c>
      <c r="O21" s="135" t="e">
        <f t="shared" si="6"/>
        <v>#VALUE!</v>
      </c>
      <c r="P21" s="135">
        <f t="shared" si="7"/>
        <v>4</v>
      </c>
      <c r="Q21" s="135" t="e">
        <f t="shared" si="8"/>
        <v>#VALUE!</v>
      </c>
      <c r="R21" s="135" t="e">
        <f t="shared" si="9"/>
        <v>#VALUE!</v>
      </c>
      <c r="S21" s="135" t="str">
        <f>IFERROR(VLOOKUP(MID(N21,Q21,R21-Q21),[6]skilldef!$C:$D,2,FALSE),"-") &amp; " / " &amp; IFERROR(VLOOKUP(MID(N21,O21,P21-O21),[6]skilldef!$A:$B,2,FALSE),"-")</f>
        <v>- / -</v>
      </c>
      <c r="T21" s="136" t="str">
        <f t="shared" si="10"/>
        <v>none</v>
      </c>
      <c r="U21" s="135" t="e">
        <f t="shared" si="11"/>
        <v>#VALUE!</v>
      </c>
      <c r="V21" s="135">
        <f t="shared" si="12"/>
        <v>4</v>
      </c>
      <c r="W21" s="135" t="e">
        <f t="shared" si="13"/>
        <v>#VALUE!</v>
      </c>
      <c r="X21" s="135" t="e">
        <f t="shared" si="14"/>
        <v>#VALUE!</v>
      </c>
      <c r="Y21" s="135" t="str">
        <f>IFERROR(VLOOKUP(MID(T21,W21,X21-W21),[6]skilldef!$C:$D,2,FALSE),"-") &amp; " / " &amp; IFERROR(VLOOKUP(MID(T21,U21,V21-U21),[6]skilldef!$A:$B,2,FALSE),"-")</f>
        <v>- / -</v>
      </c>
      <c r="Z21" s="133"/>
      <c r="AA21" s="137"/>
      <c r="AB21" s="138" t="s">
        <v>264</v>
      </c>
    </row>
    <row r="22" spans="1:28" ht="21" customHeight="1" thickBot="1" x14ac:dyDescent="0.2">
      <c r="A22" s="123">
        <v>40034320</v>
      </c>
      <c r="B22" s="139" t="s">
        <v>343</v>
      </c>
      <c r="C22" s="125">
        <v>3</v>
      </c>
      <c r="D22" s="125" t="s">
        <v>128</v>
      </c>
      <c r="E22" s="126" t="s">
        <v>405</v>
      </c>
      <c r="F22" s="126" t="s">
        <v>466</v>
      </c>
      <c r="G22" s="127" t="str">
        <f t="shared" si="0"/>
        <v xml:space="preserve">[effect:break_attack_fix, target:unit_all, val:50, lowest_val:1000, count:-1, color:red, block01:jammer]    </v>
      </c>
      <c r="H22" s="127">
        <f t="shared" si="1"/>
        <v>9</v>
      </c>
      <c r="I22" s="127">
        <f t="shared" si="2"/>
        <v>25</v>
      </c>
      <c r="J22" s="127">
        <f t="shared" si="3"/>
        <v>34</v>
      </c>
      <c r="K22" s="127">
        <f t="shared" si="4"/>
        <v>42</v>
      </c>
      <c r="L22" s="127" t="str">
        <f>IFERROR(VLOOKUP(MID(G22,J22,K22-J22),[6]skilldef!$C:$D,2,FALSE),"-") &amp; " / " &amp; IFERROR(VLOOKUP(MID(G22,H22,I22-H22),[6]skilldef!$A:$B,2,FALSE),"-")</f>
        <v>味方全体に / -</v>
      </c>
      <c r="M22" s="127" t="str">
        <f t="shared" si="5"/>
        <v>none</v>
      </c>
      <c r="N22" s="128" t="str">
        <f t="shared" si="31"/>
        <v>none</v>
      </c>
      <c r="O22" s="127" t="e">
        <f t="shared" si="6"/>
        <v>#VALUE!</v>
      </c>
      <c r="P22" s="127">
        <f t="shared" si="7"/>
        <v>4</v>
      </c>
      <c r="Q22" s="127" t="e">
        <f t="shared" si="8"/>
        <v>#VALUE!</v>
      </c>
      <c r="R22" s="127" t="e">
        <f t="shared" si="9"/>
        <v>#VALUE!</v>
      </c>
      <c r="S22" s="127" t="str">
        <f>IFERROR(VLOOKUP(MID(N22,Q22,R22-Q22),[6]skilldef!$C:$D,2,FALSE),"-") &amp; " / " &amp; IFERROR(VLOOKUP(MID(N22,O22,P22-O22),[6]skilldef!$A:$B,2,FALSE),"-")</f>
        <v>- / -</v>
      </c>
      <c r="T22" s="128" t="str">
        <f t="shared" si="10"/>
        <v>none</v>
      </c>
      <c r="U22" s="127" t="e">
        <f t="shared" si="11"/>
        <v>#VALUE!</v>
      </c>
      <c r="V22" s="127">
        <f t="shared" si="12"/>
        <v>4</v>
      </c>
      <c r="W22" s="127" t="e">
        <f t="shared" si="13"/>
        <v>#VALUE!</v>
      </c>
      <c r="X22" s="127" t="e">
        <f t="shared" si="14"/>
        <v>#VALUE!</v>
      </c>
      <c r="Y22" s="127" t="str">
        <f>IFERROR(VLOOKUP(MID(T22,W22,X22-W22),[6]skilldef!$C:$D,2,FALSE),"-") &amp; " / " &amp; IFERROR(VLOOKUP(MID(T22,U22,V22-U22),[6]skilldef!$A:$B,2,FALSE),"-")</f>
        <v>- / -</v>
      </c>
      <c r="Z22" s="125"/>
      <c r="AA22" s="129"/>
      <c r="AB22" s="130" t="s">
        <v>265</v>
      </c>
    </row>
    <row r="23" spans="1:28" ht="21" customHeight="1" thickBot="1" x14ac:dyDescent="0.2">
      <c r="A23" s="123">
        <v>40034321</v>
      </c>
      <c r="B23" s="141" t="s">
        <v>316</v>
      </c>
      <c r="C23" s="133">
        <v>3</v>
      </c>
      <c r="D23" s="133" t="s">
        <v>128</v>
      </c>
      <c r="E23" s="134" t="s">
        <v>429</v>
      </c>
      <c r="F23" s="134" t="s">
        <v>467</v>
      </c>
      <c r="G23" s="135" t="str">
        <f t="shared" si="0"/>
        <v xml:space="preserve">[effect:break_attack_fix, target:unit_all, val:50, lowest_val:1000, count:-1, color:yellow, block01:block_yellow]    </v>
      </c>
      <c r="H23" s="135">
        <f t="shared" si="1"/>
        <v>9</v>
      </c>
      <c r="I23" s="135">
        <f t="shared" si="2"/>
        <v>25</v>
      </c>
      <c r="J23" s="135">
        <f t="shared" si="3"/>
        <v>34</v>
      </c>
      <c r="K23" s="135">
        <f t="shared" si="4"/>
        <v>42</v>
      </c>
      <c r="L23" s="135" t="str">
        <f>IFERROR(VLOOKUP(MID(G23,J23,K23-J23),[6]skilldef!$C:$D,2,FALSE),"-") &amp; " / " &amp; IFERROR(VLOOKUP(MID(G23,H23,I23-H23),[6]skilldef!$A:$B,2,FALSE),"-")</f>
        <v>味方全体に / -</v>
      </c>
      <c r="M23" s="135" t="str">
        <f t="shared" si="5"/>
        <v>none</v>
      </c>
      <c r="N23" s="136" t="str">
        <f t="shared" ref="N23:N32" si="32">IFERROR(LEFT(M23,FIND("],",M23)+S35),M23)</f>
        <v>none</v>
      </c>
      <c r="O23" s="135" t="e">
        <f t="shared" si="6"/>
        <v>#VALUE!</v>
      </c>
      <c r="P23" s="135">
        <f t="shared" si="7"/>
        <v>4</v>
      </c>
      <c r="Q23" s="135" t="e">
        <f t="shared" si="8"/>
        <v>#VALUE!</v>
      </c>
      <c r="R23" s="135" t="e">
        <f t="shared" si="9"/>
        <v>#VALUE!</v>
      </c>
      <c r="S23" s="135" t="str">
        <f>IFERROR(VLOOKUP(MID(N23,Q23,R23-Q23),[6]skilldef!$C:$D,2,FALSE),"-") &amp; " / " &amp; IFERROR(VLOOKUP(MID(N23,O23,P23-O23),[6]skilldef!$A:$B,2,FALSE),"-")</f>
        <v>- / -</v>
      </c>
      <c r="T23" s="136" t="str">
        <f t="shared" si="10"/>
        <v>none</v>
      </c>
      <c r="U23" s="135" t="e">
        <f t="shared" si="11"/>
        <v>#VALUE!</v>
      </c>
      <c r="V23" s="135">
        <f t="shared" si="12"/>
        <v>4</v>
      </c>
      <c r="W23" s="135" t="e">
        <f t="shared" si="13"/>
        <v>#VALUE!</v>
      </c>
      <c r="X23" s="135" t="e">
        <f t="shared" si="14"/>
        <v>#VALUE!</v>
      </c>
      <c r="Y23" s="135" t="str">
        <f>IFERROR(VLOOKUP(MID(T23,W23,X23-W23),[6]skilldef!$C:$D,2,FALSE),"-") &amp; " / " &amp; IFERROR(VLOOKUP(MID(T23,U23,V23-U23),[6]skilldef!$A:$B,2,FALSE),"-")</f>
        <v>- / -</v>
      </c>
      <c r="Z23" s="133"/>
      <c r="AA23" s="137"/>
      <c r="AB23" s="138" t="s">
        <v>265</v>
      </c>
    </row>
    <row r="24" spans="1:28" ht="29" thickBot="1" x14ac:dyDescent="0.2">
      <c r="A24" s="123">
        <v>40034322</v>
      </c>
      <c r="B24" s="139" t="s">
        <v>293</v>
      </c>
      <c r="C24" s="125">
        <v>3</v>
      </c>
      <c r="D24" s="125" t="s">
        <v>128</v>
      </c>
      <c r="E24" s="126" t="s">
        <v>340</v>
      </c>
      <c r="F24" s="126" t="s">
        <v>346</v>
      </c>
      <c r="G24" s="127" t="str">
        <f t="shared" si="0"/>
        <v xml:space="preserve">[effect:enemy_message, val1:1.4, val2:2.4] </v>
      </c>
      <c r="H24" s="127">
        <f t="shared" si="1"/>
        <v>9</v>
      </c>
      <c r="I24" s="127">
        <f t="shared" si="2"/>
        <v>22</v>
      </c>
      <c r="J24" s="127" t="e">
        <f t="shared" si="3"/>
        <v>#VALUE!</v>
      </c>
      <c r="K24" s="127">
        <f t="shared" si="4"/>
        <v>32</v>
      </c>
      <c r="L24" s="127" t="str">
        <f>IFERROR(VLOOKUP(MID(G24,J24,K24-J24),[6]skilldef!$C:$D,2,FALSE),"-") &amp; " / " &amp; IFERROR(VLOOKUP(MID(G24,H24,I24-H24),[6]skilldef!$A:$B,2,FALSE),"-")</f>
        <v>- / -</v>
      </c>
      <c r="M24" s="127" t="str">
        <f t="shared" si="5"/>
        <v>none</v>
      </c>
      <c r="N24" s="128" t="str">
        <f t="shared" si="32"/>
        <v>none</v>
      </c>
      <c r="O24" s="127" t="e">
        <f t="shared" si="6"/>
        <v>#VALUE!</v>
      </c>
      <c r="P24" s="127">
        <f t="shared" si="7"/>
        <v>4</v>
      </c>
      <c r="Q24" s="127" t="e">
        <f t="shared" si="8"/>
        <v>#VALUE!</v>
      </c>
      <c r="R24" s="127" t="e">
        <f t="shared" si="9"/>
        <v>#VALUE!</v>
      </c>
      <c r="S24" s="127" t="str">
        <f>IFERROR(VLOOKUP(MID(N24,Q24,R24-Q24),[6]skilldef!$C:$D,2,FALSE),"-") &amp; " / " &amp; IFERROR(VLOOKUP(MID(N24,O24,P24-O24),[6]skilldef!$A:$B,2,FALSE),"-")</f>
        <v>- / -</v>
      </c>
      <c r="T24" s="128" t="str">
        <f t="shared" si="10"/>
        <v>none</v>
      </c>
      <c r="U24" s="127" t="e">
        <f t="shared" si="11"/>
        <v>#VALUE!</v>
      </c>
      <c r="V24" s="127">
        <f t="shared" si="12"/>
        <v>4</v>
      </c>
      <c r="W24" s="127" t="e">
        <f t="shared" si="13"/>
        <v>#VALUE!</v>
      </c>
      <c r="X24" s="127" t="e">
        <f t="shared" si="14"/>
        <v>#VALUE!</v>
      </c>
      <c r="Y24" s="127" t="str">
        <f>IFERROR(VLOOKUP(MID(T24,W24,X24-W24),[6]skilldef!$C:$D,2,FALSE),"-") &amp; " / " &amp; IFERROR(VLOOKUP(MID(T24,U24,V24-U24),[6]skilldef!$A:$B,2,FALSE),"-")</f>
        <v>- / -</v>
      </c>
      <c r="Z24" s="125"/>
      <c r="AA24" s="129"/>
      <c r="AB24" s="130" t="s">
        <v>266</v>
      </c>
    </row>
    <row r="25" spans="1:28" ht="21" customHeight="1" thickBot="1" x14ac:dyDescent="0.2">
      <c r="A25" s="123">
        <v>40034323</v>
      </c>
      <c r="B25" s="140" t="s">
        <v>311</v>
      </c>
      <c r="C25" s="46">
        <v>3</v>
      </c>
      <c r="D25" s="46" t="s">
        <v>128</v>
      </c>
      <c r="E25" s="47" t="s">
        <v>399</v>
      </c>
      <c r="F25" s="47" t="s">
        <v>302</v>
      </c>
      <c r="G25" s="59" t="str">
        <f t="shared" si="0"/>
        <v xml:space="preserve">[effect:degrade_unit, target:unit_all, turn:-1, status:heal, val:0.3, calc:mul, animation:degrade_unit_all_heal]    </v>
      </c>
      <c r="H25" s="59">
        <f t="shared" si="1"/>
        <v>9</v>
      </c>
      <c r="I25" s="59">
        <f t="shared" si="2"/>
        <v>21</v>
      </c>
      <c r="J25" s="59">
        <f t="shared" si="3"/>
        <v>30</v>
      </c>
      <c r="K25" s="59">
        <f t="shared" si="4"/>
        <v>38</v>
      </c>
      <c r="L25" s="59" t="str">
        <f>IFERROR(VLOOKUP(MID(G25,J25,K25-J25),[6]skilldef!$C:$D,2,FALSE),"-") &amp; " / " &amp; IFERROR(VLOOKUP(MID(G25,H25,I25-H25),[6]skilldef!$A:$B,2,FALSE),"-")</f>
        <v>味方全体に / ステータスDOWN</v>
      </c>
      <c r="M25" s="59" t="str">
        <f t="shared" si="5"/>
        <v>none</v>
      </c>
      <c r="N25" s="44" t="str">
        <f t="shared" si="32"/>
        <v>none</v>
      </c>
      <c r="O25" s="59" t="e">
        <f t="shared" si="6"/>
        <v>#VALUE!</v>
      </c>
      <c r="P25" s="59">
        <f t="shared" si="7"/>
        <v>4</v>
      </c>
      <c r="Q25" s="59" t="e">
        <f t="shared" si="8"/>
        <v>#VALUE!</v>
      </c>
      <c r="R25" s="59" t="e">
        <f t="shared" si="9"/>
        <v>#VALUE!</v>
      </c>
      <c r="S25" s="59" t="str">
        <f>IFERROR(VLOOKUP(MID(N25,Q25,R25-Q25),[6]skilldef!$C:$D,2,FALSE),"-") &amp; " / " &amp; IFERROR(VLOOKUP(MID(N25,O25,P25-O25),[6]skilldef!$A:$B,2,FALSE),"-")</f>
        <v>- / -</v>
      </c>
      <c r="T25" s="44" t="str">
        <f t="shared" si="10"/>
        <v>none</v>
      </c>
      <c r="U25" s="59" t="e">
        <f t="shared" si="11"/>
        <v>#VALUE!</v>
      </c>
      <c r="V25" s="59">
        <f t="shared" si="12"/>
        <v>4</v>
      </c>
      <c r="W25" s="59" t="e">
        <f t="shared" si="13"/>
        <v>#VALUE!</v>
      </c>
      <c r="X25" s="59" t="e">
        <f t="shared" si="14"/>
        <v>#VALUE!</v>
      </c>
      <c r="Y25" s="59" t="str">
        <f>IFERROR(VLOOKUP(MID(T25,W25,X25-W25),[6]skilldef!$C:$D,2,FALSE),"-") &amp; " / " &amp; IFERROR(VLOOKUP(MID(T25,U25,V25-U25),[6]skilldef!$A:$B,2,FALSE),"-")</f>
        <v>- / -</v>
      </c>
      <c r="Z25" s="46"/>
      <c r="AA25" s="48"/>
      <c r="AB25" s="131" t="s">
        <v>266</v>
      </c>
    </row>
    <row r="26" spans="1:28" ht="21" customHeight="1" thickBot="1" x14ac:dyDescent="0.2">
      <c r="A26" s="123">
        <v>40034324</v>
      </c>
      <c r="B26" s="140" t="s">
        <v>301</v>
      </c>
      <c r="C26" s="46">
        <v>3</v>
      </c>
      <c r="D26" s="46" t="s">
        <v>128</v>
      </c>
      <c r="E26" s="47" t="s">
        <v>398</v>
      </c>
      <c r="F26" s="47" t="s">
        <v>300</v>
      </c>
      <c r="G26" s="59" t="str">
        <f t="shared" si="0"/>
        <v xml:space="preserve">[effect:force_change_block, new_block:block_blue, target:block_heart, ignore01:crack_bomb, ignore02:time_bomb, count:10, val:0, animation:change_block]    </v>
      </c>
      <c r="H26" s="59">
        <f t="shared" si="1"/>
        <v>9</v>
      </c>
      <c r="I26" s="59">
        <f t="shared" si="2"/>
        <v>27</v>
      </c>
      <c r="J26" s="59">
        <f t="shared" si="3"/>
        <v>58</v>
      </c>
      <c r="K26" s="59">
        <f t="shared" si="4"/>
        <v>49</v>
      </c>
      <c r="L26" s="59" t="str">
        <f>IFERROR(VLOOKUP(MID(G26,J26,K26-J26),[6]skilldef!$C:$D,2,FALSE),"-") &amp; " / " &amp; IFERROR(VLOOKUP(MID(G26,H26,I26-H26),[6]skilldef!$A:$B,2,FALSE),"-")</f>
        <v>- / -</v>
      </c>
      <c r="M26" s="59" t="str">
        <f t="shared" si="5"/>
        <v>none</v>
      </c>
      <c r="N26" s="44" t="str">
        <f t="shared" si="32"/>
        <v>none</v>
      </c>
      <c r="O26" s="59" t="e">
        <f t="shared" si="6"/>
        <v>#VALUE!</v>
      </c>
      <c r="P26" s="59">
        <f t="shared" si="7"/>
        <v>4</v>
      </c>
      <c r="Q26" s="59" t="e">
        <f t="shared" si="8"/>
        <v>#VALUE!</v>
      </c>
      <c r="R26" s="59" t="e">
        <f t="shared" si="9"/>
        <v>#VALUE!</v>
      </c>
      <c r="S26" s="59" t="str">
        <f>IFERROR(VLOOKUP(MID(N26,Q26,R26-Q26),[6]skilldef!$C:$D,2,FALSE),"-") &amp; " / " &amp; IFERROR(VLOOKUP(MID(N26,O26,P26-O26),[6]skilldef!$A:$B,2,FALSE),"-")</f>
        <v>- / -</v>
      </c>
      <c r="T26" s="44" t="str">
        <f t="shared" si="10"/>
        <v>none</v>
      </c>
      <c r="U26" s="59" t="e">
        <f t="shared" si="11"/>
        <v>#VALUE!</v>
      </c>
      <c r="V26" s="59">
        <f t="shared" si="12"/>
        <v>4</v>
      </c>
      <c r="W26" s="59" t="e">
        <f t="shared" si="13"/>
        <v>#VALUE!</v>
      </c>
      <c r="X26" s="59" t="e">
        <f t="shared" si="14"/>
        <v>#VALUE!</v>
      </c>
      <c r="Y26" s="59" t="str">
        <f>IFERROR(VLOOKUP(MID(T26,W26,X26-W26),[6]skilldef!$C:$D,2,FALSE),"-") &amp; " / " &amp; IFERROR(VLOOKUP(MID(T26,U26,V26-U26),[6]skilldef!$A:$B,2,FALSE),"-")</f>
        <v>- / -</v>
      </c>
      <c r="Z26" s="46"/>
      <c r="AA26" s="48"/>
      <c r="AB26" s="131" t="s">
        <v>266</v>
      </c>
    </row>
    <row r="27" spans="1:28" ht="21" customHeight="1" thickBot="1" x14ac:dyDescent="0.2">
      <c r="A27" s="123">
        <v>40034325</v>
      </c>
      <c r="B27" s="140" t="s">
        <v>352</v>
      </c>
      <c r="C27" s="46">
        <v>3</v>
      </c>
      <c r="D27" s="46" t="s">
        <v>128</v>
      </c>
      <c r="E27" s="47" t="s">
        <v>397</v>
      </c>
      <c r="F27" s="47" t="s">
        <v>469</v>
      </c>
      <c r="G27" s="59" t="str">
        <f t="shared" si="0"/>
        <v xml:space="preserve">[effect:break_heal_fix, target:myself, val:2000, lowest_val:2000, count:-1, block01:block_blue, animation:enemy_heal]    </v>
      </c>
      <c r="H27" s="59">
        <f t="shared" si="1"/>
        <v>9</v>
      </c>
      <c r="I27" s="59">
        <f t="shared" si="2"/>
        <v>23</v>
      </c>
      <c r="J27" s="59">
        <f t="shared" si="3"/>
        <v>32</v>
      </c>
      <c r="K27" s="59">
        <f t="shared" si="4"/>
        <v>38</v>
      </c>
      <c r="L27" s="59" t="str">
        <f>IFERROR(VLOOKUP(MID(G27,J27,K27-J27),[6]skilldef!$C:$D,2,FALSE),"-") &amp; " / " &amp; IFERROR(VLOOKUP(MID(G27,H27,I27-H27),[6]skilldef!$A:$B,2,FALSE),"-")</f>
        <v>自分自身に / -</v>
      </c>
      <c r="M27" s="59" t="str">
        <f t="shared" si="5"/>
        <v>none</v>
      </c>
      <c r="N27" s="44" t="str">
        <f t="shared" si="32"/>
        <v>none</v>
      </c>
      <c r="O27" s="59" t="e">
        <f t="shared" si="6"/>
        <v>#VALUE!</v>
      </c>
      <c r="P27" s="59">
        <f t="shared" si="7"/>
        <v>4</v>
      </c>
      <c r="Q27" s="59" t="e">
        <f t="shared" si="8"/>
        <v>#VALUE!</v>
      </c>
      <c r="R27" s="59" t="e">
        <f t="shared" si="9"/>
        <v>#VALUE!</v>
      </c>
      <c r="S27" s="59" t="str">
        <f>IFERROR(VLOOKUP(MID(N27,Q27,R27-Q27),[6]skilldef!$C:$D,2,FALSE),"-") &amp; " / " &amp; IFERROR(VLOOKUP(MID(N27,O27,P27-O27),[6]skilldef!$A:$B,2,FALSE),"-")</f>
        <v>- / -</v>
      </c>
      <c r="T27" s="44" t="str">
        <f t="shared" si="10"/>
        <v>none</v>
      </c>
      <c r="U27" s="59" t="e">
        <f t="shared" si="11"/>
        <v>#VALUE!</v>
      </c>
      <c r="V27" s="59">
        <f t="shared" si="12"/>
        <v>4</v>
      </c>
      <c r="W27" s="59" t="e">
        <f t="shared" si="13"/>
        <v>#VALUE!</v>
      </c>
      <c r="X27" s="59" t="e">
        <f t="shared" si="14"/>
        <v>#VALUE!</v>
      </c>
      <c r="Y27" s="59" t="str">
        <f>IFERROR(VLOOKUP(MID(T27,W27,X27-W27),[6]skilldef!$C:$D,2,FALSE),"-") &amp; " / " &amp; IFERROR(VLOOKUP(MID(T27,U27,V27-U27),[6]skilldef!$A:$B,2,FALSE),"-")</f>
        <v>- / -</v>
      </c>
      <c r="Z27" s="46"/>
      <c r="AA27" s="48"/>
      <c r="AB27" s="131" t="s">
        <v>266</v>
      </c>
    </row>
    <row r="28" spans="1:28" ht="21" customHeight="1" thickBot="1" x14ac:dyDescent="0.2">
      <c r="A28" s="123">
        <v>40034326</v>
      </c>
      <c r="B28" s="140" t="s">
        <v>350</v>
      </c>
      <c r="C28" s="46">
        <v>3</v>
      </c>
      <c r="D28" s="46" t="s">
        <v>128</v>
      </c>
      <c r="E28" s="47" t="s">
        <v>281</v>
      </c>
      <c r="F28" s="47" t="s">
        <v>453</v>
      </c>
      <c r="G28" s="59" t="str">
        <f t="shared" si="0"/>
        <v>[effect:enemy_message, val1:1.4, val2:2.4]</v>
      </c>
      <c r="H28" s="59">
        <f t="shared" si="1"/>
        <v>9</v>
      </c>
      <c r="I28" s="59">
        <f t="shared" si="2"/>
        <v>22</v>
      </c>
      <c r="J28" s="59" t="e">
        <f t="shared" si="3"/>
        <v>#VALUE!</v>
      </c>
      <c r="K28" s="59">
        <f t="shared" si="4"/>
        <v>32</v>
      </c>
      <c r="L28" s="59" t="str">
        <f>IFERROR(VLOOKUP(MID(G28,J28,K28-J28),[6]skilldef!$C:$D,2,FALSE),"-") &amp; " / " &amp; IFERROR(VLOOKUP(MID(G28,H28,I28-H28),[6]skilldef!$A:$B,2,FALSE),"-")</f>
        <v>- / -</v>
      </c>
      <c r="M28" s="59" t="str">
        <f t="shared" si="5"/>
        <v xml:space="preserve">[effect:suicide, target:myself, val:0.1, dead_type:escape]    </v>
      </c>
      <c r="N28" s="44" t="str">
        <f t="shared" si="32"/>
        <v xml:space="preserve">[effect:suicide, target:myself, val:0.1, dead_type:escape]    </v>
      </c>
      <c r="O28" s="59">
        <f t="shared" si="6"/>
        <v>9</v>
      </c>
      <c r="P28" s="59">
        <f t="shared" si="7"/>
        <v>16</v>
      </c>
      <c r="Q28" s="59">
        <f t="shared" si="8"/>
        <v>25</v>
      </c>
      <c r="R28" s="59">
        <f t="shared" si="9"/>
        <v>31</v>
      </c>
      <c r="S28" s="59" t="str">
        <f>IFERROR(VLOOKUP(MID(N28,Q28,R28-Q28),[6]skilldef!$C:$D,2,FALSE),"-") &amp; " / " &amp; IFERROR(VLOOKUP(MID(N28,O28,P28-O28),[6]skilldef!$A:$B,2,FALSE),"-")</f>
        <v>自分自身に / -</v>
      </c>
      <c r="T28" s="44" t="str">
        <f t="shared" si="10"/>
        <v>none</v>
      </c>
      <c r="U28" s="59" t="e">
        <f t="shared" si="11"/>
        <v>#VALUE!</v>
      </c>
      <c r="V28" s="59">
        <f t="shared" si="12"/>
        <v>4</v>
      </c>
      <c r="W28" s="59" t="e">
        <f t="shared" si="13"/>
        <v>#VALUE!</v>
      </c>
      <c r="X28" s="59" t="e">
        <f t="shared" si="14"/>
        <v>#VALUE!</v>
      </c>
      <c r="Y28" s="59" t="str">
        <f>IFERROR(VLOOKUP(MID(T28,W28,X28-W28),[6]skilldef!$C:$D,2,FALSE),"-") &amp; " / " &amp; IFERROR(VLOOKUP(MID(T28,U28,V28-U28),[6]skilldef!$A:$B,2,FALSE),"-")</f>
        <v>- / -</v>
      </c>
      <c r="Z28" s="46"/>
      <c r="AA28" s="48"/>
      <c r="AB28" s="131" t="s">
        <v>266</v>
      </c>
    </row>
    <row r="29" spans="1:28" ht="21" customHeight="1" thickBot="1" x14ac:dyDescent="0.2">
      <c r="A29" s="123">
        <v>40034327</v>
      </c>
      <c r="B29" s="141" t="s">
        <v>303</v>
      </c>
      <c r="C29" s="133">
        <v>3</v>
      </c>
      <c r="D29" s="133" t="s">
        <v>128</v>
      </c>
      <c r="E29" s="134" t="s">
        <v>406</v>
      </c>
      <c r="F29" s="134" t="s">
        <v>305</v>
      </c>
      <c r="G29" s="135" t="str">
        <f t="shared" si="0"/>
        <v xml:space="preserve">[effect:freq_turn, target:enemy_all, turn:9, val:1, animation:enemy_freq_turn]    </v>
      </c>
      <c r="H29" s="135">
        <f t="shared" si="1"/>
        <v>9</v>
      </c>
      <c r="I29" s="135">
        <f t="shared" si="2"/>
        <v>18</v>
      </c>
      <c r="J29" s="135">
        <f t="shared" si="3"/>
        <v>27</v>
      </c>
      <c r="K29" s="135">
        <f t="shared" si="4"/>
        <v>36</v>
      </c>
      <c r="L29" s="135" t="str">
        <f>IFERROR(VLOOKUP(MID(G29,J29,K29-J29),[6]skilldef!$C:$D,2,FALSE),"-") &amp; " / " &amp; IFERROR(VLOOKUP(MID(G29,H29,I29-H29),[6]skilldef!$A:$B,2,FALSE),"-")</f>
        <v>敵全体に / 攻撃頻度がUP</v>
      </c>
      <c r="M29" s="135" t="str">
        <f t="shared" si="5"/>
        <v>none</v>
      </c>
      <c r="N29" s="136" t="str">
        <f t="shared" si="32"/>
        <v>none</v>
      </c>
      <c r="O29" s="135" t="e">
        <f t="shared" si="6"/>
        <v>#VALUE!</v>
      </c>
      <c r="P29" s="135">
        <f t="shared" si="7"/>
        <v>4</v>
      </c>
      <c r="Q29" s="135" t="e">
        <f t="shared" si="8"/>
        <v>#VALUE!</v>
      </c>
      <c r="R29" s="135" t="e">
        <f t="shared" si="9"/>
        <v>#VALUE!</v>
      </c>
      <c r="S29" s="135" t="str">
        <f>IFERROR(VLOOKUP(MID(N29,Q29,R29-Q29),[6]skilldef!$C:$D,2,FALSE),"-") &amp; " / " &amp; IFERROR(VLOOKUP(MID(N29,O29,P29-O29),[6]skilldef!$A:$B,2,FALSE),"-")</f>
        <v>- / -</v>
      </c>
      <c r="T29" s="136" t="str">
        <f t="shared" si="10"/>
        <v>none</v>
      </c>
      <c r="U29" s="135" t="e">
        <f t="shared" si="11"/>
        <v>#VALUE!</v>
      </c>
      <c r="V29" s="135">
        <f t="shared" si="12"/>
        <v>4</v>
      </c>
      <c r="W29" s="135" t="e">
        <f t="shared" si="13"/>
        <v>#VALUE!</v>
      </c>
      <c r="X29" s="135" t="e">
        <f t="shared" si="14"/>
        <v>#VALUE!</v>
      </c>
      <c r="Y29" s="135" t="str">
        <f>IFERROR(VLOOKUP(MID(T29,W29,X29-W29),[6]skilldef!$C:$D,2,FALSE),"-") &amp; " / " &amp; IFERROR(VLOOKUP(MID(T29,U29,V29-U29),[6]skilldef!$A:$B,2,FALSE),"-")</f>
        <v>- / -</v>
      </c>
      <c r="Z29" s="133"/>
      <c r="AA29" s="137"/>
      <c r="AB29" s="138" t="s">
        <v>266</v>
      </c>
    </row>
    <row r="30" spans="1:28" ht="21" customHeight="1" thickBot="1" x14ac:dyDescent="0.2">
      <c r="A30" s="123">
        <v>40034328</v>
      </c>
      <c r="B30" s="139" t="s">
        <v>293</v>
      </c>
      <c r="C30" s="125">
        <v>3</v>
      </c>
      <c r="D30" s="125" t="s">
        <v>128</v>
      </c>
      <c r="E30" s="126" t="s">
        <v>396</v>
      </c>
      <c r="F30" s="126" t="s">
        <v>463</v>
      </c>
      <c r="G30" s="127" t="str">
        <f t="shared" si="0"/>
        <v xml:space="preserve">[effect:enemy_message, val1:1.4, val2:2.4] </v>
      </c>
      <c r="H30" s="127">
        <f t="shared" si="1"/>
        <v>9</v>
      </c>
      <c r="I30" s="127">
        <f t="shared" si="2"/>
        <v>22</v>
      </c>
      <c r="J30" s="127" t="e">
        <f t="shared" si="3"/>
        <v>#VALUE!</v>
      </c>
      <c r="K30" s="127">
        <f t="shared" si="4"/>
        <v>32</v>
      </c>
      <c r="L30" s="127" t="str">
        <f>IFERROR(VLOOKUP(MID(G30,J30,K30-J30),[6]skilldef!$C:$D,2,FALSE),"-") &amp; " / " &amp; IFERROR(VLOOKUP(MID(G30,H30,I30-H30),[6]skilldef!$A:$B,2,FALSE),"-")</f>
        <v>- / -</v>
      </c>
      <c r="M30" s="127" t="str">
        <f t="shared" si="5"/>
        <v>none</v>
      </c>
      <c r="N30" s="128" t="str">
        <f t="shared" si="32"/>
        <v>none</v>
      </c>
      <c r="O30" s="127" t="e">
        <f t="shared" si="6"/>
        <v>#VALUE!</v>
      </c>
      <c r="P30" s="127">
        <f t="shared" si="7"/>
        <v>4</v>
      </c>
      <c r="Q30" s="127" t="e">
        <f t="shared" si="8"/>
        <v>#VALUE!</v>
      </c>
      <c r="R30" s="127" t="e">
        <f t="shared" si="9"/>
        <v>#VALUE!</v>
      </c>
      <c r="S30" s="127" t="str">
        <f>IFERROR(VLOOKUP(MID(N30,Q30,R30-Q30),[6]skilldef!$C:$D,2,FALSE),"-") &amp; " / " &amp; IFERROR(VLOOKUP(MID(N30,O30,P30-O30),[6]skilldef!$A:$B,2,FALSE),"-")</f>
        <v>- / -</v>
      </c>
      <c r="T30" s="128" t="str">
        <f t="shared" si="10"/>
        <v>none</v>
      </c>
      <c r="U30" s="127" t="e">
        <f t="shared" si="11"/>
        <v>#VALUE!</v>
      </c>
      <c r="V30" s="127">
        <f t="shared" si="12"/>
        <v>4</v>
      </c>
      <c r="W30" s="127" t="e">
        <f t="shared" si="13"/>
        <v>#VALUE!</v>
      </c>
      <c r="X30" s="127" t="e">
        <f t="shared" si="14"/>
        <v>#VALUE!</v>
      </c>
      <c r="Y30" s="127" t="str">
        <f>IFERROR(VLOOKUP(MID(T30,W30,X30-W30),[6]skilldef!$C:$D,2,FALSE),"-") &amp; " / " &amp; IFERROR(VLOOKUP(MID(T30,U30,V30-U30),[6]skilldef!$A:$B,2,FALSE),"-")</f>
        <v>- / -</v>
      </c>
      <c r="Z30" s="125"/>
      <c r="AA30" s="129"/>
      <c r="AB30" s="130" t="s">
        <v>267</v>
      </c>
    </row>
    <row r="31" spans="1:28" ht="21" customHeight="1" thickBot="1" x14ac:dyDescent="0.2">
      <c r="A31" s="123">
        <v>40034329</v>
      </c>
      <c r="B31" s="140" t="s">
        <v>309</v>
      </c>
      <c r="C31" s="46">
        <v>3</v>
      </c>
      <c r="D31" s="46" t="s">
        <v>128</v>
      </c>
      <c r="E31" s="47" t="s">
        <v>392</v>
      </c>
      <c r="F31" s="47" t="s">
        <v>452</v>
      </c>
      <c r="G31" s="59" t="str">
        <f t="shared" si="0"/>
        <v>[effect:degrade_unit, target:unit_all, turn:-1, status:attack, val:0.5, calc:mul]</v>
      </c>
      <c r="H31" s="59">
        <f t="shared" si="1"/>
        <v>9</v>
      </c>
      <c r="I31" s="59">
        <f t="shared" si="2"/>
        <v>21</v>
      </c>
      <c r="J31" s="59">
        <f t="shared" si="3"/>
        <v>30</v>
      </c>
      <c r="K31" s="59">
        <f t="shared" si="4"/>
        <v>38</v>
      </c>
      <c r="L31" s="59" t="str">
        <f>IFERROR(VLOOKUP(MID(G31,J31,K31-J31),[6]skilldef!$C:$D,2,FALSE),"-") &amp; " / " &amp; IFERROR(VLOOKUP(MID(G31,H31,I31-H31),[6]skilldef!$A:$B,2,FALSE),"-")</f>
        <v>味方全体に / ステータスDOWN</v>
      </c>
      <c r="M31" s="59" t="str">
        <f t="shared" si="5"/>
        <v>none</v>
      </c>
      <c r="N31" s="44" t="str">
        <f t="shared" si="32"/>
        <v>none</v>
      </c>
      <c r="O31" s="59" t="e">
        <f t="shared" si="6"/>
        <v>#VALUE!</v>
      </c>
      <c r="P31" s="59">
        <f t="shared" si="7"/>
        <v>4</v>
      </c>
      <c r="Q31" s="59" t="e">
        <f t="shared" si="8"/>
        <v>#VALUE!</v>
      </c>
      <c r="R31" s="59" t="e">
        <f t="shared" si="9"/>
        <v>#VALUE!</v>
      </c>
      <c r="S31" s="59" t="str">
        <f>IFERROR(VLOOKUP(MID(N31,Q31,R31-Q31),[6]skilldef!$C:$D,2,FALSE),"-") &amp; " / " &amp; IFERROR(VLOOKUP(MID(N31,O31,P31-O31),[6]skilldef!$A:$B,2,FALSE),"-")</f>
        <v>- / -</v>
      </c>
      <c r="T31" s="44" t="str">
        <f t="shared" si="10"/>
        <v>none</v>
      </c>
      <c r="U31" s="59" t="e">
        <f t="shared" si="11"/>
        <v>#VALUE!</v>
      </c>
      <c r="V31" s="59">
        <f t="shared" si="12"/>
        <v>4</v>
      </c>
      <c r="W31" s="59" t="e">
        <f t="shared" si="13"/>
        <v>#VALUE!</v>
      </c>
      <c r="X31" s="59" t="e">
        <f t="shared" si="14"/>
        <v>#VALUE!</v>
      </c>
      <c r="Y31" s="59" t="str">
        <f>IFERROR(VLOOKUP(MID(T31,W31,X31-W31),[6]skilldef!$C:$D,2,FALSE),"-") &amp; " / " &amp; IFERROR(VLOOKUP(MID(T31,U31,V31-U31),[6]skilldef!$A:$B,2,FALSE),"-")</f>
        <v>- / -</v>
      </c>
      <c r="Z31" s="46"/>
      <c r="AA31" s="48"/>
      <c r="AB31" s="131" t="s">
        <v>267</v>
      </c>
    </row>
    <row r="32" spans="1:28" ht="21" customHeight="1" thickBot="1" x14ac:dyDescent="0.2">
      <c r="A32" s="123">
        <v>40034330</v>
      </c>
      <c r="B32" s="140" t="s">
        <v>327</v>
      </c>
      <c r="C32" s="46">
        <v>3</v>
      </c>
      <c r="D32" s="46" t="s">
        <v>128</v>
      </c>
      <c r="E32" s="47" t="s">
        <v>393</v>
      </c>
      <c r="F32" s="47" t="s">
        <v>470</v>
      </c>
      <c r="G32" s="59" t="str">
        <f t="shared" si="0"/>
        <v xml:space="preserve">[effect:break_heal_fix, target:myself, val:1000, lowest_val:20000, count:-1, block01:jammer, animation:enemy_heal]    </v>
      </c>
      <c r="H32" s="59">
        <f t="shared" si="1"/>
        <v>9</v>
      </c>
      <c r="I32" s="59">
        <f t="shared" si="2"/>
        <v>23</v>
      </c>
      <c r="J32" s="59">
        <f t="shared" si="3"/>
        <v>32</v>
      </c>
      <c r="K32" s="59">
        <f t="shared" si="4"/>
        <v>38</v>
      </c>
      <c r="L32" s="59" t="str">
        <f>IFERROR(VLOOKUP(MID(G32,J32,K32-J32),[6]skilldef!$C:$D,2,FALSE),"-") &amp; " / " &amp; IFERROR(VLOOKUP(MID(G32,H32,I32-H32),[6]skilldef!$A:$B,2,FALSE),"-")</f>
        <v>自分自身に / -</v>
      </c>
      <c r="M32" s="59" t="str">
        <f t="shared" si="5"/>
        <v>none</v>
      </c>
      <c r="N32" s="44" t="str">
        <f t="shared" si="32"/>
        <v>none</v>
      </c>
      <c r="O32" s="59" t="e">
        <f t="shared" si="6"/>
        <v>#VALUE!</v>
      </c>
      <c r="P32" s="59">
        <f t="shared" si="7"/>
        <v>4</v>
      </c>
      <c r="Q32" s="59" t="e">
        <f t="shared" si="8"/>
        <v>#VALUE!</v>
      </c>
      <c r="R32" s="59" t="e">
        <f t="shared" si="9"/>
        <v>#VALUE!</v>
      </c>
      <c r="S32" s="59" t="str">
        <f>IFERROR(VLOOKUP(MID(N32,Q32,R32-Q32),[6]skilldef!$C:$D,2,FALSE),"-") &amp; " / " &amp; IFERROR(VLOOKUP(MID(N32,O32,P32-O32),[6]skilldef!$A:$B,2,FALSE),"-")</f>
        <v>- / -</v>
      </c>
      <c r="T32" s="44" t="str">
        <f t="shared" si="10"/>
        <v>none</v>
      </c>
      <c r="U32" s="59" t="e">
        <f t="shared" si="11"/>
        <v>#VALUE!</v>
      </c>
      <c r="V32" s="59">
        <f t="shared" si="12"/>
        <v>4</v>
      </c>
      <c r="W32" s="59" t="e">
        <f t="shared" si="13"/>
        <v>#VALUE!</v>
      </c>
      <c r="X32" s="59" t="e">
        <f t="shared" si="14"/>
        <v>#VALUE!</v>
      </c>
      <c r="Y32" s="59" t="str">
        <f>IFERROR(VLOOKUP(MID(T32,W32,X32-W32),[6]skilldef!$C:$D,2,FALSE),"-") &amp; " / " &amp; IFERROR(VLOOKUP(MID(T32,U32,V32-U32),[6]skilldef!$A:$B,2,FALSE),"-")</f>
        <v>- / -</v>
      </c>
      <c r="Z32" s="46"/>
      <c r="AA32" s="48"/>
      <c r="AB32" s="131" t="s">
        <v>267</v>
      </c>
    </row>
    <row r="33" spans="1:28" ht="21" customHeight="1" thickBot="1" x14ac:dyDescent="0.2">
      <c r="A33" s="123">
        <v>40034331</v>
      </c>
      <c r="B33" s="140" t="s">
        <v>317</v>
      </c>
      <c r="C33" s="46">
        <v>3</v>
      </c>
      <c r="D33" s="46" t="s">
        <v>128</v>
      </c>
      <c r="E33" s="47" t="s">
        <v>394</v>
      </c>
      <c r="F33" s="47" t="s">
        <v>275</v>
      </c>
      <c r="G33" s="59" t="str">
        <f t="shared" ref="G33:G34" si="33">IFERROR(LEFT(B33,FIND("],",B33)),B33)</f>
        <v xml:space="preserve">[effect:force_change_block, new_block:block_green, target:block_heart, ignore01:time_bomb, ignore02:crash, ignore03:color_break, count:0, val:0]    </v>
      </c>
      <c r="H33" s="59">
        <f t="shared" si="1"/>
        <v>9</v>
      </c>
      <c r="I33" s="59">
        <f t="shared" ref="I33:I34" si="34">IFERROR(FIND(",",G33),LEN(G33))</f>
        <v>27</v>
      </c>
      <c r="J33" s="59">
        <f t="shared" ref="J33:J34" si="35">FIND("target:",G33)+7</f>
        <v>59</v>
      </c>
      <c r="K33" s="59">
        <f t="shared" ref="K33:K34" si="36">FIND(",",G33,I33+1)</f>
        <v>50</v>
      </c>
      <c r="L33" s="59" t="str">
        <f>IFERROR(VLOOKUP(MID(G33,J33,K33-J33),[6]skilldef!$C:$D,2,FALSE),"-") &amp; " / " &amp; IFERROR(VLOOKUP(MID(G33,H33,I33-H33),[6]skilldef!$A:$B,2,FALSE),"-")</f>
        <v>- / -</v>
      </c>
      <c r="M33" s="59" t="str">
        <f t="shared" ref="M33:M34" si="37">IFERROR(RIGHT(B33,LEN(B33)-FIND("],",B33)-1),"none")</f>
        <v>none</v>
      </c>
      <c r="N33" s="44" t="str">
        <f t="shared" ref="N33:N34" si="38">IFERROR(LEFT(M33,FIND("],",M33)+S45),M33)</f>
        <v>none</v>
      </c>
      <c r="O33" s="59" t="e">
        <f t="shared" si="6"/>
        <v>#VALUE!</v>
      </c>
      <c r="P33" s="59">
        <f t="shared" ref="P33:P34" si="39">IFERROR(FIND(",",N33),LEN(N33))</f>
        <v>4</v>
      </c>
      <c r="Q33" s="59" t="e">
        <f t="shared" ref="Q33:Q34" si="40">FIND("target:",N33)+7</f>
        <v>#VALUE!</v>
      </c>
      <c r="R33" s="59" t="e">
        <f t="shared" ref="R33:R34" si="41">FIND(",",N33,P33+1)</f>
        <v>#VALUE!</v>
      </c>
      <c r="S33" s="59" t="str">
        <f>IFERROR(VLOOKUP(MID(N33,Q33,R33-Q33),[6]skilldef!$C:$D,2,FALSE),"-") &amp; " / " &amp; IFERROR(VLOOKUP(MID(N33,O33,P33-O33),[6]skilldef!$A:$B,2,FALSE),"-")</f>
        <v>- / -</v>
      </c>
      <c r="T33" s="44" t="str">
        <f t="shared" ref="T33:T34" si="42">IFERROR(RIGHT(M33,LEN(M33)-FIND("],",M33)-1),"none")</f>
        <v>none</v>
      </c>
      <c r="U33" s="59" t="e">
        <f t="shared" si="11"/>
        <v>#VALUE!</v>
      </c>
      <c r="V33" s="59">
        <f t="shared" ref="V33:V34" si="43">IFERROR(FIND(",",T33),LEN(T33))</f>
        <v>4</v>
      </c>
      <c r="W33" s="59" t="e">
        <f t="shared" ref="W33:W34" si="44">FIND("target:",T33)+7</f>
        <v>#VALUE!</v>
      </c>
      <c r="X33" s="59" t="e">
        <f t="shared" ref="X33:X34" si="45">FIND(",",T33,V33+1)</f>
        <v>#VALUE!</v>
      </c>
      <c r="Y33" s="59" t="str">
        <f>IFERROR(VLOOKUP(MID(T33,W33,X33-W33),[6]skilldef!$C:$D,2,FALSE),"-") &amp; " / " &amp; IFERROR(VLOOKUP(MID(T33,U33,V33-U33),[6]skilldef!$A:$B,2,FALSE),"-")</f>
        <v>- / -</v>
      </c>
      <c r="Z33" s="46"/>
      <c r="AA33" s="48"/>
      <c r="AB33" s="131" t="s">
        <v>267</v>
      </c>
    </row>
    <row r="34" spans="1:28" ht="21" customHeight="1" thickBot="1" x14ac:dyDescent="0.2">
      <c r="A34" s="123">
        <v>40034332</v>
      </c>
      <c r="B34" s="140" t="s">
        <v>430</v>
      </c>
      <c r="C34" s="46">
        <v>3</v>
      </c>
      <c r="D34" s="46" t="s">
        <v>128</v>
      </c>
      <c r="E34" s="47" t="s">
        <v>431</v>
      </c>
      <c r="F34" s="47" t="s">
        <v>468</v>
      </c>
      <c r="G34" s="59" t="str">
        <f t="shared" si="33"/>
        <v xml:space="preserve">[effect:break_attack_fix, target:unit_all, val:50, lowest_val:1000, count:-1, color:yellow, block01:block_yellow]    </v>
      </c>
      <c r="H34" s="59">
        <f t="shared" si="1"/>
        <v>9</v>
      </c>
      <c r="I34" s="59">
        <f t="shared" si="34"/>
        <v>25</v>
      </c>
      <c r="J34" s="59">
        <f t="shared" si="35"/>
        <v>34</v>
      </c>
      <c r="K34" s="59">
        <f t="shared" si="36"/>
        <v>42</v>
      </c>
      <c r="L34" s="59" t="str">
        <f>IFERROR(VLOOKUP(MID(G34,J34,K34-J34),[6]skilldef!$C:$D,2,FALSE),"-") &amp; " / " &amp; IFERROR(VLOOKUP(MID(G34,H34,I34-H34),[6]skilldef!$A:$B,2,FALSE),"-")</f>
        <v>味方全体に / -</v>
      </c>
      <c r="M34" s="59" t="str">
        <f t="shared" si="37"/>
        <v>none</v>
      </c>
      <c r="N34" s="44" t="str">
        <f t="shared" si="38"/>
        <v>none</v>
      </c>
      <c r="O34" s="59" t="e">
        <f t="shared" si="6"/>
        <v>#VALUE!</v>
      </c>
      <c r="P34" s="59">
        <f t="shared" si="39"/>
        <v>4</v>
      </c>
      <c r="Q34" s="59" t="e">
        <f t="shared" si="40"/>
        <v>#VALUE!</v>
      </c>
      <c r="R34" s="59" t="e">
        <f t="shared" si="41"/>
        <v>#VALUE!</v>
      </c>
      <c r="S34" s="59" t="str">
        <f>IFERROR(VLOOKUP(MID(N34,Q34,R34-Q34),[6]skilldef!$C:$D,2,FALSE),"-") &amp; " / " &amp; IFERROR(VLOOKUP(MID(N34,O34,P34-O34),[6]skilldef!$A:$B,2,FALSE),"-")</f>
        <v>- / -</v>
      </c>
      <c r="T34" s="44" t="str">
        <f t="shared" si="42"/>
        <v>none</v>
      </c>
      <c r="U34" s="59" t="e">
        <f t="shared" si="11"/>
        <v>#VALUE!</v>
      </c>
      <c r="V34" s="59">
        <f t="shared" si="43"/>
        <v>4</v>
      </c>
      <c r="W34" s="59" t="e">
        <f t="shared" si="44"/>
        <v>#VALUE!</v>
      </c>
      <c r="X34" s="59" t="e">
        <f t="shared" si="45"/>
        <v>#VALUE!</v>
      </c>
      <c r="Y34" s="59" t="str">
        <f>IFERROR(VLOOKUP(MID(T34,W34,X34-W34),[6]skilldef!$C:$D,2,FALSE),"-") &amp; " / " &amp; IFERROR(VLOOKUP(MID(T34,U34,V34-U34),[6]skilldef!$A:$B,2,FALSE),"-")</f>
        <v>- / -</v>
      </c>
      <c r="Z34" s="46"/>
      <c r="AA34" s="48"/>
      <c r="AB34" s="131" t="s">
        <v>267</v>
      </c>
    </row>
    <row r="35" spans="1:28" ht="21" customHeight="1" thickBot="1" x14ac:dyDescent="0.2">
      <c r="A35" s="123">
        <v>40034333</v>
      </c>
      <c r="B35" s="140" t="s">
        <v>351</v>
      </c>
      <c r="C35" s="46">
        <v>3</v>
      </c>
      <c r="D35" s="46" t="s">
        <v>128</v>
      </c>
      <c r="E35" s="47" t="s">
        <v>390</v>
      </c>
      <c r="F35" s="47" t="s">
        <v>391</v>
      </c>
      <c r="G35" s="59" t="str">
        <f t="shared" si="0"/>
        <v>[effect:enemy_message, val1:1.4, val2:2.4]</v>
      </c>
      <c r="H35" s="59">
        <f t="shared" si="1"/>
        <v>9</v>
      </c>
      <c r="I35" s="59">
        <f t="shared" si="2"/>
        <v>22</v>
      </c>
      <c r="J35" s="59" t="e">
        <f t="shared" si="3"/>
        <v>#VALUE!</v>
      </c>
      <c r="K35" s="59">
        <f t="shared" si="4"/>
        <v>32</v>
      </c>
      <c r="L35" s="59" t="str">
        <f>IFERROR(VLOOKUP(MID(G35,J35,K35-J35),[6]skilldef!$C:$D,2,FALSE),"-") &amp; " / " &amp; IFERROR(VLOOKUP(MID(G35,H35,I35-H35),[6]skilldef!$A:$B,2,FALSE),"-")</f>
        <v>- / -</v>
      </c>
      <c r="M35" s="59" t="str">
        <f t="shared" si="5"/>
        <v xml:space="preserve">[effect:suicide, target:myself, val:0.1, dead_type:escape]    </v>
      </c>
      <c r="N35" s="44" t="str">
        <f t="shared" si="31"/>
        <v xml:space="preserve">[effect:suicide, target:myself, val:0.1, dead_type:escape]    </v>
      </c>
      <c r="O35" s="59">
        <f t="shared" si="6"/>
        <v>9</v>
      </c>
      <c r="P35" s="59">
        <f t="shared" si="7"/>
        <v>16</v>
      </c>
      <c r="Q35" s="59">
        <f t="shared" si="8"/>
        <v>25</v>
      </c>
      <c r="R35" s="59">
        <f t="shared" si="9"/>
        <v>31</v>
      </c>
      <c r="S35" s="59" t="str">
        <f>IFERROR(VLOOKUP(MID(N35,Q35,R35-Q35),[6]skilldef!$C:$D,2,FALSE),"-") &amp; " / " &amp; IFERROR(VLOOKUP(MID(N35,O35,P35-O35),[6]skilldef!$A:$B,2,FALSE),"-")</f>
        <v>自分自身に / -</v>
      </c>
      <c r="T35" s="44" t="str">
        <f t="shared" si="10"/>
        <v>none</v>
      </c>
      <c r="U35" s="59" t="e">
        <f t="shared" si="11"/>
        <v>#VALUE!</v>
      </c>
      <c r="V35" s="59">
        <f t="shared" si="12"/>
        <v>4</v>
      </c>
      <c r="W35" s="59" t="e">
        <f t="shared" si="13"/>
        <v>#VALUE!</v>
      </c>
      <c r="X35" s="59" t="e">
        <f t="shared" si="14"/>
        <v>#VALUE!</v>
      </c>
      <c r="Y35" s="59" t="str">
        <f>IFERROR(VLOOKUP(MID(T35,W35,X35-W35),[6]skilldef!$C:$D,2,FALSE),"-") &amp; " / " &amp; IFERROR(VLOOKUP(MID(T35,U35,V35-U35),[6]skilldef!$A:$B,2,FALSE),"-")</f>
        <v>- / -</v>
      </c>
      <c r="Z35" s="46"/>
      <c r="AA35" s="48"/>
      <c r="AB35" s="131" t="s">
        <v>267</v>
      </c>
    </row>
    <row r="36" spans="1:28" ht="21" customHeight="1" thickBot="1" x14ac:dyDescent="0.2">
      <c r="A36" s="123">
        <v>40034334</v>
      </c>
      <c r="B36" s="141" t="s">
        <v>304</v>
      </c>
      <c r="C36" s="133">
        <v>3</v>
      </c>
      <c r="D36" s="133" t="s">
        <v>128</v>
      </c>
      <c r="E36" s="134" t="s">
        <v>395</v>
      </c>
      <c r="F36" s="134" t="s">
        <v>305</v>
      </c>
      <c r="G36" s="135" t="str">
        <f t="shared" si="0"/>
        <v xml:space="preserve">[effect:freq_turn, target:enemy_all, turn:9, val:1, animation:enemy_freq_turn]    </v>
      </c>
      <c r="H36" s="135">
        <f t="shared" si="1"/>
        <v>9</v>
      </c>
      <c r="I36" s="135">
        <f t="shared" si="2"/>
        <v>18</v>
      </c>
      <c r="J36" s="135">
        <f t="shared" si="3"/>
        <v>27</v>
      </c>
      <c r="K36" s="135">
        <f t="shared" si="4"/>
        <v>36</v>
      </c>
      <c r="L36" s="135" t="str">
        <f>IFERROR(VLOOKUP(MID(G36,J36,K36-J36),[6]skilldef!$C:$D,2,FALSE),"-") &amp; " / " &amp; IFERROR(VLOOKUP(MID(G36,H36,I36-H36),[6]skilldef!$A:$B,2,FALSE),"-")</f>
        <v>敵全体に / 攻撃頻度がUP</v>
      </c>
      <c r="M36" s="135" t="str">
        <f t="shared" si="5"/>
        <v>none</v>
      </c>
      <c r="N36" s="136" t="str">
        <f t="shared" si="31"/>
        <v>none</v>
      </c>
      <c r="O36" s="135" t="e">
        <f t="shared" si="6"/>
        <v>#VALUE!</v>
      </c>
      <c r="P36" s="135">
        <f t="shared" si="7"/>
        <v>4</v>
      </c>
      <c r="Q36" s="135" t="e">
        <f t="shared" si="8"/>
        <v>#VALUE!</v>
      </c>
      <c r="R36" s="135" t="e">
        <f t="shared" si="9"/>
        <v>#VALUE!</v>
      </c>
      <c r="S36" s="135" t="str">
        <f>IFERROR(VLOOKUP(MID(N36,Q36,R36-Q36),[6]skilldef!$C:$D,2,FALSE),"-") &amp; " / " &amp; IFERROR(VLOOKUP(MID(N36,O36,P36-O36),[6]skilldef!$A:$B,2,FALSE),"-")</f>
        <v>- / -</v>
      </c>
      <c r="T36" s="136" t="str">
        <f t="shared" si="10"/>
        <v>none</v>
      </c>
      <c r="U36" s="135" t="e">
        <f t="shared" si="11"/>
        <v>#VALUE!</v>
      </c>
      <c r="V36" s="135">
        <f t="shared" si="12"/>
        <v>4</v>
      </c>
      <c r="W36" s="135" t="e">
        <f t="shared" si="13"/>
        <v>#VALUE!</v>
      </c>
      <c r="X36" s="135" t="e">
        <f t="shared" si="14"/>
        <v>#VALUE!</v>
      </c>
      <c r="Y36" s="135" t="str">
        <f>IFERROR(VLOOKUP(MID(T36,W36,X36-W36),[6]skilldef!$C:$D,2,FALSE),"-") &amp; " / " &amp; IFERROR(VLOOKUP(MID(T36,U36,V36-U36),[6]skilldef!$A:$B,2,FALSE),"-")</f>
        <v>- / -</v>
      </c>
      <c r="Z36" s="133"/>
      <c r="AA36" s="137"/>
      <c r="AB36" s="138" t="s">
        <v>267</v>
      </c>
    </row>
    <row r="37" spans="1:28" ht="21" customHeight="1" thickBot="1" x14ac:dyDescent="0.2">
      <c r="A37" s="123">
        <v>40034335</v>
      </c>
      <c r="B37" s="139" t="s">
        <v>357</v>
      </c>
      <c r="C37" s="125">
        <v>3</v>
      </c>
      <c r="D37" s="125" t="s">
        <v>356</v>
      </c>
      <c r="E37" s="126" t="s">
        <v>419</v>
      </c>
      <c r="F37" s="126" t="s">
        <v>424</v>
      </c>
      <c r="G37" s="127" t="str">
        <f t="shared" si="0"/>
        <v>[effect:enemy_message, val1:1.4, val2:2.4]</v>
      </c>
      <c r="H37" s="127">
        <f t="shared" si="1"/>
        <v>9</v>
      </c>
      <c r="I37" s="127">
        <f t="shared" si="2"/>
        <v>22</v>
      </c>
      <c r="J37" s="127" t="e">
        <f t="shared" si="3"/>
        <v>#VALUE!</v>
      </c>
      <c r="K37" s="127">
        <f t="shared" si="4"/>
        <v>32</v>
      </c>
      <c r="L37" s="127" t="str">
        <f>IFERROR(VLOOKUP(MID(G37,J37,K37-J37),[6]skilldef!$C:$D,2,FALSE),"-") &amp; " / " &amp; IFERROR(VLOOKUP(MID(G37,H37,I37-H37),[6]skilldef!$A:$B,2,FALSE),"-")</f>
        <v>- / -</v>
      </c>
      <c r="M37" s="127" t="str">
        <f t="shared" si="5"/>
        <v xml:space="preserve">[effect:tolerance, target:myself, turn:-1, count:-1, tolerance_effect:all, animation:enemy_tolerance],[effect:damage_anti_tribe, target:unit_all, tribe:unknown, val1:3, val2:0.25]   </v>
      </c>
      <c r="N37" s="128" t="str">
        <f>IFERROR(LEFT(M37,FIND("],",M37)+#REF!),M37)</f>
        <v xml:space="preserve">[effect:tolerance, target:myself, turn:-1, count:-1, tolerance_effect:all, animation:enemy_tolerance],[effect:damage_anti_tribe, target:unit_all, tribe:unknown, val1:3, val2:0.25]   </v>
      </c>
      <c r="O37" s="127">
        <f t="shared" si="6"/>
        <v>9</v>
      </c>
      <c r="P37" s="127">
        <f t="shared" si="7"/>
        <v>18</v>
      </c>
      <c r="Q37" s="127">
        <f t="shared" si="8"/>
        <v>27</v>
      </c>
      <c r="R37" s="127">
        <f t="shared" si="9"/>
        <v>33</v>
      </c>
      <c r="S37" s="127" t="str">
        <f>IFERROR(VLOOKUP(MID(N37,Q37,R37-Q37),[6]skilldef!$C:$D,2,FALSE),"-") &amp; " / " &amp; IFERROR(VLOOKUP(MID(N37,O37,P37-O37),[6]skilldef!$A:$B,2,FALSE),"-")</f>
        <v>自分自身に / 状態異常耐性</v>
      </c>
      <c r="T37" s="128" t="str">
        <f t="shared" si="10"/>
        <v xml:space="preserve">[effect:damage_anti_tribe, target:unit_all, tribe:unknown, val1:3, val2:0.25]   </v>
      </c>
      <c r="U37" s="127">
        <f t="shared" si="11"/>
        <v>9</v>
      </c>
      <c r="V37" s="127">
        <f t="shared" si="12"/>
        <v>26</v>
      </c>
      <c r="W37" s="127">
        <f t="shared" si="13"/>
        <v>35</v>
      </c>
      <c r="X37" s="127">
        <f t="shared" si="14"/>
        <v>43</v>
      </c>
      <c r="Y37" s="127" t="str">
        <f>IFERROR(VLOOKUP(MID(T37,W37,X37-W37),[6]skilldef!$C:$D,2,FALSE),"-") &amp; " / " &amp; IFERROR(VLOOKUP(MID(T37,U37,V37-U37),[6]skilldef!$A:$B,2,FALSE),"-")</f>
        <v>味方全体に / 種族キラー</v>
      </c>
      <c r="Z37" s="125"/>
      <c r="AA37" s="129"/>
      <c r="AB37" s="130" t="s">
        <v>268</v>
      </c>
    </row>
    <row r="38" spans="1:28" ht="21" customHeight="1" thickBot="1" x14ac:dyDescent="0.2">
      <c r="A38" s="123">
        <v>40034336</v>
      </c>
      <c r="B38" s="140" t="s">
        <v>355</v>
      </c>
      <c r="C38" s="46">
        <v>3</v>
      </c>
      <c r="D38" s="46" t="s">
        <v>128</v>
      </c>
      <c r="E38" s="47" t="s">
        <v>276</v>
      </c>
      <c r="F38" s="47" t="s">
        <v>425</v>
      </c>
      <c r="G38" s="59" t="str">
        <f t="shared" si="0"/>
        <v>[effect:enemy_message, val1:1.4, val2:2.4]</v>
      </c>
      <c r="H38" s="59">
        <f t="shared" si="1"/>
        <v>9</v>
      </c>
      <c r="I38" s="59">
        <f t="shared" si="2"/>
        <v>22</v>
      </c>
      <c r="J38" s="59" t="e">
        <f t="shared" si="3"/>
        <v>#VALUE!</v>
      </c>
      <c r="K38" s="59">
        <f t="shared" si="4"/>
        <v>32</v>
      </c>
      <c r="L38" s="59" t="str">
        <f>IFERROR(VLOOKUP(MID(G38,J38,K38-J38),[6]skilldef!$C:$D,2,FALSE),"-") &amp; " / " &amp; IFERROR(VLOOKUP(MID(G38,H38,I38-H38),[6]skilldef!$A:$B,2,FALSE),"-")</f>
        <v>- / -</v>
      </c>
      <c r="M38" s="59" t="str">
        <f t="shared" si="5"/>
        <v xml:space="preserve">[effect:tolerance, target:myself, turn:-1, count:-1, tolerance_effect:all, animation:enemy_tolerance],[effect:damage_anti_tribe, target:unit_all, tribe:unknown, val1:3, val2:0.25]   </v>
      </c>
      <c r="N38" s="44" t="str">
        <f>IFERROR(LEFT(M38,FIND("],",M38)+#REF!),M38)</f>
        <v xml:space="preserve">[effect:tolerance, target:myself, turn:-1, count:-1, tolerance_effect:all, animation:enemy_tolerance],[effect:damage_anti_tribe, target:unit_all, tribe:unknown, val1:3, val2:0.25]   </v>
      </c>
      <c r="O38" s="59">
        <f t="shared" si="6"/>
        <v>9</v>
      </c>
      <c r="P38" s="59">
        <f t="shared" si="7"/>
        <v>18</v>
      </c>
      <c r="Q38" s="59">
        <f t="shared" si="8"/>
        <v>27</v>
      </c>
      <c r="R38" s="59">
        <f t="shared" si="9"/>
        <v>33</v>
      </c>
      <c r="S38" s="59" t="str">
        <f>IFERROR(VLOOKUP(MID(N38,Q38,R38-Q38),[6]skilldef!$C:$D,2,FALSE),"-") &amp; " / " &amp; IFERROR(VLOOKUP(MID(N38,O38,P38-O38),[6]skilldef!$A:$B,2,FALSE),"-")</f>
        <v>自分自身に / 状態異常耐性</v>
      </c>
      <c r="T38" s="44" t="str">
        <f t="shared" si="10"/>
        <v xml:space="preserve">[effect:damage_anti_tribe, target:unit_all, tribe:unknown, val1:3, val2:0.25]   </v>
      </c>
      <c r="U38" s="59">
        <f t="shared" si="11"/>
        <v>9</v>
      </c>
      <c r="V38" s="59">
        <f t="shared" si="12"/>
        <v>26</v>
      </c>
      <c r="W38" s="59">
        <f t="shared" si="13"/>
        <v>35</v>
      </c>
      <c r="X38" s="59">
        <f t="shared" si="14"/>
        <v>43</v>
      </c>
      <c r="Y38" s="59" t="str">
        <f>IFERROR(VLOOKUP(MID(T38,W38,X38-W38),[6]skilldef!$C:$D,2,FALSE),"-") &amp; " / " &amp; IFERROR(VLOOKUP(MID(T38,U38,V38-U38),[6]skilldef!$A:$B,2,FALSE),"-")</f>
        <v>味方全体に / 種族キラー</v>
      </c>
      <c r="Z38" s="46"/>
      <c r="AA38" s="48"/>
      <c r="AB38" s="131" t="s">
        <v>268</v>
      </c>
    </row>
    <row r="39" spans="1:28" ht="21" customHeight="1" thickBot="1" x14ac:dyDescent="0.2">
      <c r="A39" s="123">
        <v>40034337</v>
      </c>
      <c r="B39" s="140" t="s">
        <v>355</v>
      </c>
      <c r="C39" s="46">
        <v>3</v>
      </c>
      <c r="D39" s="46" t="s">
        <v>128</v>
      </c>
      <c r="E39" s="47" t="s">
        <v>465</v>
      </c>
      <c r="F39" s="47" t="s">
        <v>426</v>
      </c>
      <c r="G39" s="59" t="str">
        <f t="shared" si="0"/>
        <v>[effect:enemy_message, val1:1.4, val2:2.4]</v>
      </c>
      <c r="H39" s="59">
        <f t="shared" si="1"/>
        <v>9</v>
      </c>
      <c r="I39" s="59">
        <f t="shared" si="2"/>
        <v>22</v>
      </c>
      <c r="J39" s="59" t="e">
        <f t="shared" si="3"/>
        <v>#VALUE!</v>
      </c>
      <c r="K39" s="59">
        <f t="shared" si="4"/>
        <v>32</v>
      </c>
      <c r="L39" s="59" t="str">
        <f>IFERROR(VLOOKUP(MID(G39,J39,K39-J39),[6]skilldef!$C:$D,2,FALSE),"-") &amp; " / " &amp; IFERROR(VLOOKUP(MID(G39,H39,I39-H39),[6]skilldef!$A:$B,2,FALSE),"-")</f>
        <v>- / -</v>
      </c>
      <c r="M39" s="59" t="str">
        <f t="shared" si="5"/>
        <v xml:space="preserve">[effect:tolerance, target:myself, turn:-1, count:-1, tolerance_effect:all, animation:enemy_tolerance],[effect:damage_anti_tribe, target:unit_all, tribe:unknown, val1:3, val2:0.25]   </v>
      </c>
      <c r="N39" s="44" t="str">
        <f>IFERROR(LEFT(M39,FIND("],",M39)+#REF!),M39)</f>
        <v xml:space="preserve">[effect:tolerance, target:myself, turn:-1, count:-1, tolerance_effect:all, animation:enemy_tolerance],[effect:damage_anti_tribe, target:unit_all, tribe:unknown, val1:3, val2:0.25]   </v>
      </c>
      <c r="O39" s="59">
        <f t="shared" si="6"/>
        <v>9</v>
      </c>
      <c r="P39" s="59">
        <f t="shared" si="7"/>
        <v>18</v>
      </c>
      <c r="Q39" s="59">
        <f t="shared" si="8"/>
        <v>27</v>
      </c>
      <c r="R39" s="59">
        <f t="shared" si="9"/>
        <v>33</v>
      </c>
      <c r="S39" s="59" t="str">
        <f>IFERROR(VLOOKUP(MID(N39,Q39,R39-Q39),[6]skilldef!$C:$D,2,FALSE),"-") &amp; " / " &amp; IFERROR(VLOOKUP(MID(N39,O39,P39-O39),[6]skilldef!$A:$B,2,FALSE),"-")</f>
        <v>自分自身に / 状態異常耐性</v>
      </c>
      <c r="T39" s="44" t="str">
        <f t="shared" si="10"/>
        <v xml:space="preserve">[effect:damage_anti_tribe, target:unit_all, tribe:unknown, val1:3, val2:0.25]   </v>
      </c>
      <c r="U39" s="59">
        <f t="shared" si="11"/>
        <v>9</v>
      </c>
      <c r="V39" s="59">
        <f t="shared" si="12"/>
        <v>26</v>
      </c>
      <c r="W39" s="59">
        <f t="shared" si="13"/>
        <v>35</v>
      </c>
      <c r="X39" s="59">
        <f t="shared" si="14"/>
        <v>43</v>
      </c>
      <c r="Y39" s="59" t="str">
        <f>IFERROR(VLOOKUP(MID(T39,W39,X39-W39),[6]skilldef!$C:$D,2,FALSE),"-") &amp; " / " &amp; IFERROR(VLOOKUP(MID(T39,U39,V39-U39),[6]skilldef!$A:$B,2,FALSE),"-")</f>
        <v>味方全体に / 種族キラー</v>
      </c>
      <c r="Z39" s="46"/>
      <c r="AA39" s="48"/>
      <c r="AB39" s="131" t="s">
        <v>268</v>
      </c>
    </row>
    <row r="40" spans="1:28" ht="21" customHeight="1" thickBot="1" x14ac:dyDescent="0.2">
      <c r="A40" s="123">
        <v>40034338</v>
      </c>
      <c r="B40" s="140" t="s">
        <v>358</v>
      </c>
      <c r="C40" s="46">
        <v>3</v>
      </c>
      <c r="D40" s="46" t="s">
        <v>128</v>
      </c>
      <c r="E40" s="47" t="s">
        <v>360</v>
      </c>
      <c r="F40" s="47" t="s">
        <v>427</v>
      </c>
      <c r="G40" s="59" t="str">
        <f t="shared" si="0"/>
        <v>[effect:enemy_message, val1:1.4, val2:2.4]</v>
      </c>
      <c r="H40" s="59">
        <f t="shared" si="1"/>
        <v>9</v>
      </c>
      <c r="I40" s="59">
        <f t="shared" si="2"/>
        <v>22</v>
      </c>
      <c r="J40" s="59" t="e">
        <f t="shared" si="3"/>
        <v>#VALUE!</v>
      </c>
      <c r="K40" s="59">
        <f t="shared" si="4"/>
        <v>32</v>
      </c>
      <c r="L40" s="59" t="str">
        <f>IFERROR(VLOOKUP(MID(G40,J40,K40-J40),[6]skilldef!$C:$D,2,FALSE),"-") &amp; " / " &amp; IFERROR(VLOOKUP(MID(G40,H40,I40-H40),[6]skilldef!$A:$B,2,FALSE),"-")</f>
        <v>- / -</v>
      </c>
      <c r="M40" s="59" t="str">
        <f t="shared" si="5"/>
        <v xml:space="preserve">[effect:tolerance, target:myself, turn:-1, count:-1, tolerance_effect:all, animation:enemy_tolerance],[effect:damage_anti_tribe, target:unit_all, tribe:unknown, val1:3, val2:0.25]     </v>
      </c>
      <c r="N40" s="44" t="str">
        <f t="shared" ref="N40:N46" si="46">IFERROR(LEFT(M40,FIND("],",M40)+S47),M40)</f>
        <v xml:space="preserve">[effect:tolerance, target:myself, turn:-1, count:-1, tolerance_effect:all, animation:enemy_tolerance],[effect:damage_anti_tribe, target:unit_all, tribe:unknown, val1:3, val2:0.25]     </v>
      </c>
      <c r="O40" s="59">
        <f t="shared" si="6"/>
        <v>9</v>
      </c>
      <c r="P40" s="59">
        <f t="shared" si="7"/>
        <v>18</v>
      </c>
      <c r="Q40" s="59">
        <f t="shared" si="8"/>
        <v>27</v>
      </c>
      <c r="R40" s="59">
        <f t="shared" si="9"/>
        <v>33</v>
      </c>
      <c r="S40" s="59" t="str">
        <f>IFERROR(VLOOKUP(MID(N40,Q40,R40-Q40),[6]skilldef!$C:$D,2,FALSE),"-") &amp; " / " &amp; IFERROR(VLOOKUP(MID(N40,O40,P40-O40),[6]skilldef!$A:$B,2,FALSE),"-")</f>
        <v>自分自身に / 状態異常耐性</v>
      </c>
      <c r="T40" s="44" t="str">
        <f t="shared" si="10"/>
        <v xml:space="preserve">[effect:damage_anti_tribe, target:unit_all, tribe:unknown, val1:3, val2:0.25]     </v>
      </c>
      <c r="U40" s="59">
        <f t="shared" si="11"/>
        <v>9</v>
      </c>
      <c r="V40" s="59">
        <f t="shared" si="12"/>
        <v>26</v>
      </c>
      <c r="W40" s="59">
        <f t="shared" si="13"/>
        <v>35</v>
      </c>
      <c r="X40" s="59">
        <f t="shared" si="14"/>
        <v>43</v>
      </c>
      <c r="Y40" s="59" t="str">
        <f>IFERROR(VLOOKUP(MID(T40,W40,X40-W40),[6]skilldef!$C:$D,2,FALSE),"-") &amp; " / " &amp; IFERROR(VLOOKUP(MID(T40,U40,V40-U40),[6]skilldef!$A:$B,2,FALSE),"-")</f>
        <v>味方全体に / 種族キラー</v>
      </c>
      <c r="Z40" s="46"/>
      <c r="AA40" s="48"/>
      <c r="AB40" s="131" t="s">
        <v>268</v>
      </c>
    </row>
    <row r="41" spans="1:28" ht="21" customHeight="1" thickBot="1" x14ac:dyDescent="0.2">
      <c r="A41" s="123">
        <v>40034339</v>
      </c>
      <c r="B41" s="140" t="s">
        <v>359</v>
      </c>
      <c r="C41" s="46">
        <v>3</v>
      </c>
      <c r="D41" s="46" t="s">
        <v>128</v>
      </c>
      <c r="E41" s="47" t="s">
        <v>417</v>
      </c>
      <c r="F41" s="47" t="s">
        <v>442</v>
      </c>
      <c r="G41" s="59" t="str">
        <f t="shared" si="0"/>
        <v>[effect:break_heal_fix, target:myself, val:2000, lowest_val:10000, count:30, block01:block_heart, animation:enemy_heal]</v>
      </c>
      <c r="H41" s="59">
        <f t="shared" si="1"/>
        <v>9</v>
      </c>
      <c r="I41" s="59">
        <f t="shared" si="2"/>
        <v>23</v>
      </c>
      <c r="J41" s="59">
        <f t="shared" si="3"/>
        <v>32</v>
      </c>
      <c r="K41" s="59">
        <f t="shared" si="4"/>
        <v>38</v>
      </c>
      <c r="L41" s="59" t="str">
        <f>IFERROR(VLOOKUP(MID(G41,J41,K41-J41),[6]skilldef!$C:$D,2,FALSE),"-") &amp; " / " &amp; IFERROR(VLOOKUP(MID(G41,H41,I41-H41),[6]skilldef!$A:$B,2,FALSE),"-")</f>
        <v>自分自身に / -</v>
      </c>
      <c r="M41" s="59" t="str">
        <f t="shared" si="5"/>
        <v>none</v>
      </c>
      <c r="N41" s="44" t="str">
        <f t="shared" si="46"/>
        <v>none</v>
      </c>
      <c r="O41" s="59" t="e">
        <f t="shared" si="6"/>
        <v>#VALUE!</v>
      </c>
      <c r="P41" s="59">
        <f t="shared" si="7"/>
        <v>4</v>
      </c>
      <c r="Q41" s="59" t="e">
        <f t="shared" si="8"/>
        <v>#VALUE!</v>
      </c>
      <c r="R41" s="59" t="e">
        <f t="shared" si="9"/>
        <v>#VALUE!</v>
      </c>
      <c r="S41" s="59" t="str">
        <f>IFERROR(VLOOKUP(MID(N41,Q41,R41-Q41),[6]skilldef!$C:$D,2,FALSE),"-") &amp; " / " &amp; IFERROR(VLOOKUP(MID(N41,O41,P41-O41),[6]skilldef!$A:$B,2,FALSE),"-")</f>
        <v>- / -</v>
      </c>
      <c r="T41" s="44" t="str">
        <f t="shared" si="10"/>
        <v>none</v>
      </c>
      <c r="U41" s="59" t="e">
        <f t="shared" si="11"/>
        <v>#VALUE!</v>
      </c>
      <c r="V41" s="59">
        <f t="shared" si="12"/>
        <v>4</v>
      </c>
      <c r="W41" s="59" t="e">
        <f t="shared" si="13"/>
        <v>#VALUE!</v>
      </c>
      <c r="X41" s="59" t="e">
        <f t="shared" si="14"/>
        <v>#VALUE!</v>
      </c>
      <c r="Y41" s="59" t="str">
        <f>IFERROR(VLOOKUP(MID(T41,W41,X41-W41),[6]skilldef!$C:$D,2,FALSE),"-") &amp; " / " &amp; IFERROR(VLOOKUP(MID(T41,U41,V41-U41),[6]skilldef!$A:$B,2,FALSE),"-")</f>
        <v>- / -</v>
      </c>
      <c r="Z41" s="46"/>
      <c r="AA41" s="48"/>
      <c r="AB41" s="131" t="s">
        <v>268</v>
      </c>
    </row>
    <row r="42" spans="1:28" ht="21" customHeight="1" thickBot="1" x14ac:dyDescent="0.2">
      <c r="A42" s="123">
        <v>40034340</v>
      </c>
      <c r="B42" s="140" t="s">
        <v>477</v>
      </c>
      <c r="C42" s="46">
        <v>3</v>
      </c>
      <c r="D42" s="46" t="s">
        <v>128</v>
      </c>
      <c r="E42" s="47" t="s">
        <v>370</v>
      </c>
      <c r="F42" s="173" t="s">
        <v>364</v>
      </c>
      <c r="G42" s="59" t="str">
        <f t="shared" si="0"/>
        <v xml:space="preserve">[effect:force_change_block, new_block:damage, target:block_all, ignore01:block_positive, ignore02:block_negative, color:block_red, count:2, val:0.3, animation:change_block]    </v>
      </c>
      <c r="H42" s="59">
        <f t="shared" si="1"/>
        <v>9</v>
      </c>
      <c r="I42" s="59">
        <f t="shared" si="2"/>
        <v>27</v>
      </c>
      <c r="J42" s="59">
        <f t="shared" si="3"/>
        <v>54</v>
      </c>
      <c r="K42" s="59">
        <f t="shared" si="4"/>
        <v>45</v>
      </c>
      <c r="L42" s="59" t="str">
        <f>IFERROR(VLOOKUP(MID(G42,J42,K42-J42),[6]skilldef!$C:$D,2,FALSE),"-") &amp; " / " &amp; IFERROR(VLOOKUP(MID(G42,H42,I42-H42),[6]skilldef!$A:$B,2,FALSE),"-")</f>
        <v>- / -</v>
      </c>
      <c r="M42" s="59" t="str">
        <f t="shared" si="5"/>
        <v>none</v>
      </c>
      <c r="N42" s="44" t="str">
        <f t="shared" si="46"/>
        <v>none</v>
      </c>
      <c r="O42" s="59" t="e">
        <f t="shared" si="6"/>
        <v>#VALUE!</v>
      </c>
      <c r="P42" s="59">
        <f t="shared" si="7"/>
        <v>4</v>
      </c>
      <c r="Q42" s="59" t="e">
        <f t="shared" si="8"/>
        <v>#VALUE!</v>
      </c>
      <c r="R42" s="59" t="e">
        <f t="shared" si="9"/>
        <v>#VALUE!</v>
      </c>
      <c r="S42" s="59" t="str">
        <f>IFERROR(VLOOKUP(MID(N42,Q42,R42-Q42),[6]skilldef!$C:$D,2,FALSE),"-") &amp; " / " &amp; IFERROR(VLOOKUP(MID(N42,O42,P42-O42),[6]skilldef!$A:$B,2,FALSE),"-")</f>
        <v>- / -</v>
      </c>
      <c r="T42" s="44" t="str">
        <f t="shared" si="10"/>
        <v>none</v>
      </c>
      <c r="U42" s="59" t="e">
        <f t="shared" si="11"/>
        <v>#VALUE!</v>
      </c>
      <c r="V42" s="59">
        <f t="shared" si="12"/>
        <v>4</v>
      </c>
      <c r="W42" s="59" t="e">
        <f t="shared" si="13"/>
        <v>#VALUE!</v>
      </c>
      <c r="X42" s="59" t="e">
        <f t="shared" si="14"/>
        <v>#VALUE!</v>
      </c>
      <c r="Y42" s="59" t="str">
        <f>IFERROR(VLOOKUP(MID(T42,W42,X42-W42),[6]skilldef!$C:$D,2,FALSE),"-") &amp; " / " &amp; IFERROR(VLOOKUP(MID(T42,U42,V42-U42),[6]skilldef!$A:$B,2,FALSE),"-")</f>
        <v>- / -</v>
      </c>
      <c r="Z42" s="46"/>
      <c r="AA42" s="48"/>
      <c r="AB42" s="131" t="s">
        <v>268</v>
      </c>
    </row>
    <row r="43" spans="1:28" ht="21" customHeight="1" thickBot="1" x14ac:dyDescent="0.2">
      <c r="A43" s="123">
        <v>40034341</v>
      </c>
      <c r="B43" s="140" t="s">
        <v>345</v>
      </c>
      <c r="C43" s="46">
        <v>3</v>
      </c>
      <c r="D43" s="46" t="s">
        <v>128</v>
      </c>
      <c r="E43" s="47" t="s">
        <v>369</v>
      </c>
      <c r="F43" s="47" t="s">
        <v>444</v>
      </c>
      <c r="G43" s="59" t="str">
        <f t="shared" si="0"/>
        <v xml:space="preserve">[effect:break_attack_fix, target:unit_all, val:500, lowest_val:1, count:-1, color:red, block01:jammer]    </v>
      </c>
      <c r="H43" s="59">
        <f t="shared" si="1"/>
        <v>9</v>
      </c>
      <c r="I43" s="59">
        <f t="shared" si="2"/>
        <v>25</v>
      </c>
      <c r="J43" s="59">
        <f t="shared" si="3"/>
        <v>34</v>
      </c>
      <c r="K43" s="59">
        <f t="shared" si="4"/>
        <v>42</v>
      </c>
      <c r="L43" s="59" t="str">
        <f>IFERROR(VLOOKUP(MID(G43,J43,K43-J43),[6]skilldef!$C:$D,2,FALSE),"-") &amp; " / " &amp; IFERROR(VLOOKUP(MID(G43,H43,I43-H43),[6]skilldef!$A:$B,2,FALSE),"-")</f>
        <v>味方全体に / -</v>
      </c>
      <c r="M43" s="59" t="str">
        <f t="shared" si="5"/>
        <v>none</v>
      </c>
      <c r="N43" s="44" t="str">
        <f t="shared" si="46"/>
        <v>none</v>
      </c>
      <c r="O43" s="59" t="e">
        <f t="shared" si="6"/>
        <v>#VALUE!</v>
      </c>
      <c r="P43" s="59">
        <f t="shared" si="7"/>
        <v>4</v>
      </c>
      <c r="Q43" s="59" t="e">
        <f t="shared" si="8"/>
        <v>#VALUE!</v>
      </c>
      <c r="R43" s="59" t="e">
        <f t="shared" si="9"/>
        <v>#VALUE!</v>
      </c>
      <c r="S43" s="59" t="str">
        <f>IFERROR(VLOOKUP(MID(N43,Q43,R43-Q43),[6]skilldef!$C:$D,2,FALSE),"-") &amp; " / " &amp; IFERROR(VLOOKUP(MID(N43,O43,P43-O43),[6]skilldef!$A:$B,2,FALSE),"-")</f>
        <v>- / -</v>
      </c>
      <c r="T43" s="44" t="str">
        <f t="shared" si="10"/>
        <v>none</v>
      </c>
      <c r="U43" s="59" t="e">
        <f t="shared" si="11"/>
        <v>#VALUE!</v>
      </c>
      <c r="V43" s="59">
        <f t="shared" si="12"/>
        <v>4</v>
      </c>
      <c r="W43" s="59" t="e">
        <f t="shared" si="13"/>
        <v>#VALUE!</v>
      </c>
      <c r="X43" s="59" t="e">
        <f t="shared" si="14"/>
        <v>#VALUE!</v>
      </c>
      <c r="Y43" s="59" t="str">
        <f>IFERROR(VLOOKUP(MID(T43,W43,X43-W43),[6]skilldef!$C:$D,2,FALSE),"-") &amp; " / " &amp; IFERROR(VLOOKUP(MID(T43,U43,V43-U43),[6]skilldef!$A:$B,2,FALSE),"-")</f>
        <v>- / -</v>
      </c>
      <c r="Z43" s="46"/>
      <c r="AA43" s="48"/>
      <c r="AB43" s="131" t="s">
        <v>268</v>
      </c>
    </row>
    <row r="44" spans="1:28" ht="21" customHeight="1" thickBot="1" x14ac:dyDescent="0.2">
      <c r="A44" s="123">
        <v>40034342</v>
      </c>
      <c r="B44" s="140" t="s">
        <v>478</v>
      </c>
      <c r="C44" s="46">
        <v>3</v>
      </c>
      <c r="D44" s="46" t="s">
        <v>128</v>
      </c>
      <c r="E44" s="47" t="s">
        <v>383</v>
      </c>
      <c r="F44" s="173" t="s">
        <v>363</v>
      </c>
      <c r="G44" s="59" t="str">
        <f t="shared" ref="G44:G49" si="47">IFERROR(LEFT(B44,FIND("],",B44)),B44)</f>
        <v xml:space="preserve">[effect:force_change_block, new_block:damage, target:block_all, ignore01:block_positive, ignore02:block_negative, color:block_red, count:1, val:0.25, animation:change_block]    </v>
      </c>
      <c r="H44" s="59">
        <f t="shared" si="1"/>
        <v>9</v>
      </c>
      <c r="I44" s="59">
        <f t="shared" ref="I44:I49" si="48">IFERROR(FIND(",",G44),LEN(G44))</f>
        <v>27</v>
      </c>
      <c r="J44" s="59">
        <f t="shared" ref="J44:J49" si="49">FIND("target:",G44)+7</f>
        <v>54</v>
      </c>
      <c r="K44" s="59">
        <f t="shared" ref="K44:K49" si="50">FIND(",",G44,I44+1)</f>
        <v>45</v>
      </c>
      <c r="L44" s="59" t="str">
        <f>IFERROR(VLOOKUP(MID(G44,J44,K44-J44),[6]skilldef!$C:$D,2,FALSE),"-") &amp; " / " &amp; IFERROR(VLOOKUP(MID(G44,H44,I44-H44),[6]skilldef!$A:$B,2,FALSE),"-")</f>
        <v>- / -</v>
      </c>
      <c r="M44" s="59" t="str">
        <f t="shared" ref="M44:M49" si="51">IFERROR(RIGHT(B44,LEN(B44)-FIND("],",B44)-1),"none")</f>
        <v>none</v>
      </c>
      <c r="N44" s="44" t="str">
        <f t="shared" si="46"/>
        <v>none</v>
      </c>
      <c r="O44" s="59" t="e">
        <f t="shared" si="6"/>
        <v>#VALUE!</v>
      </c>
      <c r="P44" s="59">
        <f t="shared" ref="P44:P49" si="52">IFERROR(FIND(",",N44),LEN(N44))</f>
        <v>4</v>
      </c>
      <c r="Q44" s="59" t="e">
        <f t="shared" ref="Q44:Q49" si="53">FIND("target:",N44)+7</f>
        <v>#VALUE!</v>
      </c>
      <c r="R44" s="59" t="e">
        <f t="shared" ref="R44:R49" si="54">FIND(",",N44,P44+1)</f>
        <v>#VALUE!</v>
      </c>
      <c r="S44" s="59" t="str">
        <f>IFERROR(VLOOKUP(MID(N44,Q44,R44-Q44),[6]skilldef!$C:$D,2,FALSE),"-") &amp; " / " &amp; IFERROR(VLOOKUP(MID(N44,O44,P44-O44),[6]skilldef!$A:$B,2,FALSE),"-")</f>
        <v>- / -</v>
      </c>
      <c r="T44" s="44" t="str">
        <f t="shared" ref="T44:T49" si="55">IFERROR(RIGHT(M44,LEN(M44)-FIND("],",M44)-1),"none")</f>
        <v>none</v>
      </c>
      <c r="U44" s="59" t="e">
        <f t="shared" si="11"/>
        <v>#VALUE!</v>
      </c>
      <c r="V44" s="59">
        <f t="shared" ref="V44:V49" si="56">IFERROR(FIND(",",T44),LEN(T44))</f>
        <v>4</v>
      </c>
      <c r="W44" s="59" t="e">
        <f t="shared" ref="W44:W49" si="57">FIND("target:",T44)+7</f>
        <v>#VALUE!</v>
      </c>
      <c r="X44" s="59" t="e">
        <f t="shared" ref="X44:X49" si="58">FIND(",",T44,V44+1)</f>
        <v>#VALUE!</v>
      </c>
      <c r="Y44" s="59" t="str">
        <f>IFERROR(VLOOKUP(MID(T44,W44,X44-W44),[6]skilldef!$C:$D,2,FALSE),"-") &amp; " / " &amp; IFERROR(VLOOKUP(MID(T44,U44,V44-U44),[6]skilldef!$A:$B,2,FALSE),"-")</f>
        <v>- / -</v>
      </c>
      <c r="Z44" s="46"/>
      <c r="AA44" s="48"/>
      <c r="AB44" s="131" t="s">
        <v>268</v>
      </c>
    </row>
    <row r="45" spans="1:28" ht="21" customHeight="1" thickBot="1" x14ac:dyDescent="0.2">
      <c r="A45" s="123">
        <v>40034343</v>
      </c>
      <c r="B45" s="140" t="s">
        <v>329</v>
      </c>
      <c r="C45" s="46">
        <v>3</v>
      </c>
      <c r="D45" s="46" t="s">
        <v>128</v>
      </c>
      <c r="E45" s="47" t="s">
        <v>368</v>
      </c>
      <c r="F45" s="47" t="s">
        <v>362</v>
      </c>
      <c r="G45" s="59" t="str">
        <f t="shared" si="47"/>
        <v xml:space="preserve">[effect:freq_turn, target:enemy_all, turn:9, val:1, animation:enemy_freq_turn]    </v>
      </c>
      <c r="H45" s="59">
        <f t="shared" si="1"/>
        <v>9</v>
      </c>
      <c r="I45" s="59">
        <f t="shared" si="48"/>
        <v>18</v>
      </c>
      <c r="J45" s="59">
        <f t="shared" si="49"/>
        <v>27</v>
      </c>
      <c r="K45" s="59">
        <f t="shared" si="50"/>
        <v>36</v>
      </c>
      <c r="L45" s="59" t="str">
        <f>IFERROR(VLOOKUP(MID(G45,J45,K45-J45),[6]skilldef!$C:$D,2,FALSE),"-") &amp; " / " &amp; IFERROR(VLOOKUP(MID(G45,H45,I45-H45),[6]skilldef!$A:$B,2,FALSE),"-")</f>
        <v>敵全体に / 攻撃頻度がUP</v>
      </c>
      <c r="M45" s="59" t="str">
        <f t="shared" si="51"/>
        <v>none</v>
      </c>
      <c r="N45" s="44" t="str">
        <f t="shared" si="46"/>
        <v>none</v>
      </c>
      <c r="O45" s="59" t="e">
        <f t="shared" si="6"/>
        <v>#VALUE!</v>
      </c>
      <c r="P45" s="59">
        <f t="shared" si="52"/>
        <v>4</v>
      </c>
      <c r="Q45" s="59" t="e">
        <f t="shared" si="53"/>
        <v>#VALUE!</v>
      </c>
      <c r="R45" s="59" t="e">
        <f t="shared" si="54"/>
        <v>#VALUE!</v>
      </c>
      <c r="S45" s="59" t="str">
        <f>IFERROR(VLOOKUP(MID(N45,Q45,R45-Q45),[6]skilldef!$C:$D,2,FALSE),"-") &amp; " / " &amp; IFERROR(VLOOKUP(MID(N45,O45,P45-O45),[6]skilldef!$A:$B,2,FALSE),"-")</f>
        <v>- / -</v>
      </c>
      <c r="T45" s="44" t="str">
        <f t="shared" si="55"/>
        <v>none</v>
      </c>
      <c r="U45" s="59" t="e">
        <f t="shared" si="11"/>
        <v>#VALUE!</v>
      </c>
      <c r="V45" s="59">
        <f t="shared" si="56"/>
        <v>4</v>
      </c>
      <c r="W45" s="59" t="e">
        <f t="shared" si="57"/>
        <v>#VALUE!</v>
      </c>
      <c r="X45" s="59" t="e">
        <f t="shared" si="58"/>
        <v>#VALUE!</v>
      </c>
      <c r="Y45" s="59" t="str">
        <f>IFERROR(VLOOKUP(MID(T45,W45,X45-W45),[6]skilldef!$C:$D,2,FALSE),"-") &amp; " / " &amp; IFERROR(VLOOKUP(MID(T45,U45,V45-U45),[6]skilldef!$A:$B,2,FALSE),"-")</f>
        <v>- / -</v>
      </c>
      <c r="Z45" s="46"/>
      <c r="AA45" s="48"/>
      <c r="AB45" s="131" t="s">
        <v>268</v>
      </c>
    </row>
    <row r="46" spans="1:28" ht="21" customHeight="1" thickBot="1" x14ac:dyDescent="0.2">
      <c r="A46" s="123">
        <v>40034344</v>
      </c>
      <c r="B46" s="140" t="s">
        <v>353</v>
      </c>
      <c r="C46" s="46">
        <v>3</v>
      </c>
      <c r="D46" s="46" t="s">
        <v>128</v>
      </c>
      <c r="E46" s="47" t="s">
        <v>411</v>
      </c>
      <c r="F46" s="47" t="s">
        <v>361</v>
      </c>
      <c r="G46" s="59" t="str">
        <f t="shared" si="47"/>
        <v xml:space="preserve">[effect:rush, count:2, val:0.8]    </v>
      </c>
      <c r="H46" s="59">
        <f t="shared" si="1"/>
        <v>9</v>
      </c>
      <c r="I46" s="59">
        <f t="shared" si="48"/>
        <v>13</v>
      </c>
      <c r="J46" s="59" t="e">
        <f t="shared" si="49"/>
        <v>#VALUE!</v>
      </c>
      <c r="K46" s="59">
        <f t="shared" si="50"/>
        <v>22</v>
      </c>
      <c r="L46" s="59" t="str">
        <f>IFERROR(VLOOKUP(MID(G46,J46,K46-J46),[6]skilldef!$C:$D,2,FALSE),"-") &amp; " / " &amp; IFERROR(VLOOKUP(MID(G46,H46,I46-H46),[6]skilldef!$A:$B,2,FALSE),"-")</f>
        <v>- / 連続攻撃</v>
      </c>
      <c r="M46" s="59" t="str">
        <f t="shared" si="51"/>
        <v>none</v>
      </c>
      <c r="N46" s="44" t="str">
        <f t="shared" si="46"/>
        <v>none</v>
      </c>
      <c r="O46" s="59" t="e">
        <f t="shared" si="6"/>
        <v>#VALUE!</v>
      </c>
      <c r="P46" s="59">
        <f t="shared" si="52"/>
        <v>4</v>
      </c>
      <c r="Q46" s="59" t="e">
        <f t="shared" si="53"/>
        <v>#VALUE!</v>
      </c>
      <c r="R46" s="59" t="e">
        <f t="shared" si="54"/>
        <v>#VALUE!</v>
      </c>
      <c r="S46" s="59" t="str">
        <f>IFERROR(VLOOKUP(MID(N46,Q46,R46-Q46),[6]skilldef!$C:$D,2,FALSE),"-") &amp; " / " &amp; IFERROR(VLOOKUP(MID(N46,O46,P46-O46),[6]skilldef!$A:$B,2,FALSE),"-")</f>
        <v>- / -</v>
      </c>
      <c r="T46" s="44" t="str">
        <f t="shared" si="55"/>
        <v>none</v>
      </c>
      <c r="U46" s="59" t="e">
        <f t="shared" si="11"/>
        <v>#VALUE!</v>
      </c>
      <c r="V46" s="59">
        <f t="shared" si="56"/>
        <v>4</v>
      </c>
      <c r="W46" s="59" t="e">
        <f t="shared" si="57"/>
        <v>#VALUE!</v>
      </c>
      <c r="X46" s="59" t="e">
        <f t="shared" si="58"/>
        <v>#VALUE!</v>
      </c>
      <c r="Y46" s="59" t="str">
        <f>IFERROR(VLOOKUP(MID(T46,W46,X46-W46),[6]skilldef!$C:$D,2,FALSE),"-") &amp; " / " &amp; IFERROR(VLOOKUP(MID(T46,U46,V46-U46),[6]skilldef!$A:$B,2,FALSE),"-")</f>
        <v>- / -</v>
      </c>
      <c r="Z46" s="46"/>
      <c r="AA46" s="48"/>
      <c r="AB46" s="131" t="s">
        <v>268</v>
      </c>
    </row>
    <row r="47" spans="1:28" ht="21" customHeight="1" thickBot="1" x14ac:dyDescent="0.2">
      <c r="A47" s="123">
        <v>40034345</v>
      </c>
      <c r="B47" s="139" t="s">
        <v>344</v>
      </c>
      <c r="C47" s="125">
        <v>3</v>
      </c>
      <c r="D47" s="125" t="s">
        <v>128</v>
      </c>
      <c r="E47" s="126" t="s">
        <v>367</v>
      </c>
      <c r="F47" s="126" t="s">
        <v>445</v>
      </c>
      <c r="G47" s="127" t="str">
        <f t="shared" si="47"/>
        <v>[effect:force_change_block, new_block:damage, target:block_heart, ignore01:crash, ignore02:time_bomb, ignore03:color_break, color:block_red, count:1, val:0.25, animation:change_block]</v>
      </c>
      <c r="H47" s="127">
        <f t="shared" si="1"/>
        <v>9</v>
      </c>
      <c r="I47" s="127">
        <f t="shared" si="48"/>
        <v>27</v>
      </c>
      <c r="J47" s="127">
        <f t="shared" si="49"/>
        <v>54</v>
      </c>
      <c r="K47" s="127">
        <f t="shared" si="50"/>
        <v>45</v>
      </c>
      <c r="L47" s="127" t="str">
        <f>IFERROR(VLOOKUP(MID(G47,J47,K47-J47),[6]skilldef!$C:$D,2,FALSE),"-") &amp; " / " &amp; IFERROR(VLOOKUP(MID(G47,H47,I47-H47),[6]skilldef!$A:$B,2,FALSE),"-")</f>
        <v>- / -</v>
      </c>
      <c r="M47" s="127" t="str">
        <f t="shared" si="51"/>
        <v xml:space="preserve">[effect:tolerance, target:myself, turn:-1, count:-1, tolerance_effect:all, animation:enemy_tolerance]        </v>
      </c>
      <c r="N47" s="128" t="str">
        <f>IFERROR(LEFT(M47,FIND("],",M47)+#REF!),M47)</f>
        <v xml:space="preserve">[effect:tolerance, target:myself, turn:-1, count:-1, tolerance_effect:all, animation:enemy_tolerance]        </v>
      </c>
      <c r="O47" s="127">
        <f t="shared" si="6"/>
        <v>9</v>
      </c>
      <c r="P47" s="127">
        <f t="shared" si="52"/>
        <v>18</v>
      </c>
      <c r="Q47" s="127">
        <f t="shared" si="53"/>
        <v>27</v>
      </c>
      <c r="R47" s="127">
        <f t="shared" si="54"/>
        <v>33</v>
      </c>
      <c r="S47" s="127" t="str">
        <f>IFERROR(VLOOKUP(MID(N47,Q47,R47-Q47),[6]skilldef!$C:$D,2,FALSE),"-") &amp; " / " &amp; IFERROR(VLOOKUP(MID(N47,O47,P47-O47),[6]skilldef!$A:$B,2,FALSE),"-")</f>
        <v>自分自身に / 状態異常耐性</v>
      </c>
      <c r="T47" s="128" t="str">
        <f t="shared" si="55"/>
        <v>none</v>
      </c>
      <c r="U47" s="127" t="e">
        <f t="shared" si="11"/>
        <v>#VALUE!</v>
      </c>
      <c r="V47" s="127">
        <f t="shared" si="56"/>
        <v>4</v>
      </c>
      <c r="W47" s="127" t="e">
        <f t="shared" si="57"/>
        <v>#VALUE!</v>
      </c>
      <c r="X47" s="127" t="e">
        <f t="shared" si="58"/>
        <v>#VALUE!</v>
      </c>
      <c r="Y47" s="127" t="str">
        <f>IFERROR(VLOOKUP(MID(T47,W47,X47-W47),[6]skilldef!$C:$D,2,FALSE),"-") &amp; " / " &amp; IFERROR(VLOOKUP(MID(T47,U47,V47-U47),[6]skilldef!$A:$B,2,FALSE),"-")</f>
        <v>- / -</v>
      </c>
      <c r="Z47" s="125"/>
      <c r="AA47" s="129"/>
      <c r="AB47" s="130" t="s">
        <v>269</v>
      </c>
    </row>
    <row r="48" spans="1:28" ht="21" customHeight="1" thickBot="1" x14ac:dyDescent="0.2">
      <c r="A48" s="123">
        <v>40034346</v>
      </c>
      <c r="B48" s="140" t="s">
        <v>294</v>
      </c>
      <c r="C48" s="46">
        <v>3</v>
      </c>
      <c r="D48" s="46" t="s">
        <v>128</v>
      </c>
      <c r="E48" s="47" t="s">
        <v>387</v>
      </c>
      <c r="F48" s="47" t="s">
        <v>473</v>
      </c>
      <c r="G48" s="59" t="str">
        <f t="shared" si="47"/>
        <v xml:space="preserve">[effect:break_enchance_enemy, target:myself, val:200, lowest_val:1000, count :10, status:attack, turn:-1, block01:jammer, calc:add, animation:enemy_enhance_attack]    </v>
      </c>
      <c r="H48" s="59">
        <f t="shared" si="1"/>
        <v>9</v>
      </c>
      <c r="I48" s="59">
        <f t="shared" si="48"/>
        <v>29</v>
      </c>
      <c r="J48" s="59">
        <f t="shared" si="49"/>
        <v>38</v>
      </c>
      <c r="K48" s="59">
        <f t="shared" si="50"/>
        <v>44</v>
      </c>
      <c r="L48" s="59" t="str">
        <f>IFERROR(VLOOKUP(MID(G48,J48,K48-J48),[6]skilldef!$C:$D,2,FALSE),"-") &amp; " / " &amp; IFERROR(VLOOKUP(MID(G48,H48,I48-H48),[6]skilldef!$A:$B,2,FALSE),"-")</f>
        <v>自分自身に / -</v>
      </c>
      <c r="M48" s="59" t="str">
        <f t="shared" si="51"/>
        <v>none</v>
      </c>
      <c r="N48" s="44" t="str">
        <f>IFERROR(LEFT(M48,FIND("],",M48)+#REF!),M48)</f>
        <v>none</v>
      </c>
      <c r="O48" s="59" t="e">
        <f t="shared" si="6"/>
        <v>#VALUE!</v>
      </c>
      <c r="P48" s="59">
        <f t="shared" si="52"/>
        <v>4</v>
      </c>
      <c r="Q48" s="59" t="e">
        <f t="shared" si="53"/>
        <v>#VALUE!</v>
      </c>
      <c r="R48" s="59" t="e">
        <f t="shared" si="54"/>
        <v>#VALUE!</v>
      </c>
      <c r="S48" s="59" t="str">
        <f>IFERROR(VLOOKUP(MID(N48,Q48,R48-Q48),[6]skilldef!$C:$D,2,FALSE),"-") &amp; " / " &amp; IFERROR(VLOOKUP(MID(N48,O48,P48-O48),[6]skilldef!$A:$B,2,FALSE),"-")</f>
        <v>- / -</v>
      </c>
      <c r="T48" s="44" t="str">
        <f t="shared" si="55"/>
        <v>none</v>
      </c>
      <c r="U48" s="59" t="e">
        <f t="shared" si="11"/>
        <v>#VALUE!</v>
      </c>
      <c r="V48" s="59">
        <f t="shared" si="56"/>
        <v>4</v>
      </c>
      <c r="W48" s="59" t="e">
        <f t="shared" si="57"/>
        <v>#VALUE!</v>
      </c>
      <c r="X48" s="59" t="e">
        <f t="shared" si="58"/>
        <v>#VALUE!</v>
      </c>
      <c r="Y48" s="59" t="str">
        <f>IFERROR(VLOOKUP(MID(T48,W48,X48-W48),[6]skilldef!$C:$D,2,FALSE),"-") &amp; " / " &amp; IFERROR(VLOOKUP(MID(T48,U48,V48-U48),[6]skilldef!$A:$B,2,FALSE),"-")</f>
        <v>- / -</v>
      </c>
      <c r="Z48" s="46"/>
      <c r="AA48" s="48"/>
      <c r="AB48" s="131" t="s">
        <v>269</v>
      </c>
    </row>
    <row r="49" spans="1:28" ht="21" customHeight="1" thickBot="1" x14ac:dyDescent="0.2">
      <c r="A49" s="123">
        <v>40034347</v>
      </c>
      <c r="B49" s="140" t="s">
        <v>296</v>
      </c>
      <c r="C49" s="46">
        <v>3</v>
      </c>
      <c r="D49" s="46" t="s">
        <v>128</v>
      </c>
      <c r="E49" s="47" t="s">
        <v>388</v>
      </c>
      <c r="F49" s="47" t="s">
        <v>428</v>
      </c>
      <c r="G49" s="59" t="str">
        <f t="shared" si="47"/>
        <v>[effect:break_heal_fix, target:myself, val:100, lowest_val:1000, count:-1, block01:block_heart, animation:enemy_heal]</v>
      </c>
      <c r="H49" s="59">
        <f t="shared" si="1"/>
        <v>9</v>
      </c>
      <c r="I49" s="59">
        <f t="shared" si="48"/>
        <v>23</v>
      </c>
      <c r="J49" s="59">
        <f t="shared" si="49"/>
        <v>32</v>
      </c>
      <c r="K49" s="59">
        <f t="shared" si="50"/>
        <v>38</v>
      </c>
      <c r="L49" s="59" t="str">
        <f>IFERROR(VLOOKUP(MID(G49,J49,K49-J49),[6]skilldef!$C:$D,2,FALSE),"-") &amp; " / " &amp; IFERROR(VLOOKUP(MID(G49,H49,I49-H49),[6]skilldef!$A:$B,2,FALSE),"-")</f>
        <v>自分自身に / -</v>
      </c>
      <c r="M49" s="59" t="str">
        <f t="shared" si="51"/>
        <v xml:space="preserve">[effect:rush, count:1, val:0.8]    </v>
      </c>
      <c r="N49" s="44" t="str">
        <f t="shared" ref="N49:N56" si="59">IFERROR(LEFT(M49,FIND("],",M49)+S57),M49)</f>
        <v xml:space="preserve">[effect:rush, count:1, val:0.8]    </v>
      </c>
      <c r="O49" s="59">
        <f t="shared" si="6"/>
        <v>9</v>
      </c>
      <c r="P49" s="59">
        <f t="shared" si="52"/>
        <v>13</v>
      </c>
      <c r="Q49" s="59" t="e">
        <f t="shared" si="53"/>
        <v>#VALUE!</v>
      </c>
      <c r="R49" s="59">
        <f t="shared" si="54"/>
        <v>22</v>
      </c>
      <c r="S49" s="59" t="str">
        <f>IFERROR(VLOOKUP(MID(N49,Q49,R49-Q49),[6]skilldef!$C:$D,2,FALSE),"-") &amp; " / " &amp; IFERROR(VLOOKUP(MID(N49,O49,P49-O49),[6]skilldef!$A:$B,2,FALSE),"-")</f>
        <v>- / 連続攻撃</v>
      </c>
      <c r="T49" s="44" t="str">
        <f t="shared" si="55"/>
        <v>none</v>
      </c>
      <c r="U49" s="59" t="e">
        <f t="shared" si="11"/>
        <v>#VALUE!</v>
      </c>
      <c r="V49" s="59">
        <f t="shared" si="56"/>
        <v>4</v>
      </c>
      <c r="W49" s="59" t="e">
        <f t="shared" si="57"/>
        <v>#VALUE!</v>
      </c>
      <c r="X49" s="59" t="e">
        <f t="shared" si="58"/>
        <v>#VALUE!</v>
      </c>
      <c r="Y49" s="59" t="str">
        <f>IFERROR(VLOOKUP(MID(T49,W49,X49-W49),[6]skilldef!$C:$D,2,FALSE),"-") &amp; " / " &amp; IFERROR(VLOOKUP(MID(T49,U49,V49-U49),[6]skilldef!$A:$B,2,FALSE),"-")</f>
        <v>- / -</v>
      </c>
      <c r="Z49" s="46"/>
      <c r="AA49" s="48"/>
      <c r="AB49" s="131" t="s">
        <v>269</v>
      </c>
    </row>
    <row r="50" spans="1:28" ht="21" customHeight="1" thickBot="1" x14ac:dyDescent="0.2">
      <c r="A50" s="123">
        <v>40034348</v>
      </c>
      <c r="B50" s="140" t="s">
        <v>354</v>
      </c>
      <c r="C50" s="46">
        <v>3</v>
      </c>
      <c r="D50" s="46" t="s">
        <v>128</v>
      </c>
      <c r="E50" s="47" t="s">
        <v>389</v>
      </c>
      <c r="F50" s="47" t="s">
        <v>474</v>
      </c>
      <c r="G50" s="59" t="str">
        <f t="shared" ref="G50:G56" si="60">IFERROR(LEFT(B50,FIND("],",B50)),B50)</f>
        <v>[effect:enhance_enemy, target:enemy_all, turn:-1, status:attack, val:2000, calc:add, animation:enemy_enhance_attack]</v>
      </c>
      <c r="H50" s="59">
        <f t="shared" si="1"/>
        <v>9</v>
      </c>
      <c r="I50" s="59">
        <f t="shared" ref="I50:I56" si="61">IFERROR(FIND(",",G50),LEN(G50))</f>
        <v>22</v>
      </c>
      <c r="J50" s="59">
        <f t="shared" ref="J50:J56" si="62">FIND("target:",G50)+7</f>
        <v>31</v>
      </c>
      <c r="K50" s="59">
        <f t="shared" ref="K50:K56" si="63">FIND(",",G50,I50+1)</f>
        <v>40</v>
      </c>
      <c r="L50" s="59" t="str">
        <f>IFERROR(VLOOKUP(MID(G50,J50,K50-J50),[6]skilldef!$C:$D,2,FALSE),"-") &amp; " / " &amp; IFERROR(VLOOKUP(MID(G50,H50,I50-H50),[6]skilldef!$A:$B,2,FALSE),"-")</f>
        <v>敵全体に / ステータス強化</v>
      </c>
      <c r="M50" s="59" t="str">
        <f t="shared" ref="M50:M56" si="64">IFERROR(RIGHT(B50,LEN(B50)-FIND("],",B50)-1),"none")</f>
        <v xml:space="preserve">[effect:rush, count:1, val:0.8]    </v>
      </c>
      <c r="N50" s="44" t="str">
        <f t="shared" si="59"/>
        <v xml:space="preserve">[effect:rush, count:1, val:0.8]    </v>
      </c>
      <c r="O50" s="59">
        <f t="shared" si="6"/>
        <v>9</v>
      </c>
      <c r="P50" s="59">
        <f t="shared" ref="P50:P56" si="65">IFERROR(FIND(",",N50),LEN(N50))</f>
        <v>13</v>
      </c>
      <c r="Q50" s="59" t="e">
        <f t="shared" ref="Q50:Q56" si="66">FIND("target:",N50)+7</f>
        <v>#VALUE!</v>
      </c>
      <c r="R50" s="59">
        <f t="shared" ref="R50:R56" si="67">FIND(",",N50,P50+1)</f>
        <v>22</v>
      </c>
      <c r="S50" s="59" t="str">
        <f>IFERROR(VLOOKUP(MID(N50,Q50,R50-Q50),[6]skilldef!$C:$D,2,FALSE),"-") &amp; " / " &amp; IFERROR(VLOOKUP(MID(N50,O50,P50-O50),[6]skilldef!$A:$B,2,FALSE),"-")</f>
        <v>- / 連続攻撃</v>
      </c>
      <c r="T50" s="44" t="str">
        <f t="shared" ref="T50:T56" si="68">IFERROR(RIGHT(M50,LEN(M50)-FIND("],",M50)-1),"none")</f>
        <v>none</v>
      </c>
      <c r="U50" s="59" t="e">
        <f t="shared" si="11"/>
        <v>#VALUE!</v>
      </c>
      <c r="V50" s="59">
        <f t="shared" ref="V50:V56" si="69">IFERROR(FIND(",",T50),LEN(T50))</f>
        <v>4</v>
      </c>
      <c r="W50" s="59" t="e">
        <f t="shared" ref="W50:W56" si="70">FIND("target:",T50)+7</f>
        <v>#VALUE!</v>
      </c>
      <c r="X50" s="59" t="e">
        <f t="shared" ref="X50:X56" si="71">FIND(",",T50,V50+1)</f>
        <v>#VALUE!</v>
      </c>
      <c r="Y50" s="59" t="str">
        <f>IFERROR(VLOOKUP(MID(T50,W50,X50-W50),[6]skilldef!$C:$D,2,FALSE),"-") &amp; " / " &amp; IFERROR(VLOOKUP(MID(T50,U50,V50-U50),[6]skilldef!$A:$B,2,FALSE),"-")</f>
        <v>- / -</v>
      </c>
      <c r="Z50" s="46"/>
      <c r="AA50" s="48"/>
      <c r="AB50" s="131" t="s">
        <v>269</v>
      </c>
    </row>
    <row r="51" spans="1:28" ht="21" customHeight="1" thickBot="1" x14ac:dyDescent="0.2">
      <c r="A51" s="123">
        <v>40034349</v>
      </c>
      <c r="B51" s="140" t="s">
        <v>479</v>
      </c>
      <c r="C51" s="46">
        <v>3</v>
      </c>
      <c r="D51" s="46" t="s">
        <v>128</v>
      </c>
      <c r="E51" s="47" t="s">
        <v>386</v>
      </c>
      <c r="F51" s="173" t="s">
        <v>364</v>
      </c>
      <c r="G51" s="59" t="str">
        <f t="shared" si="60"/>
        <v xml:space="preserve">[effect:force_change_block, new_block:damage, target:block_all, ignore01:block_positive, ignore02:block_negative, color:block_red, count:2, val:0.25, animation:change_block]    </v>
      </c>
      <c r="H51" s="59">
        <f t="shared" si="1"/>
        <v>9</v>
      </c>
      <c r="I51" s="59">
        <f t="shared" si="61"/>
        <v>27</v>
      </c>
      <c r="J51" s="59">
        <f t="shared" si="62"/>
        <v>54</v>
      </c>
      <c r="K51" s="59">
        <f t="shared" si="63"/>
        <v>45</v>
      </c>
      <c r="L51" s="59" t="str">
        <f>IFERROR(VLOOKUP(MID(G51,J51,K51-J51),[6]skilldef!$C:$D,2,FALSE),"-") &amp; " / " &amp; IFERROR(VLOOKUP(MID(G51,H51,I51-H51),[6]skilldef!$A:$B,2,FALSE),"-")</f>
        <v>- / -</v>
      </c>
      <c r="M51" s="59" t="str">
        <f t="shared" si="64"/>
        <v>none</v>
      </c>
      <c r="N51" s="44" t="str">
        <f t="shared" si="59"/>
        <v>none</v>
      </c>
      <c r="O51" s="59" t="e">
        <f t="shared" si="6"/>
        <v>#VALUE!</v>
      </c>
      <c r="P51" s="59">
        <f t="shared" si="65"/>
        <v>4</v>
      </c>
      <c r="Q51" s="59" t="e">
        <f t="shared" si="66"/>
        <v>#VALUE!</v>
      </c>
      <c r="R51" s="59" t="e">
        <f t="shared" si="67"/>
        <v>#VALUE!</v>
      </c>
      <c r="S51" s="59" t="str">
        <f>IFERROR(VLOOKUP(MID(N51,Q51,R51-Q51),[6]skilldef!$C:$D,2,FALSE),"-") &amp; " / " &amp; IFERROR(VLOOKUP(MID(N51,O51,P51-O51),[6]skilldef!$A:$B,2,FALSE),"-")</f>
        <v>- / -</v>
      </c>
      <c r="T51" s="44" t="str">
        <f t="shared" si="68"/>
        <v>none</v>
      </c>
      <c r="U51" s="59" t="e">
        <f t="shared" si="11"/>
        <v>#VALUE!</v>
      </c>
      <c r="V51" s="59">
        <f t="shared" si="69"/>
        <v>4</v>
      </c>
      <c r="W51" s="59" t="e">
        <f t="shared" si="70"/>
        <v>#VALUE!</v>
      </c>
      <c r="X51" s="59" t="e">
        <f t="shared" si="71"/>
        <v>#VALUE!</v>
      </c>
      <c r="Y51" s="59" t="str">
        <f>IFERROR(VLOOKUP(MID(T51,W51,X51-W51),[6]skilldef!$C:$D,2,FALSE),"-") &amp; " / " &amp; IFERROR(VLOOKUP(MID(T51,U51,V51-U51),[6]skilldef!$A:$B,2,FALSE),"-")</f>
        <v>- / -</v>
      </c>
      <c r="Z51" s="46"/>
      <c r="AA51" s="48"/>
      <c r="AB51" s="131" t="s">
        <v>269</v>
      </c>
    </row>
    <row r="52" spans="1:28" ht="21" customHeight="1" thickBot="1" x14ac:dyDescent="0.2">
      <c r="A52" s="123">
        <v>40034350</v>
      </c>
      <c r="B52" s="140" t="s">
        <v>308</v>
      </c>
      <c r="C52" s="46">
        <v>3</v>
      </c>
      <c r="D52" s="46" t="s">
        <v>128</v>
      </c>
      <c r="E52" s="47" t="s">
        <v>384</v>
      </c>
      <c r="F52" s="47" t="s">
        <v>475</v>
      </c>
      <c r="G52" s="59" t="str">
        <f t="shared" si="60"/>
        <v>[effect:degrade_unit, target:unit_all, turn:-1, status:attack, val:0.5, calc:mul]</v>
      </c>
      <c r="H52" s="59">
        <f t="shared" si="1"/>
        <v>9</v>
      </c>
      <c r="I52" s="59">
        <f t="shared" si="61"/>
        <v>21</v>
      </c>
      <c r="J52" s="59">
        <f t="shared" si="62"/>
        <v>30</v>
      </c>
      <c r="K52" s="59">
        <f t="shared" si="63"/>
        <v>38</v>
      </c>
      <c r="L52" s="59" t="str">
        <f>IFERROR(VLOOKUP(MID(G52,J52,K52-J52),[6]skilldef!$C:$D,2,FALSE),"-") &amp; " / " &amp; IFERROR(VLOOKUP(MID(G52,H52,I52-H52),[6]skilldef!$A:$B,2,FALSE),"-")</f>
        <v>味方全体に / ステータスDOWN</v>
      </c>
      <c r="M52" s="59" t="str">
        <f t="shared" si="64"/>
        <v xml:space="preserve">[effect:spread, val:0.25] </v>
      </c>
      <c r="N52" s="44" t="str">
        <f t="shared" si="59"/>
        <v xml:space="preserve">[effect:spread, val:0.25] </v>
      </c>
      <c r="O52" s="59">
        <f t="shared" si="6"/>
        <v>9</v>
      </c>
      <c r="P52" s="59">
        <f t="shared" si="65"/>
        <v>15</v>
      </c>
      <c r="Q52" s="59" t="e">
        <f t="shared" si="66"/>
        <v>#VALUE!</v>
      </c>
      <c r="R52" s="59" t="e">
        <f t="shared" si="67"/>
        <v>#VALUE!</v>
      </c>
      <c r="S52" s="59" t="str">
        <f>IFERROR(VLOOKUP(MID(N52,Q52,R52-Q52),[6]skilldef!$C:$D,2,FALSE),"-") &amp; " / " &amp; IFERROR(VLOOKUP(MID(N52,O52,P52-O52),[6]skilldef!$A:$B,2,FALSE),"-")</f>
        <v>- / 全体攻撃</v>
      </c>
      <c r="T52" s="44" t="str">
        <f t="shared" si="68"/>
        <v>none</v>
      </c>
      <c r="U52" s="59" t="e">
        <f t="shared" si="11"/>
        <v>#VALUE!</v>
      </c>
      <c r="V52" s="59">
        <f t="shared" si="69"/>
        <v>4</v>
      </c>
      <c r="W52" s="59" t="e">
        <f t="shared" si="70"/>
        <v>#VALUE!</v>
      </c>
      <c r="X52" s="59" t="e">
        <f t="shared" si="71"/>
        <v>#VALUE!</v>
      </c>
      <c r="Y52" s="59" t="str">
        <f>IFERROR(VLOOKUP(MID(T52,W52,X52-W52),[6]skilldef!$C:$D,2,FALSE),"-") &amp; " / " &amp; IFERROR(VLOOKUP(MID(T52,U52,V52-U52),[6]skilldef!$A:$B,2,FALSE),"-")</f>
        <v>- / -</v>
      </c>
      <c r="Z52" s="46"/>
      <c r="AA52" s="48"/>
      <c r="AB52" s="131" t="s">
        <v>269</v>
      </c>
    </row>
    <row r="53" spans="1:28" ht="21" customHeight="1" thickBot="1" x14ac:dyDescent="0.2">
      <c r="A53" s="123">
        <v>40034351</v>
      </c>
      <c r="B53" s="140" t="s">
        <v>298</v>
      </c>
      <c r="C53" s="46">
        <v>3</v>
      </c>
      <c r="D53" s="46" t="s">
        <v>128</v>
      </c>
      <c r="E53" s="47" t="s">
        <v>385</v>
      </c>
      <c r="F53" s="47" t="s">
        <v>461</v>
      </c>
      <c r="G53" s="59" t="str">
        <f t="shared" si="60"/>
        <v>[effect:degrade_unit, target:unit_all, turn:-1, status:heal, val:0.5, calc:mul, animation:degrade_unit_all_heal]</v>
      </c>
      <c r="H53" s="59">
        <f t="shared" si="1"/>
        <v>9</v>
      </c>
      <c r="I53" s="59">
        <f t="shared" si="61"/>
        <v>21</v>
      </c>
      <c r="J53" s="59">
        <f t="shared" si="62"/>
        <v>30</v>
      </c>
      <c r="K53" s="59">
        <f t="shared" si="63"/>
        <v>38</v>
      </c>
      <c r="L53" s="59" t="str">
        <f>IFERROR(VLOOKUP(MID(G53,J53,K53-J53),[6]skilldef!$C:$D,2,FALSE),"-") &amp; " / " &amp; IFERROR(VLOOKUP(MID(G53,H53,I53-H53),[6]skilldef!$A:$B,2,FALSE),"-")</f>
        <v>味方全体に / ステータスDOWN</v>
      </c>
      <c r="M53" s="59" t="str">
        <f t="shared" si="64"/>
        <v xml:space="preserve">[effect:rush, count:4, val:0.25]  </v>
      </c>
      <c r="N53" s="44" t="str">
        <f t="shared" si="59"/>
        <v xml:space="preserve">[effect:rush, count:4, val:0.25]  </v>
      </c>
      <c r="O53" s="59">
        <f t="shared" si="6"/>
        <v>9</v>
      </c>
      <c r="P53" s="59">
        <f t="shared" si="65"/>
        <v>13</v>
      </c>
      <c r="Q53" s="59" t="e">
        <f t="shared" si="66"/>
        <v>#VALUE!</v>
      </c>
      <c r="R53" s="59">
        <f t="shared" si="67"/>
        <v>22</v>
      </c>
      <c r="S53" s="59" t="str">
        <f>IFERROR(VLOOKUP(MID(N53,Q53,R53-Q53),[6]skilldef!$C:$D,2,FALSE),"-") &amp; " / " &amp; IFERROR(VLOOKUP(MID(N53,O53,P53-O53),[6]skilldef!$A:$B,2,FALSE),"-")</f>
        <v>- / 連続攻撃</v>
      </c>
      <c r="T53" s="44" t="str">
        <f t="shared" si="68"/>
        <v>none</v>
      </c>
      <c r="U53" s="59" t="e">
        <f t="shared" si="11"/>
        <v>#VALUE!</v>
      </c>
      <c r="V53" s="59">
        <f t="shared" si="69"/>
        <v>4</v>
      </c>
      <c r="W53" s="59" t="e">
        <f t="shared" si="70"/>
        <v>#VALUE!</v>
      </c>
      <c r="X53" s="59" t="e">
        <f t="shared" si="71"/>
        <v>#VALUE!</v>
      </c>
      <c r="Y53" s="59" t="str">
        <f>IFERROR(VLOOKUP(MID(T53,W53,X53-W53),[6]skilldef!$C:$D,2,FALSE),"-") &amp; " / " &amp; IFERROR(VLOOKUP(MID(T53,U53,V53-U53),[6]skilldef!$A:$B,2,FALSE),"-")</f>
        <v>- / -</v>
      </c>
      <c r="Z53" s="46"/>
      <c r="AA53" s="48"/>
      <c r="AB53" s="131" t="s">
        <v>269</v>
      </c>
    </row>
    <row r="54" spans="1:28" ht="21" customHeight="1" thickBot="1" x14ac:dyDescent="0.2">
      <c r="A54" s="123">
        <v>40034352</v>
      </c>
      <c r="B54" s="140" t="s">
        <v>295</v>
      </c>
      <c r="C54" s="46">
        <v>3</v>
      </c>
      <c r="D54" s="46" t="s">
        <v>128</v>
      </c>
      <c r="E54" s="47" t="s">
        <v>366</v>
      </c>
      <c r="F54" s="173" t="s">
        <v>324</v>
      </c>
      <c r="G54" s="59" t="str">
        <f t="shared" si="60"/>
        <v>[effect:enemy_message, val1:1.4, val2:2.4]</v>
      </c>
      <c r="H54" s="59">
        <f t="shared" si="1"/>
        <v>9</v>
      </c>
      <c r="I54" s="59">
        <f t="shared" si="61"/>
        <v>22</v>
      </c>
      <c r="J54" s="59" t="e">
        <f t="shared" si="62"/>
        <v>#VALUE!</v>
      </c>
      <c r="K54" s="59">
        <f t="shared" si="63"/>
        <v>32</v>
      </c>
      <c r="L54" s="59" t="str">
        <f>IFERROR(VLOOKUP(MID(G54,J54,K54-J54),[6]skilldef!$C:$D,2,FALSE),"-") &amp; " / " &amp; IFERROR(VLOOKUP(MID(G54,H54,I54-H54),[6]skilldef!$A:$B,2,FALSE),"-")</f>
        <v>- / -</v>
      </c>
      <c r="M54" s="59" t="str">
        <f t="shared" si="64"/>
        <v xml:space="preserve">[effect:force_change_block, new_block:damage, target:crash, color:block_red, count:10, val:0.1, animation:change_block]    </v>
      </c>
      <c r="N54" s="44" t="str">
        <f t="shared" si="59"/>
        <v xml:space="preserve">[effect:force_change_block, new_block:damage, target:crash, color:block_red, count:10, val:0.1, animation:change_block]    </v>
      </c>
      <c r="O54" s="59">
        <f t="shared" si="6"/>
        <v>9</v>
      </c>
      <c r="P54" s="59">
        <f t="shared" si="65"/>
        <v>27</v>
      </c>
      <c r="Q54" s="59">
        <f t="shared" si="66"/>
        <v>54</v>
      </c>
      <c r="R54" s="59">
        <f t="shared" si="67"/>
        <v>45</v>
      </c>
      <c r="S54" s="59" t="str">
        <f>IFERROR(VLOOKUP(MID(N54,Q54,R54-Q54),[6]skilldef!$C:$D,2,FALSE),"-") &amp; " / " &amp; IFERROR(VLOOKUP(MID(N54,O54,P54-O54),[6]skilldef!$A:$B,2,FALSE),"-")</f>
        <v>- / -</v>
      </c>
      <c r="T54" s="44" t="str">
        <f t="shared" si="68"/>
        <v>none</v>
      </c>
      <c r="U54" s="59" t="e">
        <f t="shared" si="11"/>
        <v>#VALUE!</v>
      </c>
      <c r="V54" s="59">
        <f t="shared" si="69"/>
        <v>4</v>
      </c>
      <c r="W54" s="59" t="e">
        <f t="shared" si="70"/>
        <v>#VALUE!</v>
      </c>
      <c r="X54" s="59" t="e">
        <f t="shared" si="71"/>
        <v>#VALUE!</v>
      </c>
      <c r="Y54" s="59" t="str">
        <f>IFERROR(VLOOKUP(MID(T54,W54,X54-W54),[6]skilldef!$C:$D,2,FALSE),"-") &amp; " / " &amp; IFERROR(VLOOKUP(MID(T54,U54,V54-U54),[6]skilldef!$A:$B,2,FALSE),"-")</f>
        <v>- / -</v>
      </c>
      <c r="Z54" s="46"/>
      <c r="AA54" s="48"/>
      <c r="AB54" s="131" t="s">
        <v>269</v>
      </c>
    </row>
    <row r="55" spans="1:28" ht="21" customHeight="1" thickBot="1" x14ac:dyDescent="0.2">
      <c r="A55" s="123">
        <v>40034353</v>
      </c>
      <c r="B55" s="140" t="s">
        <v>278</v>
      </c>
      <c r="C55" s="46">
        <v>3</v>
      </c>
      <c r="D55" s="46" t="s">
        <v>128</v>
      </c>
      <c r="E55" s="47" t="s">
        <v>407</v>
      </c>
      <c r="F55" s="47" t="s">
        <v>365</v>
      </c>
      <c r="G55" s="59" t="str">
        <f t="shared" si="60"/>
        <v>[effect:enemy_message, val1:1.4, val2:2.4]</v>
      </c>
      <c r="H55" s="59">
        <f t="shared" si="1"/>
        <v>9</v>
      </c>
      <c r="I55" s="59">
        <f t="shared" si="61"/>
        <v>22</v>
      </c>
      <c r="J55" s="59" t="e">
        <f t="shared" si="62"/>
        <v>#VALUE!</v>
      </c>
      <c r="K55" s="59">
        <f t="shared" si="63"/>
        <v>32</v>
      </c>
      <c r="L55" s="59" t="str">
        <f>IFERROR(VLOOKUP(MID(G55,J55,K55-J55),[6]skilldef!$C:$D,2,FALSE),"-") &amp; " / " &amp; IFERROR(VLOOKUP(MID(G55,H55,I55-H55),[6]skilldef!$A:$B,2,FALSE),"-")</f>
        <v>- / -</v>
      </c>
      <c r="M55" s="59" t="str">
        <f t="shared" si="64"/>
        <v>none</v>
      </c>
      <c r="N55" s="44" t="str">
        <f t="shared" si="59"/>
        <v>none</v>
      </c>
      <c r="O55" s="59" t="e">
        <f t="shared" si="6"/>
        <v>#VALUE!</v>
      </c>
      <c r="P55" s="59">
        <f t="shared" si="65"/>
        <v>4</v>
      </c>
      <c r="Q55" s="59" t="e">
        <f t="shared" si="66"/>
        <v>#VALUE!</v>
      </c>
      <c r="R55" s="59" t="e">
        <f t="shared" si="67"/>
        <v>#VALUE!</v>
      </c>
      <c r="S55" s="59" t="str">
        <f>IFERROR(VLOOKUP(MID(N55,Q55,R55-Q55),[6]skilldef!$C:$D,2,FALSE),"-") &amp; " / " &amp; IFERROR(VLOOKUP(MID(N55,O55,P55-O55),[6]skilldef!$A:$B,2,FALSE),"-")</f>
        <v>- / -</v>
      </c>
      <c r="T55" s="44" t="str">
        <f t="shared" si="68"/>
        <v>none</v>
      </c>
      <c r="U55" s="59" t="e">
        <f t="shared" si="11"/>
        <v>#VALUE!</v>
      </c>
      <c r="V55" s="59">
        <f t="shared" si="69"/>
        <v>4</v>
      </c>
      <c r="W55" s="59" t="e">
        <f t="shared" si="70"/>
        <v>#VALUE!</v>
      </c>
      <c r="X55" s="59" t="e">
        <f t="shared" si="71"/>
        <v>#VALUE!</v>
      </c>
      <c r="Y55" s="59" t="str">
        <f>IFERROR(VLOOKUP(MID(T55,W55,X55-W55),[6]skilldef!$C:$D,2,FALSE),"-") &amp; " / " &amp; IFERROR(VLOOKUP(MID(T55,U55,V55-U55),[6]skilldef!$A:$B,2,FALSE),"-")</f>
        <v>- / -</v>
      </c>
      <c r="Z55" s="46"/>
      <c r="AA55" s="48"/>
      <c r="AB55" s="131" t="s">
        <v>269</v>
      </c>
    </row>
    <row r="56" spans="1:28" ht="21" customHeight="1" thickBot="1" x14ac:dyDescent="0.2">
      <c r="A56" s="123">
        <v>40034354</v>
      </c>
      <c r="B56" s="140" t="s">
        <v>278</v>
      </c>
      <c r="C56" s="46">
        <v>3</v>
      </c>
      <c r="D56" s="46" t="s">
        <v>128</v>
      </c>
      <c r="E56" s="47" t="s">
        <v>412</v>
      </c>
      <c r="F56" s="47" t="s">
        <v>471</v>
      </c>
      <c r="G56" s="59" t="str">
        <f t="shared" si="60"/>
        <v>[effect:enemy_message, val1:1.4, val2:2.4]</v>
      </c>
      <c r="H56" s="59">
        <f t="shared" si="1"/>
        <v>9</v>
      </c>
      <c r="I56" s="59">
        <f t="shared" si="61"/>
        <v>22</v>
      </c>
      <c r="J56" s="59" t="e">
        <f t="shared" si="62"/>
        <v>#VALUE!</v>
      </c>
      <c r="K56" s="59">
        <f t="shared" si="63"/>
        <v>32</v>
      </c>
      <c r="L56" s="59" t="str">
        <f>IFERROR(VLOOKUP(MID(G56,J56,K56-J56),[6]skilldef!$C:$D,2,FALSE),"-") &amp; " / " &amp; IFERROR(VLOOKUP(MID(G56,H56,I56-H56),[6]skilldef!$A:$B,2,FALSE),"-")</f>
        <v>- / -</v>
      </c>
      <c r="M56" s="59" t="str">
        <f t="shared" si="64"/>
        <v>none</v>
      </c>
      <c r="N56" s="44" t="str">
        <f t="shared" si="59"/>
        <v>none</v>
      </c>
      <c r="O56" s="59" t="e">
        <f t="shared" si="6"/>
        <v>#VALUE!</v>
      </c>
      <c r="P56" s="59">
        <f t="shared" si="65"/>
        <v>4</v>
      </c>
      <c r="Q56" s="59" t="e">
        <f t="shared" si="66"/>
        <v>#VALUE!</v>
      </c>
      <c r="R56" s="59" t="e">
        <f t="shared" si="67"/>
        <v>#VALUE!</v>
      </c>
      <c r="S56" s="59" t="str">
        <f>IFERROR(VLOOKUP(MID(N56,Q56,R56-Q56),[6]skilldef!$C:$D,2,FALSE),"-") &amp; " / " &amp; IFERROR(VLOOKUP(MID(N56,O56,P56-O56),[6]skilldef!$A:$B,2,FALSE),"-")</f>
        <v>- / -</v>
      </c>
      <c r="T56" s="44" t="str">
        <f t="shared" si="68"/>
        <v>none</v>
      </c>
      <c r="U56" s="59" t="e">
        <f t="shared" si="11"/>
        <v>#VALUE!</v>
      </c>
      <c r="V56" s="59">
        <f t="shared" si="69"/>
        <v>4</v>
      </c>
      <c r="W56" s="59" t="e">
        <f t="shared" si="70"/>
        <v>#VALUE!</v>
      </c>
      <c r="X56" s="59" t="e">
        <f t="shared" si="71"/>
        <v>#VALUE!</v>
      </c>
      <c r="Y56" s="59" t="str">
        <f>IFERROR(VLOOKUP(MID(T56,W56,X56-W56),[6]skilldef!$C:$D,2,FALSE),"-") &amp; " / " &amp; IFERROR(VLOOKUP(MID(T56,U56,V56-U56),[6]skilldef!$A:$B,2,FALSE),"-")</f>
        <v>- / -</v>
      </c>
      <c r="Z56" s="46"/>
      <c r="AA56" s="48"/>
      <c r="AB56" s="131" t="s">
        <v>269</v>
      </c>
    </row>
    <row r="57" spans="1:28" ht="38" customHeight="1" thickBot="1" x14ac:dyDescent="0.2">
      <c r="A57" s="123">
        <v>40034355</v>
      </c>
      <c r="B57" s="140" t="s">
        <v>278</v>
      </c>
      <c r="C57" s="46">
        <v>3</v>
      </c>
      <c r="D57" s="46" t="s">
        <v>128</v>
      </c>
      <c r="E57" s="47" t="s">
        <v>415</v>
      </c>
      <c r="F57" s="47" t="s">
        <v>422</v>
      </c>
      <c r="G57" s="59" t="str">
        <f t="shared" ref="G57:G82" si="72">IFERROR(LEFT(B57,FIND("],",B57)),B57)</f>
        <v>[effect:enemy_message, val1:1.4, val2:2.4]</v>
      </c>
      <c r="H57" s="59">
        <f t="shared" ref="H57:H82" si="73">FIND("effect:",G57)+7</f>
        <v>9</v>
      </c>
      <c r="I57" s="59">
        <f t="shared" ref="I57:I82" si="74">IFERROR(FIND(",",G57),LEN(G57))</f>
        <v>22</v>
      </c>
      <c r="J57" s="59" t="e">
        <f t="shared" ref="J57:J82" si="75">FIND("target:",G57)+7</f>
        <v>#VALUE!</v>
      </c>
      <c r="K57" s="59">
        <f t="shared" ref="K57:K82" si="76">FIND(",",G57,I57+1)</f>
        <v>32</v>
      </c>
      <c r="L57" s="59" t="str">
        <f>IFERROR(VLOOKUP(MID(G57,J57,K57-J57),[6]skilldef!$C:$D,2,FALSE),"-") &amp; " / " &amp; IFERROR(VLOOKUP(MID(G57,H57,I57-H57),[6]skilldef!$A:$B,2,FALSE),"-")</f>
        <v>- / -</v>
      </c>
      <c r="M57" s="59" t="str">
        <f t="shared" ref="M57:M82" si="77">IFERROR(RIGHT(B57,LEN(B57)-FIND("],",B57)-1),"none")</f>
        <v>none</v>
      </c>
      <c r="N57" s="44" t="str">
        <f t="shared" ref="N57" si="78">IFERROR(LEFT(M57,FIND("],",M57)+S65),M57)</f>
        <v>none</v>
      </c>
      <c r="O57" s="59" t="e">
        <f t="shared" ref="O57:O82" si="79">FIND("effect:",N57)+7</f>
        <v>#VALUE!</v>
      </c>
      <c r="P57" s="59">
        <f t="shared" ref="P57:P82" si="80">IFERROR(FIND(",",N57),LEN(N57))</f>
        <v>4</v>
      </c>
      <c r="Q57" s="59" t="e">
        <f t="shared" ref="Q57:Q82" si="81">FIND("target:",N57)+7</f>
        <v>#VALUE!</v>
      </c>
      <c r="R57" s="59" t="e">
        <f t="shared" ref="R57:R82" si="82">FIND(",",N57,P57+1)</f>
        <v>#VALUE!</v>
      </c>
      <c r="S57" s="59" t="str">
        <f>IFERROR(VLOOKUP(MID(N57,Q57,R57-Q57),[6]skilldef!$C:$D,2,FALSE),"-") &amp; " / " &amp; IFERROR(VLOOKUP(MID(N57,O57,P57-O57),[6]skilldef!$A:$B,2,FALSE),"-")</f>
        <v>- / -</v>
      </c>
      <c r="T57" s="44" t="str">
        <f t="shared" ref="T57:T82" si="83">IFERROR(RIGHT(M57,LEN(M57)-FIND("],",M57)-1),"none")</f>
        <v>none</v>
      </c>
      <c r="U57" s="59" t="e">
        <f t="shared" ref="U57:U82" si="84">FIND("effect:",T57)+7</f>
        <v>#VALUE!</v>
      </c>
      <c r="V57" s="59">
        <f t="shared" ref="V57:V82" si="85">IFERROR(FIND(",",T57),LEN(T57))</f>
        <v>4</v>
      </c>
      <c r="W57" s="59" t="e">
        <f t="shared" ref="W57:W82" si="86">FIND("target:",T57)+7</f>
        <v>#VALUE!</v>
      </c>
      <c r="X57" s="59" t="e">
        <f t="shared" ref="X57:X82" si="87">FIND(",",T57,V57+1)</f>
        <v>#VALUE!</v>
      </c>
      <c r="Y57" s="59" t="str">
        <f>IFERROR(VLOOKUP(MID(T57,W57,X57-W57),[6]skilldef!$C:$D,2,FALSE),"-") &amp; " / " &amp; IFERROR(VLOOKUP(MID(T57,U57,V57-U57),[6]skilldef!$A:$B,2,FALSE),"-")</f>
        <v>- / -</v>
      </c>
      <c r="Z57" s="46"/>
      <c r="AA57" s="48"/>
      <c r="AB57" s="131" t="s">
        <v>416</v>
      </c>
    </row>
    <row r="58" spans="1:28" ht="21" customHeight="1" thickBot="1" x14ac:dyDescent="0.2">
      <c r="A58" s="123">
        <v>40034356</v>
      </c>
      <c r="B58" s="139" t="s">
        <v>355</v>
      </c>
      <c r="C58" s="125">
        <v>3</v>
      </c>
      <c r="D58" s="125" t="s">
        <v>128</v>
      </c>
      <c r="E58" s="126" t="s">
        <v>419</v>
      </c>
      <c r="F58" s="126" t="s">
        <v>424</v>
      </c>
      <c r="G58" s="127" t="str">
        <f t="shared" si="72"/>
        <v>[effect:enemy_message, val1:1.4, val2:2.4]</v>
      </c>
      <c r="H58" s="127">
        <f t="shared" si="73"/>
        <v>9</v>
      </c>
      <c r="I58" s="127">
        <f t="shared" si="74"/>
        <v>22</v>
      </c>
      <c r="J58" s="127" t="e">
        <f t="shared" si="75"/>
        <v>#VALUE!</v>
      </c>
      <c r="K58" s="127">
        <f t="shared" si="76"/>
        <v>32</v>
      </c>
      <c r="L58" s="127" t="str">
        <f>IFERROR(VLOOKUP(MID(G58,J58,K58-J58),[6]skilldef!$C:$D,2,FALSE),"-") &amp; " / " &amp; IFERROR(VLOOKUP(MID(G58,H58,I58-H58),[6]skilldef!$A:$B,2,FALSE),"-")</f>
        <v>- / -</v>
      </c>
      <c r="M58" s="127" t="str">
        <f t="shared" si="77"/>
        <v xml:space="preserve">[effect:tolerance, target:myself, turn:-1, count:-1, tolerance_effect:all, animation:enemy_tolerance],[effect:damage_anti_tribe, target:unit_all, tribe:unknown, val1:3, val2:0.25]   </v>
      </c>
      <c r="N58" s="128" t="str">
        <f>IFERROR(LEFT(M58,FIND("],",M58)+#REF!),M58)</f>
        <v xml:space="preserve">[effect:tolerance, target:myself, turn:-1, count:-1, tolerance_effect:all, animation:enemy_tolerance],[effect:damage_anti_tribe, target:unit_all, tribe:unknown, val1:3, val2:0.25]   </v>
      </c>
      <c r="O58" s="127">
        <f t="shared" si="79"/>
        <v>9</v>
      </c>
      <c r="P58" s="127">
        <f t="shared" si="80"/>
        <v>18</v>
      </c>
      <c r="Q58" s="127">
        <f t="shared" si="81"/>
        <v>27</v>
      </c>
      <c r="R58" s="127">
        <f t="shared" si="82"/>
        <v>33</v>
      </c>
      <c r="S58" s="127" t="str">
        <f>IFERROR(VLOOKUP(MID(N58,Q58,R58-Q58),[6]skilldef!$C:$D,2,FALSE),"-") &amp; " / " &amp; IFERROR(VLOOKUP(MID(N58,O58,P58-O58),[6]skilldef!$A:$B,2,FALSE),"-")</f>
        <v>自分自身に / 状態異常耐性</v>
      </c>
      <c r="T58" s="128" t="str">
        <f t="shared" si="83"/>
        <v xml:space="preserve">[effect:damage_anti_tribe, target:unit_all, tribe:unknown, val1:3, val2:0.25]   </v>
      </c>
      <c r="U58" s="127">
        <f t="shared" si="84"/>
        <v>9</v>
      </c>
      <c r="V58" s="127">
        <f t="shared" si="85"/>
        <v>26</v>
      </c>
      <c r="W58" s="127">
        <f t="shared" si="86"/>
        <v>35</v>
      </c>
      <c r="X58" s="127">
        <f t="shared" si="87"/>
        <v>43</v>
      </c>
      <c r="Y58" s="127" t="str">
        <f>IFERROR(VLOOKUP(MID(T58,W58,X58-W58),[6]skilldef!$C:$D,2,FALSE),"-") &amp; " / " &amp; IFERROR(VLOOKUP(MID(T58,U58,V58-U58),[6]skilldef!$A:$B,2,FALSE),"-")</f>
        <v>味方全体に / 種族キラー</v>
      </c>
      <c r="Z58" s="125"/>
      <c r="AA58" s="129"/>
      <c r="AB58" s="130" t="s">
        <v>268</v>
      </c>
    </row>
    <row r="59" spans="1:28" ht="21" customHeight="1" thickBot="1" x14ac:dyDescent="0.2">
      <c r="A59" s="123">
        <v>40034357</v>
      </c>
      <c r="B59" s="140" t="s">
        <v>355</v>
      </c>
      <c r="C59" s="46">
        <v>3</v>
      </c>
      <c r="D59" s="46" t="s">
        <v>128</v>
      </c>
      <c r="E59" s="47" t="s">
        <v>276</v>
      </c>
      <c r="F59" s="47" t="s">
        <v>425</v>
      </c>
      <c r="G59" s="59" t="str">
        <f t="shared" si="72"/>
        <v>[effect:enemy_message, val1:1.4, val2:2.4]</v>
      </c>
      <c r="H59" s="59">
        <f t="shared" si="73"/>
        <v>9</v>
      </c>
      <c r="I59" s="59">
        <f t="shared" si="74"/>
        <v>22</v>
      </c>
      <c r="J59" s="59" t="e">
        <f t="shared" si="75"/>
        <v>#VALUE!</v>
      </c>
      <c r="K59" s="59">
        <f t="shared" si="76"/>
        <v>32</v>
      </c>
      <c r="L59" s="59" t="str">
        <f>IFERROR(VLOOKUP(MID(G59,J59,K59-J59),[6]skilldef!$C:$D,2,FALSE),"-") &amp; " / " &amp; IFERROR(VLOOKUP(MID(G59,H59,I59-H59),[6]skilldef!$A:$B,2,FALSE),"-")</f>
        <v>- / -</v>
      </c>
      <c r="M59" s="59" t="str">
        <f t="shared" si="77"/>
        <v xml:space="preserve">[effect:tolerance, target:myself, turn:-1, count:-1, tolerance_effect:all, animation:enemy_tolerance],[effect:damage_anti_tribe, target:unit_all, tribe:unknown, val1:3, val2:0.25]   </v>
      </c>
      <c r="N59" s="44" t="str">
        <f>IFERROR(LEFT(M59,FIND("],",M59)+#REF!),M59)</f>
        <v xml:space="preserve">[effect:tolerance, target:myself, turn:-1, count:-1, tolerance_effect:all, animation:enemy_tolerance],[effect:damage_anti_tribe, target:unit_all, tribe:unknown, val1:3, val2:0.25]   </v>
      </c>
      <c r="O59" s="59">
        <f t="shared" si="79"/>
        <v>9</v>
      </c>
      <c r="P59" s="59">
        <f t="shared" si="80"/>
        <v>18</v>
      </c>
      <c r="Q59" s="59">
        <f t="shared" si="81"/>
        <v>27</v>
      </c>
      <c r="R59" s="59">
        <f t="shared" si="82"/>
        <v>33</v>
      </c>
      <c r="S59" s="59" t="str">
        <f>IFERROR(VLOOKUP(MID(N59,Q59,R59-Q59),[6]skilldef!$C:$D,2,FALSE),"-") &amp; " / " &amp; IFERROR(VLOOKUP(MID(N59,O59,P59-O59),[6]skilldef!$A:$B,2,FALSE),"-")</f>
        <v>自分自身に / 状態異常耐性</v>
      </c>
      <c r="T59" s="44" t="str">
        <f t="shared" si="83"/>
        <v xml:space="preserve">[effect:damage_anti_tribe, target:unit_all, tribe:unknown, val1:3, val2:0.25]   </v>
      </c>
      <c r="U59" s="59">
        <f t="shared" si="84"/>
        <v>9</v>
      </c>
      <c r="V59" s="59">
        <f t="shared" si="85"/>
        <v>26</v>
      </c>
      <c r="W59" s="59">
        <f t="shared" si="86"/>
        <v>35</v>
      </c>
      <c r="X59" s="59">
        <f t="shared" si="87"/>
        <v>43</v>
      </c>
      <c r="Y59" s="59" t="str">
        <f>IFERROR(VLOOKUP(MID(T59,W59,X59-W59),[6]skilldef!$C:$D,2,FALSE),"-") &amp; " / " &amp; IFERROR(VLOOKUP(MID(T59,U59,V59-U59),[6]skilldef!$A:$B,2,FALSE),"-")</f>
        <v>味方全体に / 種族キラー</v>
      </c>
      <c r="Z59" s="46"/>
      <c r="AA59" s="48"/>
      <c r="AB59" s="131" t="s">
        <v>268</v>
      </c>
    </row>
    <row r="60" spans="1:28" ht="21" customHeight="1" thickBot="1" x14ac:dyDescent="0.2">
      <c r="A60" s="123">
        <v>40034358</v>
      </c>
      <c r="B60" s="140" t="s">
        <v>355</v>
      </c>
      <c r="C60" s="46">
        <v>3</v>
      </c>
      <c r="D60" s="46" t="s">
        <v>128</v>
      </c>
      <c r="E60" s="47" t="s">
        <v>277</v>
      </c>
      <c r="F60" s="47" t="s">
        <v>426</v>
      </c>
      <c r="G60" s="59" t="str">
        <f t="shared" si="72"/>
        <v>[effect:enemy_message, val1:1.4, val2:2.4]</v>
      </c>
      <c r="H60" s="59">
        <f t="shared" si="73"/>
        <v>9</v>
      </c>
      <c r="I60" s="59">
        <f t="shared" si="74"/>
        <v>22</v>
      </c>
      <c r="J60" s="59" t="e">
        <f t="shared" si="75"/>
        <v>#VALUE!</v>
      </c>
      <c r="K60" s="59">
        <f t="shared" si="76"/>
        <v>32</v>
      </c>
      <c r="L60" s="59" t="str">
        <f>IFERROR(VLOOKUP(MID(G60,J60,K60-J60),[6]skilldef!$C:$D,2,FALSE),"-") &amp; " / " &amp; IFERROR(VLOOKUP(MID(G60,H60,I60-H60),[6]skilldef!$A:$B,2,FALSE),"-")</f>
        <v>- / -</v>
      </c>
      <c r="M60" s="59" t="str">
        <f t="shared" si="77"/>
        <v xml:space="preserve">[effect:tolerance, target:myself, turn:-1, count:-1, tolerance_effect:all, animation:enemy_tolerance],[effect:damage_anti_tribe, target:unit_all, tribe:unknown, val1:3, val2:0.25]   </v>
      </c>
      <c r="N60" s="44" t="str">
        <f>IFERROR(LEFT(M60,FIND("],",M60)+#REF!),M60)</f>
        <v xml:space="preserve">[effect:tolerance, target:myself, turn:-1, count:-1, tolerance_effect:all, animation:enemy_tolerance],[effect:damage_anti_tribe, target:unit_all, tribe:unknown, val1:3, val2:0.25]   </v>
      </c>
      <c r="O60" s="59">
        <f t="shared" si="79"/>
        <v>9</v>
      </c>
      <c r="P60" s="59">
        <f t="shared" si="80"/>
        <v>18</v>
      </c>
      <c r="Q60" s="59">
        <f t="shared" si="81"/>
        <v>27</v>
      </c>
      <c r="R60" s="59">
        <f t="shared" si="82"/>
        <v>33</v>
      </c>
      <c r="S60" s="59" t="str">
        <f>IFERROR(VLOOKUP(MID(N60,Q60,R60-Q60),[6]skilldef!$C:$D,2,FALSE),"-") &amp; " / " &amp; IFERROR(VLOOKUP(MID(N60,O60,P60-O60),[6]skilldef!$A:$B,2,FALSE),"-")</f>
        <v>自分自身に / 状態異常耐性</v>
      </c>
      <c r="T60" s="44" t="str">
        <f t="shared" si="83"/>
        <v xml:space="preserve">[effect:damage_anti_tribe, target:unit_all, tribe:unknown, val1:3, val2:0.25]   </v>
      </c>
      <c r="U60" s="59">
        <f t="shared" si="84"/>
        <v>9</v>
      </c>
      <c r="V60" s="59">
        <f t="shared" si="85"/>
        <v>26</v>
      </c>
      <c r="W60" s="59">
        <f t="shared" si="86"/>
        <v>35</v>
      </c>
      <c r="X60" s="59">
        <f t="shared" si="87"/>
        <v>43</v>
      </c>
      <c r="Y60" s="59" t="str">
        <f>IFERROR(VLOOKUP(MID(T60,W60,X60-W60),[6]skilldef!$C:$D,2,FALSE),"-") &amp; " / " &amp; IFERROR(VLOOKUP(MID(T60,U60,V60-U60),[6]skilldef!$A:$B,2,FALSE),"-")</f>
        <v>味方全体に / 種族キラー</v>
      </c>
      <c r="Z60" s="46"/>
      <c r="AA60" s="48"/>
      <c r="AB60" s="131" t="s">
        <v>268</v>
      </c>
    </row>
    <row r="61" spans="1:28" ht="21" customHeight="1" thickBot="1" x14ac:dyDescent="0.2">
      <c r="A61" s="123">
        <v>40034359</v>
      </c>
      <c r="B61" s="140" t="s">
        <v>358</v>
      </c>
      <c r="C61" s="46">
        <v>3</v>
      </c>
      <c r="D61" s="46" t="s">
        <v>128</v>
      </c>
      <c r="E61" s="47" t="s">
        <v>360</v>
      </c>
      <c r="F61" s="47" t="s">
        <v>427</v>
      </c>
      <c r="G61" s="59" t="str">
        <f t="shared" si="72"/>
        <v>[effect:enemy_message, val1:1.4, val2:2.4]</v>
      </c>
      <c r="H61" s="59">
        <f t="shared" si="73"/>
        <v>9</v>
      </c>
      <c r="I61" s="59">
        <f t="shared" si="74"/>
        <v>22</v>
      </c>
      <c r="J61" s="59" t="e">
        <f t="shared" si="75"/>
        <v>#VALUE!</v>
      </c>
      <c r="K61" s="59">
        <f t="shared" si="76"/>
        <v>32</v>
      </c>
      <c r="L61" s="59" t="str">
        <f>IFERROR(VLOOKUP(MID(G61,J61,K61-J61),[6]skilldef!$C:$D,2,FALSE),"-") &amp; " / " &amp; IFERROR(VLOOKUP(MID(G61,H61,I61-H61),[6]skilldef!$A:$B,2,FALSE),"-")</f>
        <v>- / -</v>
      </c>
      <c r="M61" s="59" t="str">
        <f t="shared" si="77"/>
        <v xml:space="preserve">[effect:tolerance, target:myself, turn:-1, count:-1, tolerance_effect:all, animation:enemy_tolerance],[effect:damage_anti_tribe, target:unit_all, tribe:unknown, val1:3, val2:0.25]     </v>
      </c>
      <c r="N61" s="44" t="str">
        <f t="shared" ref="N61:N67" si="88">IFERROR(LEFT(M61,FIND("],",M61)+S68),M61)</f>
        <v xml:space="preserve">[effect:tolerance, target:myself, turn:-1, count:-1, tolerance_effect:all, animation:enemy_tolerance],[effect:damage_anti_tribe, target:unit_all, tribe:unknown, val1:3, val2:0.25]     </v>
      </c>
      <c r="O61" s="59">
        <f t="shared" si="79"/>
        <v>9</v>
      </c>
      <c r="P61" s="59">
        <f t="shared" si="80"/>
        <v>18</v>
      </c>
      <c r="Q61" s="59">
        <f t="shared" si="81"/>
        <v>27</v>
      </c>
      <c r="R61" s="59">
        <f t="shared" si="82"/>
        <v>33</v>
      </c>
      <c r="S61" s="59" t="str">
        <f>IFERROR(VLOOKUP(MID(N61,Q61,R61-Q61),[6]skilldef!$C:$D,2,FALSE),"-") &amp; " / " &amp; IFERROR(VLOOKUP(MID(N61,O61,P61-O61),[6]skilldef!$A:$B,2,FALSE),"-")</f>
        <v>自分自身に / 状態異常耐性</v>
      </c>
      <c r="T61" s="44" t="str">
        <f t="shared" si="83"/>
        <v xml:space="preserve">[effect:damage_anti_tribe, target:unit_all, tribe:unknown, val1:3, val2:0.25]     </v>
      </c>
      <c r="U61" s="59">
        <f t="shared" si="84"/>
        <v>9</v>
      </c>
      <c r="V61" s="59">
        <f t="shared" si="85"/>
        <v>26</v>
      </c>
      <c r="W61" s="59">
        <f t="shared" si="86"/>
        <v>35</v>
      </c>
      <c r="X61" s="59">
        <f t="shared" si="87"/>
        <v>43</v>
      </c>
      <c r="Y61" s="59" t="str">
        <f>IFERROR(VLOOKUP(MID(T61,W61,X61-W61),[6]skilldef!$C:$D,2,FALSE),"-") &amp; " / " &amp; IFERROR(VLOOKUP(MID(T61,U61,V61-U61),[6]skilldef!$A:$B,2,FALSE),"-")</f>
        <v>味方全体に / 種族キラー</v>
      </c>
      <c r="Z61" s="46"/>
      <c r="AA61" s="48"/>
      <c r="AB61" s="131" t="s">
        <v>268</v>
      </c>
    </row>
    <row r="62" spans="1:28" ht="21" customHeight="1" thickBot="1" x14ac:dyDescent="0.2">
      <c r="A62" s="123">
        <v>40034360</v>
      </c>
      <c r="B62" s="140" t="s">
        <v>359</v>
      </c>
      <c r="C62" s="46">
        <v>3</v>
      </c>
      <c r="D62" s="46" t="s">
        <v>128</v>
      </c>
      <c r="E62" s="47" t="s">
        <v>417</v>
      </c>
      <c r="F62" s="47" t="s">
        <v>347</v>
      </c>
      <c r="G62" s="59" t="str">
        <f t="shared" si="72"/>
        <v>[effect:break_heal_fix, target:myself, val:2000, lowest_val:10000, count:30, block01:block_heart, animation:enemy_heal]</v>
      </c>
      <c r="H62" s="59">
        <f t="shared" si="73"/>
        <v>9</v>
      </c>
      <c r="I62" s="59">
        <f t="shared" si="74"/>
        <v>23</v>
      </c>
      <c r="J62" s="59">
        <f t="shared" si="75"/>
        <v>32</v>
      </c>
      <c r="K62" s="59">
        <f t="shared" si="76"/>
        <v>38</v>
      </c>
      <c r="L62" s="59" t="str">
        <f>IFERROR(VLOOKUP(MID(G62,J62,K62-J62),[6]skilldef!$C:$D,2,FALSE),"-") &amp; " / " &amp; IFERROR(VLOOKUP(MID(G62,H62,I62-H62),[6]skilldef!$A:$B,2,FALSE),"-")</f>
        <v>自分自身に / -</v>
      </c>
      <c r="M62" s="59" t="str">
        <f t="shared" si="77"/>
        <v>none</v>
      </c>
      <c r="N62" s="44" t="str">
        <f t="shared" si="88"/>
        <v>none</v>
      </c>
      <c r="O62" s="59" t="e">
        <f t="shared" si="79"/>
        <v>#VALUE!</v>
      </c>
      <c r="P62" s="59">
        <f t="shared" si="80"/>
        <v>4</v>
      </c>
      <c r="Q62" s="59" t="e">
        <f t="shared" si="81"/>
        <v>#VALUE!</v>
      </c>
      <c r="R62" s="59" t="e">
        <f t="shared" si="82"/>
        <v>#VALUE!</v>
      </c>
      <c r="S62" s="59" t="str">
        <f>IFERROR(VLOOKUP(MID(N62,Q62,R62-Q62),[6]skilldef!$C:$D,2,FALSE),"-") &amp; " / " &amp; IFERROR(VLOOKUP(MID(N62,O62,P62-O62),[6]skilldef!$A:$B,2,FALSE),"-")</f>
        <v>- / -</v>
      </c>
      <c r="T62" s="44" t="str">
        <f t="shared" si="83"/>
        <v>none</v>
      </c>
      <c r="U62" s="59" t="e">
        <f t="shared" si="84"/>
        <v>#VALUE!</v>
      </c>
      <c r="V62" s="59">
        <f t="shared" si="85"/>
        <v>4</v>
      </c>
      <c r="W62" s="59" t="e">
        <f t="shared" si="86"/>
        <v>#VALUE!</v>
      </c>
      <c r="X62" s="59" t="e">
        <f t="shared" si="87"/>
        <v>#VALUE!</v>
      </c>
      <c r="Y62" s="59" t="str">
        <f>IFERROR(VLOOKUP(MID(T62,W62,X62-W62),[6]skilldef!$C:$D,2,FALSE),"-") &amp; " / " &amp; IFERROR(VLOOKUP(MID(T62,U62,V62-U62),[6]skilldef!$A:$B,2,FALSE),"-")</f>
        <v>- / -</v>
      </c>
      <c r="Z62" s="46"/>
      <c r="AA62" s="48"/>
      <c r="AB62" s="131" t="s">
        <v>268</v>
      </c>
    </row>
    <row r="63" spans="1:28" ht="21" customHeight="1" thickBot="1" x14ac:dyDescent="0.2">
      <c r="A63" s="123">
        <v>40034361</v>
      </c>
      <c r="B63" s="140" t="s">
        <v>307</v>
      </c>
      <c r="C63" s="46">
        <v>3</v>
      </c>
      <c r="D63" s="46" t="s">
        <v>128</v>
      </c>
      <c r="E63" s="47" t="s">
        <v>370</v>
      </c>
      <c r="F63" s="173" t="s">
        <v>364</v>
      </c>
      <c r="G63" s="59" t="str">
        <f t="shared" si="72"/>
        <v xml:space="preserve">[effect:force_change_block, new_block:damage, target:block_all, ignore01:crash, ignore02:time_bomb, ignore03:color_break, ignore04:damage, color:block_red, count:2, val:0.3, animation:change_block]    </v>
      </c>
      <c r="H63" s="59">
        <f t="shared" si="73"/>
        <v>9</v>
      </c>
      <c r="I63" s="59">
        <f t="shared" si="74"/>
        <v>27</v>
      </c>
      <c r="J63" s="59">
        <f t="shared" si="75"/>
        <v>54</v>
      </c>
      <c r="K63" s="59">
        <f t="shared" si="76"/>
        <v>45</v>
      </c>
      <c r="L63" s="59" t="str">
        <f>IFERROR(VLOOKUP(MID(G63,J63,K63-J63),[6]skilldef!$C:$D,2,FALSE),"-") &amp; " / " &amp; IFERROR(VLOOKUP(MID(G63,H63,I63-H63),[6]skilldef!$A:$B,2,FALSE),"-")</f>
        <v>- / -</v>
      </c>
      <c r="M63" s="59" t="str">
        <f t="shared" si="77"/>
        <v>none</v>
      </c>
      <c r="N63" s="44" t="str">
        <f t="shared" si="88"/>
        <v>none</v>
      </c>
      <c r="O63" s="59" t="e">
        <f t="shared" si="79"/>
        <v>#VALUE!</v>
      </c>
      <c r="P63" s="59">
        <f t="shared" si="80"/>
        <v>4</v>
      </c>
      <c r="Q63" s="59" t="e">
        <f t="shared" si="81"/>
        <v>#VALUE!</v>
      </c>
      <c r="R63" s="59" t="e">
        <f t="shared" si="82"/>
        <v>#VALUE!</v>
      </c>
      <c r="S63" s="59" t="str">
        <f>IFERROR(VLOOKUP(MID(N63,Q63,R63-Q63),[6]skilldef!$C:$D,2,FALSE),"-") &amp; " / " &amp; IFERROR(VLOOKUP(MID(N63,O63,P63-O63),[6]skilldef!$A:$B,2,FALSE),"-")</f>
        <v>- / -</v>
      </c>
      <c r="T63" s="44" t="str">
        <f t="shared" si="83"/>
        <v>none</v>
      </c>
      <c r="U63" s="59" t="e">
        <f t="shared" si="84"/>
        <v>#VALUE!</v>
      </c>
      <c r="V63" s="59">
        <f t="shared" si="85"/>
        <v>4</v>
      </c>
      <c r="W63" s="59" t="e">
        <f t="shared" si="86"/>
        <v>#VALUE!</v>
      </c>
      <c r="X63" s="59" t="e">
        <f t="shared" si="87"/>
        <v>#VALUE!</v>
      </c>
      <c r="Y63" s="59" t="str">
        <f>IFERROR(VLOOKUP(MID(T63,W63,X63-W63),[6]skilldef!$C:$D,2,FALSE),"-") &amp; " / " &amp; IFERROR(VLOOKUP(MID(T63,U63,V63-U63),[6]skilldef!$A:$B,2,FALSE),"-")</f>
        <v>- / -</v>
      </c>
      <c r="Z63" s="46"/>
      <c r="AA63" s="48"/>
      <c r="AB63" s="131" t="s">
        <v>268</v>
      </c>
    </row>
    <row r="64" spans="1:28" ht="21" customHeight="1" thickBot="1" x14ac:dyDescent="0.2">
      <c r="A64" s="123">
        <v>40034362</v>
      </c>
      <c r="B64" s="140" t="s">
        <v>433</v>
      </c>
      <c r="C64" s="46">
        <v>3</v>
      </c>
      <c r="D64" s="46" t="s">
        <v>128</v>
      </c>
      <c r="E64" s="47" t="s">
        <v>369</v>
      </c>
      <c r="F64" s="47" t="s">
        <v>444</v>
      </c>
      <c r="G64" s="59" t="str">
        <f t="shared" si="72"/>
        <v xml:space="preserve">[effect:break_attack_fix, target:unit_all, val:250, lowest_val:1, count:-1, color:red, block01:jammer]    </v>
      </c>
      <c r="H64" s="59">
        <f t="shared" si="73"/>
        <v>9</v>
      </c>
      <c r="I64" s="59">
        <f t="shared" si="74"/>
        <v>25</v>
      </c>
      <c r="J64" s="59">
        <f t="shared" si="75"/>
        <v>34</v>
      </c>
      <c r="K64" s="59">
        <f t="shared" si="76"/>
        <v>42</v>
      </c>
      <c r="L64" s="59" t="str">
        <f>IFERROR(VLOOKUP(MID(G64,J64,K64-J64),[6]skilldef!$C:$D,2,FALSE),"-") &amp; " / " &amp; IFERROR(VLOOKUP(MID(G64,H64,I64-H64),[6]skilldef!$A:$B,2,FALSE),"-")</f>
        <v>味方全体に / -</v>
      </c>
      <c r="M64" s="59" t="str">
        <f t="shared" si="77"/>
        <v>none</v>
      </c>
      <c r="N64" s="44" t="str">
        <f t="shared" si="88"/>
        <v>none</v>
      </c>
      <c r="O64" s="59" t="e">
        <f t="shared" si="79"/>
        <v>#VALUE!</v>
      </c>
      <c r="P64" s="59">
        <f t="shared" si="80"/>
        <v>4</v>
      </c>
      <c r="Q64" s="59" t="e">
        <f t="shared" si="81"/>
        <v>#VALUE!</v>
      </c>
      <c r="R64" s="59" t="e">
        <f t="shared" si="82"/>
        <v>#VALUE!</v>
      </c>
      <c r="S64" s="59" t="str">
        <f>IFERROR(VLOOKUP(MID(N64,Q64,R64-Q64),[6]skilldef!$C:$D,2,FALSE),"-") &amp; " / " &amp; IFERROR(VLOOKUP(MID(N64,O64,P64-O64),[6]skilldef!$A:$B,2,FALSE),"-")</f>
        <v>- / -</v>
      </c>
      <c r="T64" s="44" t="str">
        <f t="shared" si="83"/>
        <v>none</v>
      </c>
      <c r="U64" s="59" t="e">
        <f t="shared" si="84"/>
        <v>#VALUE!</v>
      </c>
      <c r="V64" s="59">
        <f t="shared" si="85"/>
        <v>4</v>
      </c>
      <c r="W64" s="59" t="e">
        <f t="shared" si="86"/>
        <v>#VALUE!</v>
      </c>
      <c r="X64" s="59" t="e">
        <f t="shared" si="87"/>
        <v>#VALUE!</v>
      </c>
      <c r="Y64" s="59" t="str">
        <f>IFERROR(VLOOKUP(MID(T64,W64,X64-W64),[6]skilldef!$C:$D,2,FALSE),"-") &amp; " / " &amp; IFERROR(VLOOKUP(MID(T64,U64,V64-U64),[6]skilldef!$A:$B,2,FALSE),"-")</f>
        <v>- / -</v>
      </c>
      <c r="Z64" s="46"/>
      <c r="AA64" s="48"/>
      <c r="AB64" s="131" t="s">
        <v>268</v>
      </c>
    </row>
    <row r="65" spans="1:28" ht="21" customHeight="1" thickBot="1" x14ac:dyDescent="0.2">
      <c r="A65" s="123">
        <v>40034363</v>
      </c>
      <c r="B65" s="140" t="s">
        <v>306</v>
      </c>
      <c r="C65" s="46">
        <v>3</v>
      </c>
      <c r="D65" s="46" t="s">
        <v>128</v>
      </c>
      <c r="E65" s="47" t="s">
        <v>383</v>
      </c>
      <c r="F65" s="173" t="s">
        <v>363</v>
      </c>
      <c r="G65" s="59" t="str">
        <f t="shared" si="72"/>
        <v xml:space="preserve">[effect:force_change_block, new_block:damage, target:block_all, ignore01:crash, ignore02:time_bomb, ignore03:color_break, ignore04:damage, color:block_red, count:1, val:0.25, animation:change_block]    </v>
      </c>
      <c r="H65" s="59">
        <f t="shared" si="73"/>
        <v>9</v>
      </c>
      <c r="I65" s="59">
        <f t="shared" si="74"/>
        <v>27</v>
      </c>
      <c r="J65" s="59">
        <f t="shared" si="75"/>
        <v>54</v>
      </c>
      <c r="K65" s="59">
        <f t="shared" si="76"/>
        <v>45</v>
      </c>
      <c r="L65" s="59" t="str">
        <f>IFERROR(VLOOKUP(MID(G65,J65,K65-J65),[6]skilldef!$C:$D,2,FALSE),"-") &amp; " / " &amp; IFERROR(VLOOKUP(MID(G65,H65,I65-H65),[6]skilldef!$A:$B,2,FALSE),"-")</f>
        <v>- / -</v>
      </c>
      <c r="M65" s="59" t="str">
        <f t="shared" si="77"/>
        <v>none</v>
      </c>
      <c r="N65" s="44" t="str">
        <f t="shared" si="88"/>
        <v>none</v>
      </c>
      <c r="O65" s="59" t="e">
        <f t="shared" si="79"/>
        <v>#VALUE!</v>
      </c>
      <c r="P65" s="59">
        <f t="shared" si="80"/>
        <v>4</v>
      </c>
      <c r="Q65" s="59" t="e">
        <f t="shared" si="81"/>
        <v>#VALUE!</v>
      </c>
      <c r="R65" s="59" t="e">
        <f t="shared" si="82"/>
        <v>#VALUE!</v>
      </c>
      <c r="S65" s="59" t="str">
        <f>IFERROR(VLOOKUP(MID(N65,Q65,R65-Q65),[6]skilldef!$C:$D,2,FALSE),"-") &amp; " / " &amp; IFERROR(VLOOKUP(MID(N65,O65,P65-O65),[6]skilldef!$A:$B,2,FALSE),"-")</f>
        <v>- / -</v>
      </c>
      <c r="T65" s="44" t="str">
        <f t="shared" si="83"/>
        <v>none</v>
      </c>
      <c r="U65" s="59" t="e">
        <f t="shared" si="84"/>
        <v>#VALUE!</v>
      </c>
      <c r="V65" s="59">
        <f t="shared" si="85"/>
        <v>4</v>
      </c>
      <c r="W65" s="59" t="e">
        <f t="shared" si="86"/>
        <v>#VALUE!</v>
      </c>
      <c r="X65" s="59" t="e">
        <f t="shared" si="87"/>
        <v>#VALUE!</v>
      </c>
      <c r="Y65" s="59" t="str">
        <f>IFERROR(VLOOKUP(MID(T65,W65,X65-W65),[6]skilldef!$C:$D,2,FALSE),"-") &amp; " / " &amp; IFERROR(VLOOKUP(MID(T65,U65,V65-U65),[6]skilldef!$A:$B,2,FALSE),"-")</f>
        <v>- / -</v>
      </c>
      <c r="Z65" s="46"/>
      <c r="AA65" s="48"/>
      <c r="AB65" s="131" t="s">
        <v>268</v>
      </c>
    </row>
    <row r="66" spans="1:28" ht="21" customHeight="1" thickBot="1" x14ac:dyDescent="0.2">
      <c r="A66" s="123">
        <v>40034364</v>
      </c>
      <c r="B66" s="140" t="s">
        <v>329</v>
      </c>
      <c r="C66" s="46">
        <v>3</v>
      </c>
      <c r="D66" s="46" t="s">
        <v>128</v>
      </c>
      <c r="E66" s="47" t="s">
        <v>368</v>
      </c>
      <c r="F66" s="47" t="s">
        <v>455</v>
      </c>
      <c r="G66" s="59" t="str">
        <f t="shared" si="72"/>
        <v xml:space="preserve">[effect:freq_turn, target:enemy_all, turn:9, val:1, animation:enemy_freq_turn]    </v>
      </c>
      <c r="H66" s="59">
        <f t="shared" si="73"/>
        <v>9</v>
      </c>
      <c r="I66" s="59">
        <f t="shared" si="74"/>
        <v>18</v>
      </c>
      <c r="J66" s="59">
        <f t="shared" si="75"/>
        <v>27</v>
      </c>
      <c r="K66" s="59">
        <f t="shared" si="76"/>
        <v>36</v>
      </c>
      <c r="L66" s="59" t="str">
        <f>IFERROR(VLOOKUP(MID(G66,J66,K66-J66),[6]skilldef!$C:$D,2,FALSE),"-") &amp; " / " &amp; IFERROR(VLOOKUP(MID(G66,H66,I66-H66),[6]skilldef!$A:$B,2,FALSE),"-")</f>
        <v>敵全体に / 攻撃頻度がUP</v>
      </c>
      <c r="M66" s="59" t="str">
        <f t="shared" si="77"/>
        <v>none</v>
      </c>
      <c r="N66" s="44" t="str">
        <f t="shared" si="88"/>
        <v>none</v>
      </c>
      <c r="O66" s="59" t="e">
        <f t="shared" si="79"/>
        <v>#VALUE!</v>
      </c>
      <c r="P66" s="59">
        <f t="shared" si="80"/>
        <v>4</v>
      </c>
      <c r="Q66" s="59" t="e">
        <f t="shared" si="81"/>
        <v>#VALUE!</v>
      </c>
      <c r="R66" s="59" t="e">
        <f t="shared" si="82"/>
        <v>#VALUE!</v>
      </c>
      <c r="S66" s="59" t="str">
        <f>IFERROR(VLOOKUP(MID(N66,Q66,R66-Q66),[6]skilldef!$C:$D,2,FALSE),"-") &amp; " / " &amp; IFERROR(VLOOKUP(MID(N66,O66,P66-O66),[6]skilldef!$A:$B,2,FALSE),"-")</f>
        <v>- / -</v>
      </c>
      <c r="T66" s="44" t="str">
        <f t="shared" si="83"/>
        <v>none</v>
      </c>
      <c r="U66" s="59" t="e">
        <f t="shared" si="84"/>
        <v>#VALUE!</v>
      </c>
      <c r="V66" s="59">
        <f t="shared" si="85"/>
        <v>4</v>
      </c>
      <c r="W66" s="59" t="e">
        <f t="shared" si="86"/>
        <v>#VALUE!</v>
      </c>
      <c r="X66" s="59" t="e">
        <f t="shared" si="87"/>
        <v>#VALUE!</v>
      </c>
      <c r="Y66" s="59" t="str">
        <f>IFERROR(VLOOKUP(MID(T66,W66,X66-W66),[6]skilldef!$C:$D,2,FALSE),"-") &amp; " / " &amp; IFERROR(VLOOKUP(MID(T66,U66,V66-U66),[6]skilldef!$A:$B,2,FALSE),"-")</f>
        <v>- / -</v>
      </c>
      <c r="Z66" s="46"/>
      <c r="AA66" s="48"/>
      <c r="AB66" s="131" t="s">
        <v>268</v>
      </c>
    </row>
    <row r="67" spans="1:28" ht="21" customHeight="1" thickBot="1" x14ac:dyDescent="0.2">
      <c r="A67" s="123">
        <v>40034365</v>
      </c>
      <c r="B67" s="140" t="s">
        <v>353</v>
      </c>
      <c r="C67" s="46">
        <v>3</v>
      </c>
      <c r="D67" s="46" t="s">
        <v>128</v>
      </c>
      <c r="E67" s="47" t="s">
        <v>411</v>
      </c>
      <c r="F67" s="47" t="s">
        <v>456</v>
      </c>
      <c r="G67" s="59" t="str">
        <f t="shared" si="72"/>
        <v xml:space="preserve">[effect:rush, count:2, val:0.8]    </v>
      </c>
      <c r="H67" s="59">
        <f t="shared" si="73"/>
        <v>9</v>
      </c>
      <c r="I67" s="59">
        <f t="shared" si="74"/>
        <v>13</v>
      </c>
      <c r="J67" s="59" t="e">
        <f t="shared" si="75"/>
        <v>#VALUE!</v>
      </c>
      <c r="K67" s="59">
        <f t="shared" si="76"/>
        <v>22</v>
      </c>
      <c r="L67" s="59" t="str">
        <f>IFERROR(VLOOKUP(MID(G67,J67,K67-J67),[6]skilldef!$C:$D,2,FALSE),"-") &amp; " / " &amp; IFERROR(VLOOKUP(MID(G67,H67,I67-H67),[6]skilldef!$A:$B,2,FALSE),"-")</f>
        <v>- / 連続攻撃</v>
      </c>
      <c r="M67" s="59" t="str">
        <f t="shared" si="77"/>
        <v>none</v>
      </c>
      <c r="N67" s="44" t="str">
        <f t="shared" si="88"/>
        <v>none</v>
      </c>
      <c r="O67" s="59" t="e">
        <f t="shared" si="79"/>
        <v>#VALUE!</v>
      </c>
      <c r="P67" s="59">
        <f t="shared" si="80"/>
        <v>4</v>
      </c>
      <c r="Q67" s="59" t="e">
        <f t="shared" si="81"/>
        <v>#VALUE!</v>
      </c>
      <c r="R67" s="59" t="e">
        <f t="shared" si="82"/>
        <v>#VALUE!</v>
      </c>
      <c r="S67" s="59" t="str">
        <f>IFERROR(VLOOKUP(MID(N67,Q67,R67-Q67),[6]skilldef!$C:$D,2,FALSE),"-") &amp; " / " &amp; IFERROR(VLOOKUP(MID(N67,O67,P67-O67),[6]skilldef!$A:$B,2,FALSE),"-")</f>
        <v>- / -</v>
      </c>
      <c r="T67" s="44" t="str">
        <f t="shared" si="83"/>
        <v>none</v>
      </c>
      <c r="U67" s="59" t="e">
        <f t="shared" si="84"/>
        <v>#VALUE!</v>
      </c>
      <c r="V67" s="59">
        <f t="shared" si="85"/>
        <v>4</v>
      </c>
      <c r="W67" s="59" t="e">
        <f t="shared" si="86"/>
        <v>#VALUE!</v>
      </c>
      <c r="X67" s="59" t="e">
        <f t="shared" si="87"/>
        <v>#VALUE!</v>
      </c>
      <c r="Y67" s="59" t="str">
        <f>IFERROR(VLOOKUP(MID(T67,W67,X67-W67),[6]skilldef!$C:$D,2,FALSE),"-") &amp; " / " &amp; IFERROR(VLOOKUP(MID(T67,U67,V67-U67),[6]skilldef!$A:$B,2,FALSE),"-")</f>
        <v>- / -</v>
      </c>
      <c r="Z67" s="46"/>
      <c r="AA67" s="48"/>
      <c r="AB67" s="131" t="s">
        <v>268</v>
      </c>
    </row>
    <row r="68" spans="1:28" ht="21" customHeight="1" thickBot="1" x14ac:dyDescent="0.2">
      <c r="A68" s="123">
        <v>40034366</v>
      </c>
      <c r="B68" s="139" t="s">
        <v>344</v>
      </c>
      <c r="C68" s="125">
        <v>3</v>
      </c>
      <c r="D68" s="125" t="s">
        <v>128</v>
      </c>
      <c r="E68" s="126" t="s">
        <v>367</v>
      </c>
      <c r="F68" s="126" t="s">
        <v>445</v>
      </c>
      <c r="G68" s="127" t="str">
        <f t="shared" si="72"/>
        <v>[effect:force_change_block, new_block:damage, target:block_heart, ignore01:crash, ignore02:time_bomb, ignore03:color_break, color:block_red, count:1, val:0.25, animation:change_block]</v>
      </c>
      <c r="H68" s="127">
        <f t="shared" si="73"/>
        <v>9</v>
      </c>
      <c r="I68" s="127">
        <f t="shared" si="74"/>
        <v>27</v>
      </c>
      <c r="J68" s="127">
        <f t="shared" si="75"/>
        <v>54</v>
      </c>
      <c r="K68" s="127">
        <f t="shared" si="76"/>
        <v>45</v>
      </c>
      <c r="L68" s="127" t="str">
        <f>IFERROR(VLOOKUP(MID(G68,J68,K68-J68),[6]skilldef!$C:$D,2,FALSE),"-") &amp; " / " &amp; IFERROR(VLOOKUP(MID(G68,H68,I68-H68),[6]skilldef!$A:$B,2,FALSE),"-")</f>
        <v>- / -</v>
      </c>
      <c r="M68" s="127" t="str">
        <f t="shared" si="77"/>
        <v xml:space="preserve">[effect:tolerance, target:myself, turn:-1, count:-1, tolerance_effect:all, animation:enemy_tolerance]        </v>
      </c>
      <c r="N68" s="128" t="str">
        <f>IFERROR(LEFT(M68,FIND("],",M68)+#REF!),M68)</f>
        <v xml:space="preserve">[effect:tolerance, target:myself, turn:-1, count:-1, tolerance_effect:all, animation:enemy_tolerance]        </v>
      </c>
      <c r="O68" s="127">
        <f t="shared" si="79"/>
        <v>9</v>
      </c>
      <c r="P68" s="127">
        <f t="shared" si="80"/>
        <v>18</v>
      </c>
      <c r="Q68" s="127">
        <f t="shared" si="81"/>
        <v>27</v>
      </c>
      <c r="R68" s="127">
        <f t="shared" si="82"/>
        <v>33</v>
      </c>
      <c r="S68" s="127" t="str">
        <f>IFERROR(VLOOKUP(MID(N68,Q68,R68-Q68),[6]skilldef!$C:$D,2,FALSE),"-") &amp; " / " &amp; IFERROR(VLOOKUP(MID(N68,O68,P68-O68),[6]skilldef!$A:$B,2,FALSE),"-")</f>
        <v>自分自身に / 状態異常耐性</v>
      </c>
      <c r="T68" s="128" t="str">
        <f t="shared" si="83"/>
        <v>none</v>
      </c>
      <c r="U68" s="127" t="e">
        <f t="shared" si="84"/>
        <v>#VALUE!</v>
      </c>
      <c r="V68" s="127">
        <f t="shared" si="85"/>
        <v>4</v>
      </c>
      <c r="W68" s="127" t="e">
        <f t="shared" si="86"/>
        <v>#VALUE!</v>
      </c>
      <c r="X68" s="127" t="e">
        <f t="shared" si="87"/>
        <v>#VALUE!</v>
      </c>
      <c r="Y68" s="127" t="str">
        <f>IFERROR(VLOOKUP(MID(T68,W68,X68-W68),[6]skilldef!$C:$D,2,FALSE),"-") &amp; " / " &amp; IFERROR(VLOOKUP(MID(T68,U68,V68-U68),[6]skilldef!$A:$B,2,FALSE),"-")</f>
        <v>- / -</v>
      </c>
      <c r="Z68" s="125"/>
      <c r="AA68" s="129"/>
      <c r="AB68" s="130" t="s">
        <v>269</v>
      </c>
    </row>
    <row r="69" spans="1:28" ht="21" customHeight="1" thickBot="1" x14ac:dyDescent="0.2">
      <c r="A69" s="123">
        <v>40034367</v>
      </c>
      <c r="B69" s="140" t="s">
        <v>435</v>
      </c>
      <c r="C69" s="46">
        <v>3</v>
      </c>
      <c r="D69" s="46" t="s">
        <v>128</v>
      </c>
      <c r="E69" s="47" t="s">
        <v>387</v>
      </c>
      <c r="F69" s="47" t="s">
        <v>443</v>
      </c>
      <c r="G69" s="59" t="str">
        <f t="shared" si="72"/>
        <v xml:space="preserve">[effect:break_enchance_enemy, target:myself, val:180, lowest_val:1000, count :10, status:attack, turn:-1, block01:jammer, calc:add, animation:enemy_enhance_attack]    </v>
      </c>
      <c r="H69" s="59">
        <f t="shared" si="73"/>
        <v>9</v>
      </c>
      <c r="I69" s="59">
        <f t="shared" si="74"/>
        <v>29</v>
      </c>
      <c r="J69" s="59">
        <f t="shared" si="75"/>
        <v>38</v>
      </c>
      <c r="K69" s="59">
        <f t="shared" si="76"/>
        <v>44</v>
      </c>
      <c r="L69" s="59" t="str">
        <f>IFERROR(VLOOKUP(MID(G69,J69,K69-J69),[6]skilldef!$C:$D,2,FALSE),"-") &amp; " / " &amp; IFERROR(VLOOKUP(MID(G69,H69,I69-H69),[6]skilldef!$A:$B,2,FALSE),"-")</f>
        <v>自分自身に / -</v>
      </c>
      <c r="M69" s="59" t="str">
        <f t="shared" si="77"/>
        <v>none</v>
      </c>
      <c r="N69" s="44" t="str">
        <f>IFERROR(LEFT(M69,FIND("],",M69)+#REF!),M69)</f>
        <v>none</v>
      </c>
      <c r="O69" s="59" t="e">
        <f t="shared" si="79"/>
        <v>#VALUE!</v>
      </c>
      <c r="P69" s="59">
        <f t="shared" si="80"/>
        <v>4</v>
      </c>
      <c r="Q69" s="59" t="e">
        <f t="shared" si="81"/>
        <v>#VALUE!</v>
      </c>
      <c r="R69" s="59" t="e">
        <f t="shared" si="82"/>
        <v>#VALUE!</v>
      </c>
      <c r="S69" s="59" t="str">
        <f>IFERROR(VLOOKUP(MID(N69,Q69,R69-Q69),[6]skilldef!$C:$D,2,FALSE),"-") &amp; " / " &amp; IFERROR(VLOOKUP(MID(N69,O69,P69-O69),[6]skilldef!$A:$B,2,FALSE),"-")</f>
        <v>- / -</v>
      </c>
      <c r="T69" s="44" t="str">
        <f t="shared" si="83"/>
        <v>none</v>
      </c>
      <c r="U69" s="59" t="e">
        <f t="shared" si="84"/>
        <v>#VALUE!</v>
      </c>
      <c r="V69" s="59">
        <f t="shared" si="85"/>
        <v>4</v>
      </c>
      <c r="W69" s="59" t="e">
        <f t="shared" si="86"/>
        <v>#VALUE!</v>
      </c>
      <c r="X69" s="59" t="e">
        <f t="shared" si="87"/>
        <v>#VALUE!</v>
      </c>
      <c r="Y69" s="59" t="str">
        <f>IFERROR(VLOOKUP(MID(T69,W69,X69-W69),[6]skilldef!$C:$D,2,FALSE),"-") &amp; " / " &amp; IFERROR(VLOOKUP(MID(T69,U69,V69-U69),[6]skilldef!$A:$B,2,FALSE),"-")</f>
        <v>- / -</v>
      </c>
      <c r="Z69" s="46"/>
      <c r="AA69" s="48"/>
      <c r="AB69" s="131" t="s">
        <v>269</v>
      </c>
    </row>
    <row r="70" spans="1:28" ht="21" customHeight="1" thickBot="1" x14ac:dyDescent="0.2">
      <c r="A70" s="123">
        <v>40034368</v>
      </c>
      <c r="B70" s="140" t="s">
        <v>437</v>
      </c>
      <c r="C70" s="46">
        <v>3</v>
      </c>
      <c r="D70" s="46" t="s">
        <v>128</v>
      </c>
      <c r="E70" s="47" t="s">
        <v>388</v>
      </c>
      <c r="F70" s="47" t="s">
        <v>428</v>
      </c>
      <c r="G70" s="59" t="str">
        <f t="shared" si="72"/>
        <v>[effect:break_heal_fix, target:myself, val:1000, lowest_val:1000, count:-1, block01:block_heart, animation:enemy_heal]</v>
      </c>
      <c r="H70" s="59">
        <f t="shared" si="73"/>
        <v>9</v>
      </c>
      <c r="I70" s="59">
        <f t="shared" si="74"/>
        <v>23</v>
      </c>
      <c r="J70" s="59">
        <f t="shared" si="75"/>
        <v>32</v>
      </c>
      <c r="K70" s="59">
        <f t="shared" si="76"/>
        <v>38</v>
      </c>
      <c r="L70" s="59" t="str">
        <f>IFERROR(VLOOKUP(MID(G70,J70,K70-J70),[6]skilldef!$C:$D,2,FALSE),"-") &amp; " / " &amp; IFERROR(VLOOKUP(MID(G70,H70,I70-H70),[6]skilldef!$A:$B,2,FALSE),"-")</f>
        <v>自分自身に / -</v>
      </c>
      <c r="M70" s="59" t="str">
        <f t="shared" si="77"/>
        <v xml:space="preserve">[effect:rush, count:1, val:0.8]    </v>
      </c>
      <c r="N70" s="44" t="str">
        <f>IFERROR(LEFT(M70,FIND("],",M70)+#REF!),M70)</f>
        <v xml:space="preserve">[effect:rush, count:1, val:0.8]    </v>
      </c>
      <c r="O70" s="59">
        <f t="shared" si="79"/>
        <v>9</v>
      </c>
      <c r="P70" s="59">
        <f t="shared" si="80"/>
        <v>13</v>
      </c>
      <c r="Q70" s="59" t="e">
        <f t="shared" si="81"/>
        <v>#VALUE!</v>
      </c>
      <c r="R70" s="59">
        <f t="shared" si="82"/>
        <v>22</v>
      </c>
      <c r="S70" s="59" t="str">
        <f>IFERROR(VLOOKUP(MID(N70,Q70,R70-Q70),[6]skilldef!$C:$D,2,FALSE),"-") &amp; " / " &amp; IFERROR(VLOOKUP(MID(N70,O70,P70-O70),[6]skilldef!$A:$B,2,FALSE),"-")</f>
        <v>- / 連続攻撃</v>
      </c>
      <c r="T70" s="44" t="str">
        <f t="shared" si="83"/>
        <v>none</v>
      </c>
      <c r="U70" s="59" t="e">
        <f t="shared" si="84"/>
        <v>#VALUE!</v>
      </c>
      <c r="V70" s="59">
        <f t="shared" si="85"/>
        <v>4</v>
      </c>
      <c r="W70" s="59" t="e">
        <f t="shared" si="86"/>
        <v>#VALUE!</v>
      </c>
      <c r="X70" s="59" t="e">
        <f t="shared" si="87"/>
        <v>#VALUE!</v>
      </c>
      <c r="Y70" s="59" t="str">
        <f>IFERROR(VLOOKUP(MID(T70,W70,X70-W70),[6]skilldef!$C:$D,2,FALSE),"-") &amp; " / " &amp; IFERROR(VLOOKUP(MID(T70,U70,V70-U70),[6]skilldef!$A:$B,2,FALSE),"-")</f>
        <v>- / -</v>
      </c>
      <c r="Z70" s="46"/>
      <c r="AA70" s="48"/>
      <c r="AB70" s="131" t="s">
        <v>269</v>
      </c>
    </row>
    <row r="71" spans="1:28" ht="21" customHeight="1" thickBot="1" x14ac:dyDescent="0.2">
      <c r="A71" s="123">
        <v>40034369</v>
      </c>
      <c r="B71" s="140" t="s">
        <v>434</v>
      </c>
      <c r="C71" s="46">
        <v>3</v>
      </c>
      <c r="D71" s="46" t="s">
        <v>128</v>
      </c>
      <c r="E71" s="47" t="s">
        <v>389</v>
      </c>
      <c r="F71" s="47" t="s">
        <v>476</v>
      </c>
      <c r="G71" s="59" t="str">
        <f t="shared" si="72"/>
        <v>[effect:enhance_enemy, target:enemy_all, turn:-1, status:attack, val:1500, calc:add, animation:enemy_enhance_attack]</v>
      </c>
      <c r="H71" s="59">
        <f t="shared" si="73"/>
        <v>9</v>
      </c>
      <c r="I71" s="59">
        <f t="shared" si="74"/>
        <v>22</v>
      </c>
      <c r="J71" s="59">
        <f t="shared" si="75"/>
        <v>31</v>
      </c>
      <c r="K71" s="59">
        <f t="shared" si="76"/>
        <v>40</v>
      </c>
      <c r="L71" s="59" t="str">
        <f>IFERROR(VLOOKUP(MID(G71,J71,K71-J71),[6]skilldef!$C:$D,2,FALSE),"-") &amp; " / " &amp; IFERROR(VLOOKUP(MID(G71,H71,I71-H71),[6]skilldef!$A:$B,2,FALSE),"-")</f>
        <v>敵全体に / ステータス強化</v>
      </c>
      <c r="M71" s="59" t="str">
        <f t="shared" si="77"/>
        <v xml:space="preserve">[effect:rush, count:1, val:0.8]    </v>
      </c>
      <c r="N71" s="44" t="str">
        <f t="shared" ref="N71:N77" si="89">IFERROR(LEFT(M71,FIND("],",M71)+S78),M71)</f>
        <v xml:space="preserve">[effect:rush, count:1, val:0.8]    </v>
      </c>
      <c r="O71" s="59">
        <f t="shared" si="79"/>
        <v>9</v>
      </c>
      <c r="P71" s="59">
        <f t="shared" si="80"/>
        <v>13</v>
      </c>
      <c r="Q71" s="59" t="e">
        <f t="shared" si="81"/>
        <v>#VALUE!</v>
      </c>
      <c r="R71" s="59">
        <f t="shared" si="82"/>
        <v>22</v>
      </c>
      <c r="S71" s="59" t="str">
        <f>IFERROR(VLOOKUP(MID(N71,Q71,R71-Q71),[6]skilldef!$C:$D,2,FALSE),"-") &amp; " / " &amp; IFERROR(VLOOKUP(MID(N71,O71,P71-O71),[6]skilldef!$A:$B,2,FALSE),"-")</f>
        <v>- / 連続攻撃</v>
      </c>
      <c r="T71" s="44" t="str">
        <f t="shared" si="83"/>
        <v>none</v>
      </c>
      <c r="U71" s="59" t="e">
        <f t="shared" si="84"/>
        <v>#VALUE!</v>
      </c>
      <c r="V71" s="59">
        <f t="shared" si="85"/>
        <v>4</v>
      </c>
      <c r="W71" s="59" t="e">
        <f t="shared" si="86"/>
        <v>#VALUE!</v>
      </c>
      <c r="X71" s="59" t="e">
        <f t="shared" si="87"/>
        <v>#VALUE!</v>
      </c>
      <c r="Y71" s="59" t="str">
        <f>IFERROR(VLOOKUP(MID(T71,W71,X71-W71),[6]skilldef!$C:$D,2,FALSE),"-") &amp; " / " &amp; IFERROR(VLOOKUP(MID(T71,U71,V71-U71),[6]skilldef!$A:$B,2,FALSE),"-")</f>
        <v>- / -</v>
      </c>
      <c r="Z71" s="46"/>
      <c r="AA71" s="48"/>
      <c r="AB71" s="131" t="s">
        <v>269</v>
      </c>
    </row>
    <row r="72" spans="1:28" ht="21" customHeight="1" thickBot="1" x14ac:dyDescent="0.2">
      <c r="A72" s="123">
        <v>40034370</v>
      </c>
      <c r="B72" s="140" t="s">
        <v>297</v>
      </c>
      <c r="C72" s="46">
        <v>3</v>
      </c>
      <c r="D72" s="46" t="s">
        <v>128</v>
      </c>
      <c r="E72" s="47" t="s">
        <v>386</v>
      </c>
      <c r="F72" s="173" t="s">
        <v>364</v>
      </c>
      <c r="G72" s="59" t="str">
        <f t="shared" si="72"/>
        <v xml:space="preserve">[effect:force_change_block, new_block:damage, target:block_all, ignore01:crash, ignore02:time_bomb, ignore03:color_break, ignore04:damage, color:block_red, count:2, val:0.25, animation:change_block]    </v>
      </c>
      <c r="H72" s="59">
        <f t="shared" si="73"/>
        <v>9</v>
      </c>
      <c r="I72" s="59">
        <f t="shared" si="74"/>
        <v>27</v>
      </c>
      <c r="J72" s="59">
        <f t="shared" si="75"/>
        <v>54</v>
      </c>
      <c r="K72" s="59">
        <f t="shared" si="76"/>
        <v>45</v>
      </c>
      <c r="L72" s="59" t="str">
        <f>IFERROR(VLOOKUP(MID(G72,J72,K72-J72),[6]skilldef!$C:$D,2,FALSE),"-") &amp; " / " &amp; IFERROR(VLOOKUP(MID(G72,H72,I72-H72),[6]skilldef!$A:$B,2,FALSE),"-")</f>
        <v>- / -</v>
      </c>
      <c r="M72" s="59" t="str">
        <f t="shared" si="77"/>
        <v>none</v>
      </c>
      <c r="N72" s="44" t="str">
        <f t="shared" si="89"/>
        <v>none</v>
      </c>
      <c r="O72" s="59" t="e">
        <f t="shared" si="79"/>
        <v>#VALUE!</v>
      </c>
      <c r="P72" s="59">
        <f t="shared" si="80"/>
        <v>4</v>
      </c>
      <c r="Q72" s="59" t="e">
        <f t="shared" si="81"/>
        <v>#VALUE!</v>
      </c>
      <c r="R72" s="59" t="e">
        <f t="shared" si="82"/>
        <v>#VALUE!</v>
      </c>
      <c r="S72" s="59" t="str">
        <f>IFERROR(VLOOKUP(MID(N72,Q72,R72-Q72),[6]skilldef!$C:$D,2,FALSE),"-") &amp; " / " &amp; IFERROR(VLOOKUP(MID(N72,O72,P72-O72),[6]skilldef!$A:$B,2,FALSE),"-")</f>
        <v>- / -</v>
      </c>
      <c r="T72" s="44" t="str">
        <f t="shared" si="83"/>
        <v>none</v>
      </c>
      <c r="U72" s="59" t="e">
        <f t="shared" si="84"/>
        <v>#VALUE!</v>
      </c>
      <c r="V72" s="59">
        <f t="shared" si="85"/>
        <v>4</v>
      </c>
      <c r="W72" s="59" t="e">
        <f t="shared" si="86"/>
        <v>#VALUE!</v>
      </c>
      <c r="X72" s="59" t="e">
        <f t="shared" si="87"/>
        <v>#VALUE!</v>
      </c>
      <c r="Y72" s="59" t="str">
        <f>IFERROR(VLOOKUP(MID(T72,W72,X72-W72),[6]skilldef!$C:$D,2,FALSE),"-") &amp; " / " &amp; IFERROR(VLOOKUP(MID(T72,U72,V72-U72),[6]skilldef!$A:$B,2,FALSE),"-")</f>
        <v>- / -</v>
      </c>
      <c r="Z72" s="46"/>
      <c r="AA72" s="48"/>
      <c r="AB72" s="131" t="s">
        <v>269</v>
      </c>
    </row>
    <row r="73" spans="1:28" ht="21" customHeight="1" thickBot="1" x14ac:dyDescent="0.2">
      <c r="A73" s="123">
        <v>40034371</v>
      </c>
      <c r="B73" s="140" t="s">
        <v>308</v>
      </c>
      <c r="C73" s="46">
        <v>3</v>
      </c>
      <c r="D73" s="46" t="s">
        <v>128</v>
      </c>
      <c r="E73" s="47" t="s">
        <v>384</v>
      </c>
      <c r="F73" s="47" t="s">
        <v>457</v>
      </c>
      <c r="G73" s="59" t="str">
        <f t="shared" si="72"/>
        <v>[effect:degrade_unit, target:unit_all, turn:-1, status:attack, val:0.5, calc:mul]</v>
      </c>
      <c r="H73" s="59">
        <f t="shared" si="73"/>
        <v>9</v>
      </c>
      <c r="I73" s="59">
        <f t="shared" si="74"/>
        <v>21</v>
      </c>
      <c r="J73" s="59">
        <f t="shared" si="75"/>
        <v>30</v>
      </c>
      <c r="K73" s="59">
        <f t="shared" si="76"/>
        <v>38</v>
      </c>
      <c r="L73" s="59" t="str">
        <f>IFERROR(VLOOKUP(MID(G73,J73,K73-J73),[6]skilldef!$C:$D,2,FALSE),"-") &amp; " / " &amp; IFERROR(VLOOKUP(MID(G73,H73,I73-H73),[6]skilldef!$A:$B,2,FALSE),"-")</f>
        <v>味方全体に / ステータスDOWN</v>
      </c>
      <c r="M73" s="59" t="str">
        <f t="shared" si="77"/>
        <v xml:space="preserve">[effect:spread, val:0.25] </v>
      </c>
      <c r="N73" s="44" t="str">
        <f t="shared" si="89"/>
        <v xml:space="preserve">[effect:spread, val:0.25] </v>
      </c>
      <c r="O73" s="59">
        <f t="shared" si="79"/>
        <v>9</v>
      </c>
      <c r="P73" s="59">
        <f t="shared" si="80"/>
        <v>15</v>
      </c>
      <c r="Q73" s="59" t="e">
        <f t="shared" si="81"/>
        <v>#VALUE!</v>
      </c>
      <c r="R73" s="59" t="e">
        <f t="shared" si="82"/>
        <v>#VALUE!</v>
      </c>
      <c r="S73" s="59" t="str">
        <f>IFERROR(VLOOKUP(MID(N73,Q73,R73-Q73),[6]skilldef!$C:$D,2,FALSE),"-") &amp; " / " &amp; IFERROR(VLOOKUP(MID(N73,O73,P73-O73),[6]skilldef!$A:$B,2,FALSE),"-")</f>
        <v>- / 全体攻撃</v>
      </c>
      <c r="T73" s="44" t="str">
        <f t="shared" si="83"/>
        <v>none</v>
      </c>
      <c r="U73" s="59" t="e">
        <f t="shared" si="84"/>
        <v>#VALUE!</v>
      </c>
      <c r="V73" s="59">
        <f t="shared" si="85"/>
        <v>4</v>
      </c>
      <c r="W73" s="59" t="e">
        <f t="shared" si="86"/>
        <v>#VALUE!</v>
      </c>
      <c r="X73" s="59" t="e">
        <f t="shared" si="87"/>
        <v>#VALUE!</v>
      </c>
      <c r="Y73" s="59" t="str">
        <f>IFERROR(VLOOKUP(MID(T73,W73,X73-W73),[6]skilldef!$C:$D,2,FALSE),"-") &amp; " / " &amp; IFERROR(VLOOKUP(MID(T73,U73,V73-U73),[6]skilldef!$A:$B,2,FALSE),"-")</f>
        <v>- / -</v>
      </c>
      <c r="Z73" s="46"/>
      <c r="AA73" s="48"/>
      <c r="AB73" s="131" t="s">
        <v>269</v>
      </c>
    </row>
    <row r="74" spans="1:28" ht="21" customHeight="1" thickBot="1" x14ac:dyDescent="0.2">
      <c r="A74" s="123">
        <v>40034372</v>
      </c>
      <c r="B74" s="140" t="s">
        <v>298</v>
      </c>
      <c r="C74" s="46">
        <v>3</v>
      </c>
      <c r="D74" s="46" t="s">
        <v>128</v>
      </c>
      <c r="E74" s="47" t="s">
        <v>385</v>
      </c>
      <c r="F74" s="47" t="s">
        <v>458</v>
      </c>
      <c r="G74" s="59" t="str">
        <f t="shared" si="72"/>
        <v>[effect:degrade_unit, target:unit_all, turn:-1, status:heal, val:0.5, calc:mul, animation:degrade_unit_all_heal]</v>
      </c>
      <c r="H74" s="59">
        <f t="shared" si="73"/>
        <v>9</v>
      </c>
      <c r="I74" s="59">
        <f t="shared" si="74"/>
        <v>21</v>
      </c>
      <c r="J74" s="59">
        <f t="shared" si="75"/>
        <v>30</v>
      </c>
      <c r="K74" s="59">
        <f t="shared" si="76"/>
        <v>38</v>
      </c>
      <c r="L74" s="59" t="str">
        <f>IFERROR(VLOOKUP(MID(G74,J74,K74-J74),[6]skilldef!$C:$D,2,FALSE),"-") &amp; " / " &amp; IFERROR(VLOOKUP(MID(G74,H74,I74-H74),[6]skilldef!$A:$B,2,FALSE),"-")</f>
        <v>味方全体に / ステータスDOWN</v>
      </c>
      <c r="M74" s="59" t="str">
        <f t="shared" si="77"/>
        <v xml:space="preserve">[effect:rush, count:4, val:0.25]  </v>
      </c>
      <c r="N74" s="44" t="str">
        <f t="shared" si="89"/>
        <v xml:space="preserve">[effect:rush, count:4, val:0.25]  </v>
      </c>
      <c r="O74" s="59">
        <f t="shared" si="79"/>
        <v>9</v>
      </c>
      <c r="P74" s="59">
        <f t="shared" si="80"/>
        <v>13</v>
      </c>
      <c r="Q74" s="59" t="e">
        <f t="shared" si="81"/>
        <v>#VALUE!</v>
      </c>
      <c r="R74" s="59">
        <f t="shared" si="82"/>
        <v>22</v>
      </c>
      <c r="S74" s="59" t="str">
        <f>IFERROR(VLOOKUP(MID(N74,Q74,R74-Q74),[6]skilldef!$C:$D,2,FALSE),"-") &amp; " / " &amp; IFERROR(VLOOKUP(MID(N74,O74,P74-O74),[6]skilldef!$A:$B,2,FALSE),"-")</f>
        <v>- / 連続攻撃</v>
      </c>
      <c r="T74" s="44" t="str">
        <f t="shared" si="83"/>
        <v>none</v>
      </c>
      <c r="U74" s="59" t="e">
        <f t="shared" si="84"/>
        <v>#VALUE!</v>
      </c>
      <c r="V74" s="59">
        <f t="shared" si="85"/>
        <v>4</v>
      </c>
      <c r="W74" s="59" t="e">
        <f t="shared" si="86"/>
        <v>#VALUE!</v>
      </c>
      <c r="X74" s="59" t="e">
        <f t="shared" si="87"/>
        <v>#VALUE!</v>
      </c>
      <c r="Y74" s="59" t="str">
        <f>IFERROR(VLOOKUP(MID(T74,W74,X74-W74),[6]skilldef!$C:$D,2,FALSE),"-") &amp; " / " &amp; IFERROR(VLOOKUP(MID(T74,U74,V74-U74),[6]skilldef!$A:$B,2,FALSE),"-")</f>
        <v>- / -</v>
      </c>
      <c r="Z74" s="46"/>
      <c r="AA74" s="48"/>
      <c r="AB74" s="131" t="s">
        <v>269</v>
      </c>
    </row>
    <row r="75" spans="1:28" ht="21" customHeight="1" thickBot="1" x14ac:dyDescent="0.2">
      <c r="A75" s="123">
        <v>40034373</v>
      </c>
      <c r="B75" s="140" t="s">
        <v>295</v>
      </c>
      <c r="C75" s="46">
        <v>3</v>
      </c>
      <c r="D75" s="46" t="s">
        <v>128</v>
      </c>
      <c r="E75" s="47" t="s">
        <v>366</v>
      </c>
      <c r="F75" s="173" t="s">
        <v>324</v>
      </c>
      <c r="G75" s="59" t="str">
        <f t="shared" si="72"/>
        <v>[effect:enemy_message, val1:1.4, val2:2.4]</v>
      </c>
      <c r="H75" s="59">
        <f t="shared" si="73"/>
        <v>9</v>
      </c>
      <c r="I75" s="59">
        <f t="shared" si="74"/>
        <v>22</v>
      </c>
      <c r="J75" s="59" t="e">
        <f t="shared" si="75"/>
        <v>#VALUE!</v>
      </c>
      <c r="K75" s="59">
        <f t="shared" si="76"/>
        <v>32</v>
      </c>
      <c r="L75" s="59" t="str">
        <f>IFERROR(VLOOKUP(MID(G75,J75,K75-J75),[6]skilldef!$C:$D,2,FALSE),"-") &amp; " / " &amp; IFERROR(VLOOKUP(MID(G75,H75,I75-H75),[6]skilldef!$A:$B,2,FALSE),"-")</f>
        <v>- / -</v>
      </c>
      <c r="M75" s="59" t="str">
        <f t="shared" si="77"/>
        <v xml:space="preserve">[effect:force_change_block, new_block:damage, target:crash, color:block_red, count:10, val:0.1, animation:change_block]    </v>
      </c>
      <c r="N75" s="44" t="str">
        <f t="shared" si="89"/>
        <v xml:space="preserve">[effect:force_change_block, new_block:damage, target:crash, color:block_red, count:10, val:0.1, animation:change_block]    </v>
      </c>
      <c r="O75" s="59">
        <f t="shared" si="79"/>
        <v>9</v>
      </c>
      <c r="P75" s="59">
        <f t="shared" si="80"/>
        <v>27</v>
      </c>
      <c r="Q75" s="59">
        <f t="shared" si="81"/>
        <v>54</v>
      </c>
      <c r="R75" s="59">
        <f t="shared" si="82"/>
        <v>45</v>
      </c>
      <c r="S75" s="59" t="str">
        <f>IFERROR(VLOOKUP(MID(N75,Q75,R75-Q75),[6]skilldef!$C:$D,2,FALSE),"-") &amp; " / " &amp; IFERROR(VLOOKUP(MID(N75,O75,P75-O75),[6]skilldef!$A:$B,2,FALSE),"-")</f>
        <v>- / -</v>
      </c>
      <c r="T75" s="44" t="str">
        <f t="shared" si="83"/>
        <v>none</v>
      </c>
      <c r="U75" s="59" t="e">
        <f t="shared" si="84"/>
        <v>#VALUE!</v>
      </c>
      <c r="V75" s="59">
        <f t="shared" si="85"/>
        <v>4</v>
      </c>
      <c r="W75" s="59" t="e">
        <f t="shared" si="86"/>
        <v>#VALUE!</v>
      </c>
      <c r="X75" s="59" t="e">
        <f t="shared" si="87"/>
        <v>#VALUE!</v>
      </c>
      <c r="Y75" s="59" t="str">
        <f>IFERROR(VLOOKUP(MID(T75,W75,X75-W75),[6]skilldef!$C:$D,2,FALSE),"-") &amp; " / " &amp; IFERROR(VLOOKUP(MID(T75,U75,V75-U75),[6]skilldef!$A:$B,2,FALSE),"-")</f>
        <v>- / -</v>
      </c>
      <c r="Z75" s="46"/>
      <c r="AA75" s="48"/>
      <c r="AB75" s="131" t="s">
        <v>269</v>
      </c>
    </row>
    <row r="76" spans="1:28" ht="21" customHeight="1" thickBot="1" x14ac:dyDescent="0.2">
      <c r="A76" s="123">
        <v>40034374</v>
      </c>
      <c r="B76" s="140" t="s">
        <v>278</v>
      </c>
      <c r="C76" s="46">
        <v>3</v>
      </c>
      <c r="D76" s="46" t="s">
        <v>128</v>
      </c>
      <c r="E76" s="47" t="s">
        <v>407</v>
      </c>
      <c r="F76" s="47" t="s">
        <v>365</v>
      </c>
      <c r="G76" s="59" t="str">
        <f t="shared" si="72"/>
        <v>[effect:enemy_message, val1:1.4, val2:2.4]</v>
      </c>
      <c r="H76" s="59">
        <f t="shared" si="73"/>
        <v>9</v>
      </c>
      <c r="I76" s="59">
        <f t="shared" si="74"/>
        <v>22</v>
      </c>
      <c r="J76" s="59" t="e">
        <f t="shared" si="75"/>
        <v>#VALUE!</v>
      </c>
      <c r="K76" s="59">
        <f t="shared" si="76"/>
        <v>32</v>
      </c>
      <c r="L76" s="59" t="str">
        <f>IFERROR(VLOOKUP(MID(G76,J76,K76-J76),[6]skilldef!$C:$D,2,FALSE),"-") &amp; " / " &amp; IFERROR(VLOOKUP(MID(G76,H76,I76-H76),[6]skilldef!$A:$B,2,FALSE),"-")</f>
        <v>- / -</v>
      </c>
      <c r="M76" s="59" t="str">
        <f t="shared" si="77"/>
        <v>none</v>
      </c>
      <c r="N76" s="44" t="str">
        <f t="shared" si="89"/>
        <v>none</v>
      </c>
      <c r="O76" s="59" t="e">
        <f t="shared" si="79"/>
        <v>#VALUE!</v>
      </c>
      <c r="P76" s="59">
        <f t="shared" si="80"/>
        <v>4</v>
      </c>
      <c r="Q76" s="59" t="e">
        <f t="shared" si="81"/>
        <v>#VALUE!</v>
      </c>
      <c r="R76" s="59" t="e">
        <f t="shared" si="82"/>
        <v>#VALUE!</v>
      </c>
      <c r="S76" s="59" t="str">
        <f>IFERROR(VLOOKUP(MID(N76,Q76,R76-Q76),[6]skilldef!$C:$D,2,FALSE),"-") &amp; " / " &amp; IFERROR(VLOOKUP(MID(N76,O76,P76-O76),[6]skilldef!$A:$B,2,FALSE),"-")</f>
        <v>- / -</v>
      </c>
      <c r="T76" s="44" t="str">
        <f t="shared" si="83"/>
        <v>none</v>
      </c>
      <c r="U76" s="59" t="e">
        <f t="shared" si="84"/>
        <v>#VALUE!</v>
      </c>
      <c r="V76" s="59">
        <f t="shared" si="85"/>
        <v>4</v>
      </c>
      <c r="W76" s="59" t="e">
        <f t="shared" si="86"/>
        <v>#VALUE!</v>
      </c>
      <c r="X76" s="59" t="e">
        <f t="shared" si="87"/>
        <v>#VALUE!</v>
      </c>
      <c r="Y76" s="59" t="str">
        <f>IFERROR(VLOOKUP(MID(T76,W76,X76-W76),[6]skilldef!$C:$D,2,FALSE),"-") &amp; " / " &amp; IFERROR(VLOOKUP(MID(T76,U76,V76-U76),[6]skilldef!$A:$B,2,FALSE),"-")</f>
        <v>- / -</v>
      </c>
      <c r="Z76" s="46"/>
      <c r="AA76" s="48"/>
      <c r="AB76" s="131" t="s">
        <v>269</v>
      </c>
    </row>
    <row r="77" spans="1:28" ht="21" customHeight="1" thickBot="1" x14ac:dyDescent="0.2">
      <c r="A77" s="123">
        <v>40034375</v>
      </c>
      <c r="B77" s="140" t="s">
        <v>278</v>
      </c>
      <c r="C77" s="46">
        <v>3</v>
      </c>
      <c r="D77" s="46" t="s">
        <v>128</v>
      </c>
      <c r="E77" s="47" t="s">
        <v>412</v>
      </c>
      <c r="F77" s="47" t="s">
        <v>472</v>
      </c>
      <c r="G77" s="59" t="str">
        <f t="shared" si="72"/>
        <v>[effect:enemy_message, val1:1.4, val2:2.4]</v>
      </c>
      <c r="H77" s="59">
        <f t="shared" si="73"/>
        <v>9</v>
      </c>
      <c r="I77" s="59">
        <f t="shared" si="74"/>
        <v>22</v>
      </c>
      <c r="J77" s="59" t="e">
        <f t="shared" si="75"/>
        <v>#VALUE!</v>
      </c>
      <c r="K77" s="59">
        <f t="shared" si="76"/>
        <v>32</v>
      </c>
      <c r="L77" s="59" t="str">
        <f>IFERROR(VLOOKUP(MID(G77,J77,K77-J77),[6]skilldef!$C:$D,2,FALSE),"-") &amp; " / " &amp; IFERROR(VLOOKUP(MID(G77,H77,I77-H77),[6]skilldef!$A:$B,2,FALSE),"-")</f>
        <v>- / -</v>
      </c>
      <c r="M77" s="59" t="str">
        <f t="shared" si="77"/>
        <v>none</v>
      </c>
      <c r="N77" s="44" t="str">
        <f t="shared" si="89"/>
        <v>none</v>
      </c>
      <c r="O77" s="59" t="e">
        <f t="shared" si="79"/>
        <v>#VALUE!</v>
      </c>
      <c r="P77" s="59">
        <f t="shared" si="80"/>
        <v>4</v>
      </c>
      <c r="Q77" s="59" t="e">
        <f t="shared" si="81"/>
        <v>#VALUE!</v>
      </c>
      <c r="R77" s="59" t="e">
        <f t="shared" si="82"/>
        <v>#VALUE!</v>
      </c>
      <c r="S77" s="59" t="str">
        <f>IFERROR(VLOOKUP(MID(N77,Q77,R77-Q77),[6]skilldef!$C:$D,2,FALSE),"-") &amp; " / " &amp; IFERROR(VLOOKUP(MID(N77,O77,P77-O77),[6]skilldef!$A:$B,2,FALSE),"-")</f>
        <v>- / -</v>
      </c>
      <c r="T77" s="44" t="str">
        <f t="shared" si="83"/>
        <v>none</v>
      </c>
      <c r="U77" s="59" t="e">
        <f t="shared" si="84"/>
        <v>#VALUE!</v>
      </c>
      <c r="V77" s="59">
        <f t="shared" si="85"/>
        <v>4</v>
      </c>
      <c r="W77" s="59" t="e">
        <f t="shared" si="86"/>
        <v>#VALUE!</v>
      </c>
      <c r="X77" s="59" t="e">
        <f t="shared" si="87"/>
        <v>#VALUE!</v>
      </c>
      <c r="Y77" s="59" t="str">
        <f>IFERROR(VLOOKUP(MID(T77,W77,X77-W77),[6]skilldef!$C:$D,2,FALSE),"-") &amp; " / " &amp; IFERROR(VLOOKUP(MID(T77,U77,V77-U77),[6]skilldef!$A:$B,2,FALSE),"-")</f>
        <v>- / -</v>
      </c>
      <c r="Z77" s="46"/>
      <c r="AA77" s="48"/>
      <c r="AB77" s="131" t="s">
        <v>269</v>
      </c>
    </row>
    <row r="78" spans="1:28" ht="36" customHeight="1" thickBot="1" x14ac:dyDescent="0.2">
      <c r="A78" s="123">
        <v>40034376</v>
      </c>
      <c r="B78" s="139" t="s">
        <v>440</v>
      </c>
      <c r="C78" s="125">
        <v>3</v>
      </c>
      <c r="D78" s="125" t="s">
        <v>128</v>
      </c>
      <c r="E78" s="126" t="s">
        <v>404</v>
      </c>
      <c r="F78" s="126" t="s">
        <v>438</v>
      </c>
      <c r="G78" s="127" t="str">
        <f t="shared" si="72"/>
        <v xml:space="preserve">[effect:drop_block, block_type:jammer, color:block_heart, val:0, rate:0.3, turn:-1, animation:jammer_influence04]    </v>
      </c>
      <c r="H78" s="127">
        <f t="shared" si="73"/>
        <v>9</v>
      </c>
      <c r="I78" s="127">
        <f t="shared" si="74"/>
        <v>19</v>
      </c>
      <c r="J78" s="127" t="e">
        <f t="shared" si="75"/>
        <v>#VALUE!</v>
      </c>
      <c r="K78" s="127">
        <f t="shared" si="76"/>
        <v>38</v>
      </c>
      <c r="L78" s="127" t="str">
        <f>IFERROR(VLOOKUP(MID(G78,J78,K78-J78),[6]skilldef!$C:$D,2,FALSE),"-") &amp; " / " &amp; IFERROR(VLOOKUP(MID(G78,H78,I78-H78),[6]skilldef!$A:$B,2,FALSE),"-")</f>
        <v>- / 特定ブロックの割合ドロップ</v>
      </c>
      <c r="M78" s="127" t="str">
        <f t="shared" si="77"/>
        <v>none</v>
      </c>
      <c r="N78" s="128" t="str">
        <f t="shared" ref="N78:N82" si="90">IFERROR(LEFT(M78,FIND("],",M78)+S88),M78)</f>
        <v>none</v>
      </c>
      <c r="O78" s="127" t="e">
        <f t="shared" si="79"/>
        <v>#VALUE!</v>
      </c>
      <c r="P78" s="127">
        <f t="shared" si="80"/>
        <v>4</v>
      </c>
      <c r="Q78" s="127" t="e">
        <f t="shared" si="81"/>
        <v>#VALUE!</v>
      </c>
      <c r="R78" s="127" t="e">
        <f t="shared" si="82"/>
        <v>#VALUE!</v>
      </c>
      <c r="S78" s="127" t="str">
        <f>IFERROR(VLOOKUP(MID(N78,Q78,R78-Q78),[6]skilldef!$C:$D,2,FALSE),"-") &amp; " / " &amp; IFERROR(VLOOKUP(MID(N78,O78,P78-O78),[6]skilldef!$A:$B,2,FALSE),"-")</f>
        <v>- / -</v>
      </c>
      <c r="T78" s="128" t="str">
        <f t="shared" si="83"/>
        <v>none</v>
      </c>
      <c r="U78" s="127" t="e">
        <f t="shared" si="84"/>
        <v>#VALUE!</v>
      </c>
      <c r="V78" s="127">
        <f t="shared" si="85"/>
        <v>4</v>
      </c>
      <c r="W78" s="127" t="e">
        <f t="shared" si="86"/>
        <v>#VALUE!</v>
      </c>
      <c r="X78" s="127" t="e">
        <f t="shared" si="87"/>
        <v>#VALUE!</v>
      </c>
      <c r="Y78" s="127" t="str">
        <f>IFERROR(VLOOKUP(MID(T78,W78,X78-W78),[6]skilldef!$C:$D,2,FALSE),"-") &amp; " / " &amp; IFERROR(VLOOKUP(MID(T78,U78,V78-U78),[6]skilldef!$A:$B,2,FALSE),"-")</f>
        <v>- / -</v>
      </c>
      <c r="Z78" s="125"/>
      <c r="AA78" s="129"/>
      <c r="AB78" s="130" t="s">
        <v>272</v>
      </c>
    </row>
    <row r="79" spans="1:28" ht="29" thickBot="1" x14ac:dyDescent="0.2">
      <c r="A79" s="123">
        <v>40034377</v>
      </c>
      <c r="B79" s="140" t="s">
        <v>440</v>
      </c>
      <c r="C79" s="46">
        <v>3</v>
      </c>
      <c r="D79" s="46" t="s">
        <v>128</v>
      </c>
      <c r="E79" s="47" t="s">
        <v>410</v>
      </c>
      <c r="F79" s="47" t="s">
        <v>439</v>
      </c>
      <c r="G79" s="59" t="str">
        <f t="shared" si="72"/>
        <v xml:space="preserve">[effect:drop_block, block_type:jammer, color:block_heart, val:0, rate:0.3, turn:-1, animation:jammer_influence04]    </v>
      </c>
      <c r="H79" s="59">
        <f t="shared" si="73"/>
        <v>9</v>
      </c>
      <c r="I79" s="59">
        <f t="shared" si="74"/>
        <v>19</v>
      </c>
      <c r="J79" s="59" t="e">
        <f t="shared" si="75"/>
        <v>#VALUE!</v>
      </c>
      <c r="K79" s="59">
        <f t="shared" si="76"/>
        <v>38</v>
      </c>
      <c r="L79" s="59" t="str">
        <f>IFERROR(VLOOKUP(MID(G79,J79,K79-J79),[6]skilldef!$C:$D,2,FALSE),"-") &amp; " / " &amp; IFERROR(VLOOKUP(MID(G79,H79,I79-H79),[6]skilldef!$A:$B,2,FALSE),"-")</f>
        <v>- / 特定ブロックの割合ドロップ</v>
      </c>
      <c r="M79" s="59" t="str">
        <f t="shared" si="77"/>
        <v>none</v>
      </c>
      <c r="N79" s="44" t="str">
        <f t="shared" si="90"/>
        <v>none</v>
      </c>
      <c r="O79" s="59" t="e">
        <f t="shared" si="79"/>
        <v>#VALUE!</v>
      </c>
      <c r="P79" s="59">
        <f t="shared" si="80"/>
        <v>4</v>
      </c>
      <c r="Q79" s="59" t="e">
        <f t="shared" si="81"/>
        <v>#VALUE!</v>
      </c>
      <c r="R79" s="59" t="e">
        <f t="shared" si="82"/>
        <v>#VALUE!</v>
      </c>
      <c r="S79" s="59" t="str">
        <f>IFERROR(VLOOKUP(MID(N79,Q79,R79-Q79),[6]skilldef!$C:$D,2,FALSE),"-") &amp; " / " &amp; IFERROR(VLOOKUP(MID(N79,O79,P79-O79),[6]skilldef!$A:$B,2,FALSE),"-")</f>
        <v>- / -</v>
      </c>
      <c r="T79" s="44" t="str">
        <f t="shared" si="83"/>
        <v>none</v>
      </c>
      <c r="U79" s="59" t="e">
        <f t="shared" si="84"/>
        <v>#VALUE!</v>
      </c>
      <c r="V79" s="59">
        <f t="shared" si="85"/>
        <v>4</v>
      </c>
      <c r="W79" s="59" t="e">
        <f t="shared" si="86"/>
        <v>#VALUE!</v>
      </c>
      <c r="X79" s="59" t="e">
        <f t="shared" si="87"/>
        <v>#VALUE!</v>
      </c>
      <c r="Y79" s="59" t="str">
        <f>IFERROR(VLOOKUP(MID(T79,W79,X79-W79),[6]skilldef!$C:$D,2,FALSE),"-") &amp; " / " &amp; IFERROR(VLOOKUP(MID(T79,U79,V79-U79),[6]skilldef!$A:$B,2,FALSE),"-")</f>
        <v>- / -</v>
      </c>
      <c r="Z79" s="46"/>
      <c r="AA79" s="48"/>
      <c r="AB79" s="131" t="s">
        <v>283</v>
      </c>
    </row>
    <row r="80" spans="1:28" ht="29" thickBot="1" x14ac:dyDescent="0.2">
      <c r="A80" s="123">
        <v>40034378</v>
      </c>
      <c r="B80" s="140" t="s">
        <v>440</v>
      </c>
      <c r="C80" s="46">
        <v>3</v>
      </c>
      <c r="D80" s="46" t="s">
        <v>128</v>
      </c>
      <c r="E80" s="47" t="s">
        <v>413</v>
      </c>
      <c r="F80" s="47" t="s">
        <v>439</v>
      </c>
      <c r="G80" s="59" t="str">
        <f t="shared" si="72"/>
        <v xml:space="preserve">[effect:drop_block, block_type:jammer, color:block_heart, val:0, rate:0.3, turn:-1, animation:jammer_influence04]    </v>
      </c>
      <c r="H80" s="59">
        <f t="shared" si="73"/>
        <v>9</v>
      </c>
      <c r="I80" s="59">
        <f t="shared" si="74"/>
        <v>19</v>
      </c>
      <c r="J80" s="59" t="e">
        <f t="shared" si="75"/>
        <v>#VALUE!</v>
      </c>
      <c r="K80" s="59">
        <f t="shared" si="76"/>
        <v>38</v>
      </c>
      <c r="L80" s="59" t="str">
        <f>IFERROR(VLOOKUP(MID(G80,J80,K80-J80),[6]skilldef!$C:$D,2,FALSE),"-") &amp; " / " &amp; IFERROR(VLOOKUP(MID(G80,H80,I80-H80),[6]skilldef!$A:$B,2,FALSE),"-")</f>
        <v>- / 特定ブロックの割合ドロップ</v>
      </c>
      <c r="M80" s="59" t="str">
        <f t="shared" si="77"/>
        <v>none</v>
      </c>
      <c r="N80" s="44" t="str">
        <f t="shared" si="90"/>
        <v>none</v>
      </c>
      <c r="O80" s="59" t="e">
        <f t="shared" si="79"/>
        <v>#VALUE!</v>
      </c>
      <c r="P80" s="59">
        <f t="shared" si="80"/>
        <v>4</v>
      </c>
      <c r="Q80" s="59" t="e">
        <f t="shared" si="81"/>
        <v>#VALUE!</v>
      </c>
      <c r="R80" s="59" t="e">
        <f t="shared" si="82"/>
        <v>#VALUE!</v>
      </c>
      <c r="S80" s="59" t="str">
        <f>IFERROR(VLOOKUP(MID(N80,Q80,R80-Q80),[6]skilldef!$C:$D,2,FALSE),"-") &amp; " / " &amp; IFERROR(VLOOKUP(MID(N80,O80,P80-O80),[6]skilldef!$A:$B,2,FALSE),"-")</f>
        <v>- / -</v>
      </c>
      <c r="T80" s="44" t="str">
        <f t="shared" si="83"/>
        <v>none</v>
      </c>
      <c r="U80" s="59" t="e">
        <f t="shared" si="84"/>
        <v>#VALUE!</v>
      </c>
      <c r="V80" s="59">
        <f t="shared" si="85"/>
        <v>4</v>
      </c>
      <c r="W80" s="59" t="e">
        <f t="shared" si="86"/>
        <v>#VALUE!</v>
      </c>
      <c r="X80" s="59" t="e">
        <f t="shared" si="87"/>
        <v>#VALUE!</v>
      </c>
      <c r="Y80" s="59" t="str">
        <f>IFERROR(VLOOKUP(MID(T80,W80,X80-W80),[6]skilldef!$C:$D,2,FALSE),"-") &amp; " / " &amp; IFERROR(VLOOKUP(MID(T80,U80,V80-U80),[6]skilldef!$A:$B,2,FALSE),"-")</f>
        <v>- / -</v>
      </c>
      <c r="Z80" s="46"/>
      <c r="AA80" s="48"/>
      <c r="AB80" s="131" t="s">
        <v>284</v>
      </c>
    </row>
    <row r="81" spans="1:28" ht="29" thickBot="1" x14ac:dyDescent="0.2">
      <c r="A81" s="123">
        <v>40034379</v>
      </c>
      <c r="B81" s="140" t="s">
        <v>440</v>
      </c>
      <c r="C81" s="46">
        <v>3</v>
      </c>
      <c r="D81" s="46" t="s">
        <v>128</v>
      </c>
      <c r="E81" s="47" t="s">
        <v>414</v>
      </c>
      <c r="F81" s="47" t="s">
        <v>439</v>
      </c>
      <c r="G81" s="59" t="str">
        <f t="shared" si="72"/>
        <v xml:space="preserve">[effect:drop_block, block_type:jammer, color:block_heart, val:0, rate:0.3, turn:-1, animation:jammer_influence04]    </v>
      </c>
      <c r="H81" s="59">
        <f t="shared" si="73"/>
        <v>9</v>
      </c>
      <c r="I81" s="59">
        <f t="shared" si="74"/>
        <v>19</v>
      </c>
      <c r="J81" s="59" t="e">
        <f t="shared" si="75"/>
        <v>#VALUE!</v>
      </c>
      <c r="K81" s="59">
        <f t="shared" si="76"/>
        <v>38</v>
      </c>
      <c r="L81" s="59" t="str">
        <f>IFERROR(VLOOKUP(MID(G81,J81,K81-J81),[6]skilldef!$C:$D,2,FALSE),"-") &amp; " / " &amp; IFERROR(VLOOKUP(MID(G81,H81,I81-H81),[6]skilldef!$A:$B,2,FALSE),"-")</f>
        <v>- / 特定ブロックの割合ドロップ</v>
      </c>
      <c r="M81" s="59" t="str">
        <f t="shared" si="77"/>
        <v>none</v>
      </c>
      <c r="N81" s="44" t="str">
        <f t="shared" si="90"/>
        <v>none</v>
      </c>
      <c r="O81" s="59" t="e">
        <f t="shared" si="79"/>
        <v>#VALUE!</v>
      </c>
      <c r="P81" s="59">
        <f t="shared" si="80"/>
        <v>4</v>
      </c>
      <c r="Q81" s="59" t="e">
        <f t="shared" si="81"/>
        <v>#VALUE!</v>
      </c>
      <c r="R81" s="59" t="e">
        <f t="shared" si="82"/>
        <v>#VALUE!</v>
      </c>
      <c r="S81" s="59" t="str">
        <f>IFERROR(VLOOKUP(MID(N81,Q81,R81-Q81),[6]skilldef!$C:$D,2,FALSE),"-") &amp; " / " &amp; IFERROR(VLOOKUP(MID(N81,O81,P81-O81),[6]skilldef!$A:$B,2,FALSE),"-")</f>
        <v>- / -</v>
      </c>
      <c r="T81" s="44" t="str">
        <f t="shared" si="83"/>
        <v>none</v>
      </c>
      <c r="U81" s="59" t="e">
        <f t="shared" si="84"/>
        <v>#VALUE!</v>
      </c>
      <c r="V81" s="59">
        <f t="shared" si="85"/>
        <v>4</v>
      </c>
      <c r="W81" s="59" t="e">
        <f t="shared" si="86"/>
        <v>#VALUE!</v>
      </c>
      <c r="X81" s="59" t="e">
        <f t="shared" si="87"/>
        <v>#VALUE!</v>
      </c>
      <c r="Y81" s="59" t="str">
        <f>IFERROR(VLOOKUP(MID(T81,W81,X81-W81),[6]skilldef!$C:$D,2,FALSE),"-") &amp; " / " &amp; IFERROR(VLOOKUP(MID(T81,U81,V81-U81),[6]skilldef!$A:$B,2,FALSE),"-")</f>
        <v>- / -</v>
      </c>
      <c r="Z81" s="46"/>
      <c r="AA81" s="48"/>
      <c r="AB81" s="131" t="s">
        <v>285</v>
      </c>
    </row>
    <row r="82" spans="1:28" ht="28" x14ac:dyDescent="0.15">
      <c r="A82" s="123">
        <v>40034380</v>
      </c>
      <c r="B82" s="140" t="s">
        <v>440</v>
      </c>
      <c r="C82" s="46">
        <v>3</v>
      </c>
      <c r="D82" s="46" t="s">
        <v>128</v>
      </c>
      <c r="E82" s="47" t="s">
        <v>326</v>
      </c>
      <c r="F82" s="47" t="s">
        <v>439</v>
      </c>
      <c r="G82" s="59" t="str">
        <f t="shared" si="72"/>
        <v xml:space="preserve">[effect:drop_block, block_type:jammer, color:block_heart, val:0, rate:0.3, turn:-1, animation:jammer_influence04]    </v>
      </c>
      <c r="H82" s="59">
        <f t="shared" si="73"/>
        <v>9</v>
      </c>
      <c r="I82" s="59">
        <f t="shared" si="74"/>
        <v>19</v>
      </c>
      <c r="J82" s="59" t="e">
        <f t="shared" si="75"/>
        <v>#VALUE!</v>
      </c>
      <c r="K82" s="59">
        <f t="shared" si="76"/>
        <v>38</v>
      </c>
      <c r="L82" s="59" t="str">
        <f>IFERROR(VLOOKUP(MID(G82,J82,K82-J82),[6]skilldef!$C:$D,2,FALSE),"-") &amp; " / " &amp; IFERROR(VLOOKUP(MID(G82,H82,I82-H82),[6]skilldef!$A:$B,2,FALSE),"-")</f>
        <v>- / 特定ブロックの割合ドロップ</v>
      </c>
      <c r="M82" s="59" t="str">
        <f t="shared" si="77"/>
        <v>none</v>
      </c>
      <c r="N82" s="44" t="str">
        <f t="shared" si="90"/>
        <v>none</v>
      </c>
      <c r="O82" s="59" t="e">
        <f t="shared" si="79"/>
        <v>#VALUE!</v>
      </c>
      <c r="P82" s="59">
        <f t="shared" si="80"/>
        <v>4</v>
      </c>
      <c r="Q82" s="59" t="e">
        <f t="shared" si="81"/>
        <v>#VALUE!</v>
      </c>
      <c r="R82" s="59" t="e">
        <f t="shared" si="82"/>
        <v>#VALUE!</v>
      </c>
      <c r="S82" s="59" t="str">
        <f>IFERROR(VLOOKUP(MID(N82,Q82,R82-Q82),[6]skilldef!$C:$D,2,FALSE),"-") &amp; " / " &amp; IFERROR(VLOOKUP(MID(N82,O82,P82-O82),[6]skilldef!$A:$B,2,FALSE),"-")</f>
        <v>- / -</v>
      </c>
      <c r="T82" s="44" t="str">
        <f t="shared" si="83"/>
        <v>none</v>
      </c>
      <c r="U82" s="59" t="e">
        <f t="shared" si="84"/>
        <v>#VALUE!</v>
      </c>
      <c r="V82" s="59">
        <f t="shared" si="85"/>
        <v>4</v>
      </c>
      <c r="W82" s="59" t="e">
        <f t="shared" si="86"/>
        <v>#VALUE!</v>
      </c>
      <c r="X82" s="59" t="e">
        <f t="shared" si="87"/>
        <v>#VALUE!</v>
      </c>
      <c r="Y82" s="59" t="str">
        <f>IFERROR(VLOOKUP(MID(T82,W82,X82-W82),[6]skilldef!$C:$D,2,FALSE),"-") &amp; " / " &amp; IFERROR(VLOOKUP(MID(T82,U82,V82-U82),[6]skilldef!$A:$B,2,FALSE),"-")</f>
        <v>- / -</v>
      </c>
      <c r="Z82" s="46"/>
      <c r="AA82" s="48"/>
      <c r="AB82" s="131" t="s">
        <v>286</v>
      </c>
    </row>
  </sheetData>
  <autoFilter ref="A1:AB1"/>
  <phoneticPr fontId="5"/>
  <pageMargins left="0.75" right="0.75" top="1" bottom="1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 enableFormatConditionsCalculation="0">
    <tabColor rgb="FF0000FF"/>
  </sheetPr>
  <dimension ref="A1:K67"/>
  <sheetViews>
    <sheetView showGridLines="0" workbookViewId="0">
      <pane ySplit="1" topLeftCell="A2" activePane="bottomLeft" state="frozenSplit"/>
      <selection pane="bottomLeft" activeCell="C24" sqref="C24"/>
    </sheetView>
  </sheetViews>
  <sheetFormatPr baseColWidth="12" defaultColWidth="12.83203125" defaultRowHeight="21" customHeight="1" x14ac:dyDescent="0.15"/>
  <cols>
    <col min="1" max="1" width="16.1640625" style="45" bestFit="1" customWidth="1"/>
    <col min="2" max="2" width="13.33203125" style="45" bestFit="1" customWidth="1"/>
    <col min="3" max="3" width="11.83203125" style="45" bestFit="1" customWidth="1"/>
    <col min="4" max="4" width="14.6640625" style="45" bestFit="1" customWidth="1"/>
    <col min="5" max="5" width="15.6640625" style="45" bestFit="1" customWidth="1"/>
    <col min="6" max="6" width="17" style="45" bestFit="1" customWidth="1"/>
    <col min="7" max="7" width="15.6640625" style="45" bestFit="1" customWidth="1"/>
    <col min="8" max="9" width="14.6640625" style="45" customWidth="1"/>
    <col min="10" max="10" width="14.6640625" style="45" bestFit="1" customWidth="1"/>
    <col min="11" max="11" width="22.83203125" style="39" bestFit="1" customWidth="1"/>
    <col min="12" max="16384" width="12.83203125" style="41"/>
  </cols>
  <sheetData>
    <row r="1" spans="1:11" ht="21" customHeight="1" thickBot="1" x14ac:dyDescent="0.2">
      <c r="A1" s="49" t="s">
        <v>84</v>
      </c>
      <c r="B1" s="49" t="s">
        <v>85</v>
      </c>
      <c r="C1" s="49" t="s">
        <v>86</v>
      </c>
      <c r="D1" s="49" t="s">
        <v>87</v>
      </c>
      <c r="E1" s="49" t="s">
        <v>70</v>
      </c>
      <c r="F1" s="49" t="s">
        <v>71</v>
      </c>
      <c r="G1" s="49" t="s">
        <v>72</v>
      </c>
      <c r="H1" s="49" t="s">
        <v>73</v>
      </c>
      <c r="I1" s="49" t="s">
        <v>74</v>
      </c>
      <c r="J1" s="49" t="s">
        <v>75</v>
      </c>
      <c r="K1" s="50" t="s">
        <v>88</v>
      </c>
    </row>
    <row r="2" spans="1:11" ht="21" customHeight="1" thickBot="1" x14ac:dyDescent="0.2">
      <c r="A2" s="123">
        <v>40034600</v>
      </c>
      <c r="B2" s="124">
        <v>1</v>
      </c>
      <c r="C2" s="124">
        <v>100</v>
      </c>
      <c r="D2" s="124">
        <v>100</v>
      </c>
      <c r="E2" s="124" t="s">
        <v>320</v>
      </c>
      <c r="F2" s="124" t="s">
        <v>90</v>
      </c>
      <c r="G2" s="124">
        <v>1</v>
      </c>
      <c r="H2" s="124" t="s">
        <v>90</v>
      </c>
      <c r="I2" s="124" t="s">
        <v>90</v>
      </c>
      <c r="J2" s="159">
        <f t="shared" ref="J2" si="0">D2</f>
        <v>100</v>
      </c>
    </row>
    <row r="3" spans="1:11" ht="21" customHeight="1" thickBot="1" x14ac:dyDescent="0.2">
      <c r="A3" s="123">
        <v>40034601</v>
      </c>
      <c r="B3" s="43">
        <v>0</v>
      </c>
      <c r="C3" s="43">
        <v>99</v>
      </c>
      <c r="D3" s="43">
        <v>100</v>
      </c>
      <c r="E3" s="43" t="s">
        <v>320</v>
      </c>
      <c r="F3" s="43" t="s">
        <v>90</v>
      </c>
      <c r="G3" s="43">
        <v>1</v>
      </c>
      <c r="H3" s="43" t="s">
        <v>90</v>
      </c>
      <c r="I3" s="43" t="s">
        <v>90</v>
      </c>
      <c r="J3" s="160">
        <f t="shared" ref="J3:J36" si="1">D3</f>
        <v>100</v>
      </c>
    </row>
    <row r="4" spans="1:11" ht="21" customHeight="1" thickBot="1" x14ac:dyDescent="0.2">
      <c r="A4" s="123">
        <v>40034602</v>
      </c>
      <c r="B4" s="132">
        <v>0</v>
      </c>
      <c r="C4" s="132">
        <v>98</v>
      </c>
      <c r="D4" s="132">
        <v>100</v>
      </c>
      <c r="E4" s="132" t="s">
        <v>320</v>
      </c>
      <c r="F4" s="132" t="s">
        <v>90</v>
      </c>
      <c r="G4" s="132">
        <v>1</v>
      </c>
      <c r="H4" s="132" t="s">
        <v>90</v>
      </c>
      <c r="I4" s="132" t="s">
        <v>90</v>
      </c>
      <c r="J4" s="161">
        <f t="shared" si="1"/>
        <v>100</v>
      </c>
    </row>
    <row r="5" spans="1:11" ht="21" customHeight="1" thickBot="1" x14ac:dyDescent="0.2">
      <c r="A5" s="123">
        <v>40034603</v>
      </c>
      <c r="B5" s="124">
        <v>1</v>
      </c>
      <c r="C5" s="124">
        <v>100</v>
      </c>
      <c r="D5" s="124">
        <v>100</v>
      </c>
      <c r="E5" s="124" t="s">
        <v>320</v>
      </c>
      <c r="F5" s="124" t="s">
        <v>90</v>
      </c>
      <c r="G5" s="124">
        <v>1</v>
      </c>
      <c r="H5" s="124" t="s">
        <v>90</v>
      </c>
      <c r="I5" s="124" t="s">
        <v>90</v>
      </c>
      <c r="J5" s="159">
        <f t="shared" si="1"/>
        <v>100</v>
      </c>
    </row>
    <row r="6" spans="1:11" ht="21" customHeight="1" thickBot="1" x14ac:dyDescent="0.2">
      <c r="A6" s="123">
        <v>40034604</v>
      </c>
      <c r="B6" s="43">
        <v>0</v>
      </c>
      <c r="C6" s="43">
        <v>99</v>
      </c>
      <c r="D6" s="43">
        <v>100</v>
      </c>
      <c r="E6" s="43" t="s">
        <v>320</v>
      </c>
      <c r="F6" s="43" t="s">
        <v>90</v>
      </c>
      <c r="G6" s="43">
        <v>1</v>
      </c>
      <c r="H6" s="43" t="s">
        <v>90</v>
      </c>
      <c r="I6" s="43" t="s">
        <v>90</v>
      </c>
      <c r="J6" s="160">
        <f t="shared" si="1"/>
        <v>100</v>
      </c>
    </row>
    <row r="7" spans="1:11" ht="21" customHeight="1" thickBot="1" x14ac:dyDescent="0.2">
      <c r="A7" s="123">
        <v>40034605</v>
      </c>
      <c r="B7" s="132">
        <v>0</v>
      </c>
      <c r="C7" s="132">
        <v>98</v>
      </c>
      <c r="D7" s="132">
        <v>100</v>
      </c>
      <c r="E7" s="132" t="s">
        <v>320</v>
      </c>
      <c r="F7" s="132" t="s">
        <v>90</v>
      </c>
      <c r="G7" s="132">
        <v>1</v>
      </c>
      <c r="H7" s="132" t="s">
        <v>90</v>
      </c>
      <c r="I7" s="132" t="s">
        <v>90</v>
      </c>
      <c r="J7" s="161">
        <f t="shared" si="1"/>
        <v>100</v>
      </c>
    </row>
    <row r="8" spans="1:11" ht="21" customHeight="1" thickBot="1" x14ac:dyDescent="0.2">
      <c r="A8" s="123">
        <v>40034606</v>
      </c>
      <c r="B8" s="124">
        <v>1</v>
      </c>
      <c r="C8" s="124">
        <v>100</v>
      </c>
      <c r="D8" s="124">
        <v>100</v>
      </c>
      <c r="E8" s="124" t="s">
        <v>320</v>
      </c>
      <c r="F8" s="124" t="s">
        <v>90</v>
      </c>
      <c r="G8" s="124">
        <v>1</v>
      </c>
      <c r="H8" s="124" t="s">
        <v>90</v>
      </c>
      <c r="I8" s="124" t="s">
        <v>90</v>
      </c>
      <c r="J8" s="159">
        <f t="shared" si="1"/>
        <v>100</v>
      </c>
    </row>
    <row r="9" spans="1:11" ht="21" customHeight="1" thickBot="1" x14ac:dyDescent="0.2">
      <c r="A9" s="123">
        <v>40034607</v>
      </c>
      <c r="B9" s="43">
        <v>0</v>
      </c>
      <c r="C9" s="43">
        <v>99</v>
      </c>
      <c r="D9" s="43">
        <v>33</v>
      </c>
      <c r="E9" s="43" t="s">
        <v>320</v>
      </c>
      <c r="F9" s="43" t="s">
        <v>90</v>
      </c>
      <c r="G9" s="43" t="s">
        <v>90</v>
      </c>
      <c r="H9" s="43" t="s">
        <v>90</v>
      </c>
      <c r="I9" s="43" t="s">
        <v>90</v>
      </c>
      <c r="J9" s="160">
        <f t="shared" si="1"/>
        <v>33</v>
      </c>
    </row>
    <row r="10" spans="1:11" ht="21" customHeight="1" thickBot="1" x14ac:dyDescent="0.2">
      <c r="A10" s="123">
        <v>40034608</v>
      </c>
      <c r="B10" s="43">
        <v>0</v>
      </c>
      <c r="C10" s="43">
        <v>98</v>
      </c>
      <c r="D10" s="43">
        <v>50</v>
      </c>
      <c r="E10" s="43" t="s">
        <v>320</v>
      </c>
      <c r="F10" s="43" t="s">
        <v>90</v>
      </c>
      <c r="G10" s="43" t="s">
        <v>90</v>
      </c>
      <c r="H10" s="43" t="s">
        <v>90</v>
      </c>
      <c r="I10" s="43" t="s">
        <v>90</v>
      </c>
      <c r="J10" s="160">
        <f t="shared" si="1"/>
        <v>50</v>
      </c>
    </row>
    <row r="11" spans="1:11" ht="21" customHeight="1" thickBot="1" x14ac:dyDescent="0.2">
      <c r="A11" s="123">
        <v>40034609</v>
      </c>
      <c r="B11" s="132">
        <v>0</v>
      </c>
      <c r="C11" s="132">
        <v>97</v>
      </c>
      <c r="D11" s="132">
        <v>100</v>
      </c>
      <c r="E11" s="132" t="s">
        <v>320</v>
      </c>
      <c r="F11" s="132" t="s">
        <v>90</v>
      </c>
      <c r="G11" s="132" t="s">
        <v>90</v>
      </c>
      <c r="H11" s="132" t="s">
        <v>90</v>
      </c>
      <c r="I11" s="132" t="s">
        <v>90</v>
      </c>
      <c r="J11" s="161">
        <f t="shared" si="1"/>
        <v>100</v>
      </c>
    </row>
    <row r="12" spans="1:11" ht="21" customHeight="1" thickBot="1" x14ac:dyDescent="0.2">
      <c r="A12" s="123">
        <v>40034610</v>
      </c>
      <c r="B12" s="157">
        <v>1</v>
      </c>
      <c r="C12" s="157">
        <v>90</v>
      </c>
      <c r="D12" s="157">
        <v>100</v>
      </c>
      <c r="E12" s="157" t="s">
        <v>320</v>
      </c>
      <c r="F12" s="157" t="s">
        <v>90</v>
      </c>
      <c r="G12" s="157">
        <v>1</v>
      </c>
      <c r="H12" s="157" t="s">
        <v>90</v>
      </c>
      <c r="I12" s="157" t="s">
        <v>90</v>
      </c>
      <c r="J12" s="158">
        <f t="shared" si="1"/>
        <v>100</v>
      </c>
    </row>
    <row r="13" spans="1:11" ht="21" customHeight="1" thickBot="1" x14ac:dyDescent="0.2">
      <c r="A13" s="123">
        <v>40034611</v>
      </c>
      <c r="B13" s="43">
        <v>1</v>
      </c>
      <c r="C13" s="43">
        <v>97</v>
      </c>
      <c r="D13" s="43">
        <v>100</v>
      </c>
      <c r="E13" s="43" t="s">
        <v>320</v>
      </c>
      <c r="F13" s="43" t="s">
        <v>90</v>
      </c>
      <c r="G13" s="43">
        <v>1</v>
      </c>
      <c r="H13" s="43" t="s">
        <v>90</v>
      </c>
      <c r="I13" s="43">
        <v>648</v>
      </c>
      <c r="J13" s="44">
        <f t="shared" si="1"/>
        <v>100</v>
      </c>
    </row>
    <row r="14" spans="1:11" ht="21" customHeight="1" thickBot="1" x14ac:dyDescent="0.2">
      <c r="A14" s="123">
        <v>40034612</v>
      </c>
      <c r="B14" s="43">
        <v>1</v>
      </c>
      <c r="C14" s="43">
        <v>96</v>
      </c>
      <c r="D14" s="43">
        <v>100</v>
      </c>
      <c r="E14" s="43" t="s">
        <v>320</v>
      </c>
      <c r="F14" s="43" t="s">
        <v>90</v>
      </c>
      <c r="G14" s="43">
        <v>1</v>
      </c>
      <c r="H14" s="43" t="s">
        <v>90</v>
      </c>
      <c r="I14" s="43">
        <v>649</v>
      </c>
      <c r="J14" s="44">
        <f t="shared" si="1"/>
        <v>100</v>
      </c>
    </row>
    <row r="15" spans="1:11" ht="21" customHeight="1" thickBot="1" x14ac:dyDescent="0.2">
      <c r="A15" s="123">
        <v>40034613</v>
      </c>
      <c r="B15" s="43">
        <v>1</v>
      </c>
      <c r="C15" s="43">
        <v>95</v>
      </c>
      <c r="D15" s="43">
        <v>100</v>
      </c>
      <c r="E15" s="43" t="s">
        <v>320</v>
      </c>
      <c r="F15" s="43" t="s">
        <v>90</v>
      </c>
      <c r="G15" s="43">
        <v>1</v>
      </c>
      <c r="H15" s="43" t="s">
        <v>90</v>
      </c>
      <c r="I15" s="43">
        <v>1155</v>
      </c>
      <c r="J15" s="44">
        <f t="shared" si="1"/>
        <v>100</v>
      </c>
    </row>
    <row r="16" spans="1:11" ht="21" customHeight="1" thickBot="1" x14ac:dyDescent="0.2">
      <c r="A16" s="123">
        <v>40034614</v>
      </c>
      <c r="B16" s="43">
        <v>1</v>
      </c>
      <c r="C16" s="43">
        <v>94</v>
      </c>
      <c r="D16" s="43">
        <v>100</v>
      </c>
      <c r="E16" s="43" t="s">
        <v>320</v>
      </c>
      <c r="F16" s="43" t="s">
        <v>90</v>
      </c>
      <c r="G16" s="43">
        <v>1</v>
      </c>
      <c r="H16" s="43" t="s">
        <v>90</v>
      </c>
      <c r="I16" s="43">
        <v>1156</v>
      </c>
      <c r="J16" s="44">
        <f t="shared" si="1"/>
        <v>100</v>
      </c>
    </row>
    <row r="17" spans="1:11" ht="21" customHeight="1" thickBot="1" x14ac:dyDescent="0.2">
      <c r="A17" s="123">
        <v>40034615</v>
      </c>
      <c r="B17" s="43">
        <v>1</v>
      </c>
      <c r="C17" s="43">
        <v>100</v>
      </c>
      <c r="D17" s="43">
        <v>100</v>
      </c>
      <c r="E17" s="43" t="s">
        <v>320</v>
      </c>
      <c r="F17" s="43" t="s">
        <v>90</v>
      </c>
      <c r="G17" s="43">
        <v>1</v>
      </c>
      <c r="H17" s="43" t="s">
        <v>90</v>
      </c>
      <c r="I17" s="43">
        <v>656</v>
      </c>
      <c r="J17" s="44">
        <f t="shared" si="1"/>
        <v>100</v>
      </c>
    </row>
    <row r="18" spans="1:11" ht="21" customHeight="1" thickBot="1" x14ac:dyDescent="0.2">
      <c r="A18" s="123">
        <v>40034616</v>
      </c>
      <c r="B18" s="43">
        <v>1</v>
      </c>
      <c r="C18" s="43">
        <v>99</v>
      </c>
      <c r="D18" s="43">
        <v>100</v>
      </c>
      <c r="E18" s="43" t="s">
        <v>320</v>
      </c>
      <c r="F18" s="43" t="s">
        <v>90</v>
      </c>
      <c r="G18" s="43">
        <v>1</v>
      </c>
      <c r="H18" s="43" t="s">
        <v>90</v>
      </c>
      <c r="I18" s="43">
        <v>657</v>
      </c>
      <c r="J18" s="44">
        <f t="shared" si="1"/>
        <v>100</v>
      </c>
    </row>
    <row r="19" spans="1:11" ht="21" customHeight="1" thickBot="1" x14ac:dyDescent="0.2">
      <c r="A19" s="123">
        <v>40034617</v>
      </c>
      <c r="B19" s="43">
        <v>1</v>
      </c>
      <c r="C19" s="43">
        <v>98</v>
      </c>
      <c r="D19" s="43">
        <v>100</v>
      </c>
      <c r="E19" s="43" t="s">
        <v>320</v>
      </c>
      <c r="F19" s="43" t="s">
        <v>90</v>
      </c>
      <c r="G19" s="43">
        <v>1</v>
      </c>
      <c r="H19" s="43" t="s">
        <v>90</v>
      </c>
      <c r="I19" s="43">
        <v>834</v>
      </c>
      <c r="J19" s="44">
        <f t="shared" si="1"/>
        <v>100</v>
      </c>
    </row>
    <row r="20" spans="1:11" ht="21" customHeight="1" thickBot="1" x14ac:dyDescent="0.2">
      <c r="A20" s="123">
        <v>40034618</v>
      </c>
      <c r="B20" s="43">
        <v>1</v>
      </c>
      <c r="C20" s="43">
        <v>93</v>
      </c>
      <c r="D20" s="43">
        <v>100</v>
      </c>
      <c r="E20" s="43" t="s">
        <v>320</v>
      </c>
      <c r="F20" s="43" t="s">
        <v>90</v>
      </c>
      <c r="G20" s="43">
        <v>1</v>
      </c>
      <c r="H20" s="43" t="s">
        <v>90</v>
      </c>
      <c r="I20" s="43">
        <v>642</v>
      </c>
      <c r="J20" s="44">
        <f t="shared" si="1"/>
        <v>100</v>
      </c>
    </row>
    <row r="21" spans="1:11" ht="21" customHeight="1" thickBot="1" x14ac:dyDescent="0.2">
      <c r="A21" s="123">
        <v>40034619</v>
      </c>
      <c r="B21" s="43">
        <v>1</v>
      </c>
      <c r="C21" s="43">
        <v>92</v>
      </c>
      <c r="D21" s="43">
        <v>100</v>
      </c>
      <c r="E21" s="43" t="s">
        <v>320</v>
      </c>
      <c r="F21" s="43" t="s">
        <v>90</v>
      </c>
      <c r="G21" s="43">
        <v>1</v>
      </c>
      <c r="H21" s="43" t="s">
        <v>90</v>
      </c>
      <c r="I21" s="43">
        <v>643</v>
      </c>
      <c r="J21" s="44">
        <f t="shared" si="1"/>
        <v>100</v>
      </c>
    </row>
    <row r="22" spans="1:11" ht="21" customHeight="1" thickBot="1" x14ac:dyDescent="0.2">
      <c r="A22" s="123">
        <v>40034620</v>
      </c>
      <c r="B22" s="43">
        <v>1</v>
      </c>
      <c r="C22" s="43">
        <v>91</v>
      </c>
      <c r="D22" s="43">
        <v>100</v>
      </c>
      <c r="E22" s="43" t="s">
        <v>320</v>
      </c>
      <c r="F22" s="43" t="s">
        <v>90</v>
      </c>
      <c r="G22" s="43" t="s">
        <v>90</v>
      </c>
      <c r="H22" s="43" t="s">
        <v>90</v>
      </c>
      <c r="I22" s="43">
        <v>836</v>
      </c>
      <c r="J22" s="44">
        <f t="shared" si="1"/>
        <v>100</v>
      </c>
    </row>
    <row r="23" spans="1:11" ht="21" customHeight="1" thickBot="1" x14ac:dyDescent="0.2">
      <c r="A23" s="123">
        <v>40034621</v>
      </c>
      <c r="B23" s="43">
        <v>0</v>
      </c>
      <c r="C23" s="43">
        <v>89</v>
      </c>
      <c r="D23" s="43">
        <v>25</v>
      </c>
      <c r="E23" s="43" t="s">
        <v>320</v>
      </c>
      <c r="F23" s="43" t="s">
        <v>90</v>
      </c>
      <c r="G23" s="43" t="s">
        <v>90</v>
      </c>
      <c r="H23" s="43" t="s">
        <v>90</v>
      </c>
      <c r="I23" s="43" t="s">
        <v>90</v>
      </c>
      <c r="J23" s="44">
        <f t="shared" si="1"/>
        <v>25</v>
      </c>
    </row>
    <row r="24" spans="1:11" ht="21" customHeight="1" thickBot="1" x14ac:dyDescent="0.2">
      <c r="A24" s="123">
        <v>40034622</v>
      </c>
      <c r="B24" s="43">
        <v>0</v>
      </c>
      <c r="C24" s="43">
        <v>88</v>
      </c>
      <c r="D24" s="43">
        <v>33</v>
      </c>
      <c r="E24" s="43" t="s">
        <v>320</v>
      </c>
      <c r="F24" s="43" t="s">
        <v>90</v>
      </c>
      <c r="G24" s="43" t="s">
        <v>90</v>
      </c>
      <c r="H24" s="43" t="s">
        <v>90</v>
      </c>
      <c r="I24" s="43" t="s">
        <v>90</v>
      </c>
      <c r="J24" s="44">
        <f t="shared" si="1"/>
        <v>33</v>
      </c>
    </row>
    <row r="25" spans="1:11" ht="21" customHeight="1" thickBot="1" x14ac:dyDescent="0.2">
      <c r="A25" s="123">
        <v>40034623</v>
      </c>
      <c r="B25" s="43">
        <v>0</v>
      </c>
      <c r="C25" s="43">
        <v>87</v>
      </c>
      <c r="D25" s="43">
        <v>50</v>
      </c>
      <c r="E25" s="43" t="s">
        <v>320</v>
      </c>
      <c r="F25" s="43" t="s">
        <v>90</v>
      </c>
      <c r="G25" s="43" t="s">
        <v>89</v>
      </c>
      <c r="H25" s="43" t="s">
        <v>90</v>
      </c>
      <c r="I25" s="43" t="s">
        <v>90</v>
      </c>
      <c r="J25" s="44">
        <f t="shared" si="1"/>
        <v>50</v>
      </c>
    </row>
    <row r="26" spans="1:11" ht="21" customHeight="1" thickBot="1" x14ac:dyDescent="0.2">
      <c r="A26" s="123">
        <v>40034624</v>
      </c>
      <c r="B26" s="43">
        <v>0</v>
      </c>
      <c r="C26" s="43">
        <v>86</v>
      </c>
      <c r="D26" s="43">
        <v>100</v>
      </c>
      <c r="E26" s="43" t="s">
        <v>320</v>
      </c>
      <c r="F26" s="43" t="s">
        <v>90</v>
      </c>
      <c r="G26" s="43">
        <v>1</v>
      </c>
      <c r="H26" s="43" t="s">
        <v>90</v>
      </c>
      <c r="I26" s="43" t="s">
        <v>90</v>
      </c>
      <c r="J26" s="44">
        <f t="shared" si="1"/>
        <v>100</v>
      </c>
    </row>
    <row r="27" spans="1:11" ht="21" customHeight="1" thickBot="1" x14ac:dyDescent="0.2">
      <c r="A27" s="123">
        <v>40034625</v>
      </c>
      <c r="B27" s="132">
        <v>0</v>
      </c>
      <c r="C27" s="132">
        <v>85</v>
      </c>
      <c r="D27" s="132">
        <v>100</v>
      </c>
      <c r="E27" s="132" t="s">
        <v>320</v>
      </c>
      <c r="F27" s="132" t="s">
        <v>90</v>
      </c>
      <c r="G27" s="132">
        <v>0</v>
      </c>
      <c r="H27" s="132" t="s">
        <v>90</v>
      </c>
      <c r="I27" s="132">
        <v>0</v>
      </c>
      <c r="J27" s="136">
        <f t="shared" si="1"/>
        <v>100</v>
      </c>
    </row>
    <row r="28" spans="1:11" ht="21" customHeight="1" thickBot="1" x14ac:dyDescent="0.2">
      <c r="A28" s="123">
        <v>40034626</v>
      </c>
      <c r="B28" s="157">
        <v>0</v>
      </c>
      <c r="C28" s="157">
        <v>100</v>
      </c>
      <c r="D28" s="157">
        <v>33</v>
      </c>
      <c r="E28" s="157" t="s">
        <v>320</v>
      </c>
      <c r="F28" s="157" t="s">
        <v>90</v>
      </c>
      <c r="G28" s="157" t="s">
        <v>90</v>
      </c>
      <c r="H28" s="157" t="s">
        <v>90</v>
      </c>
      <c r="I28" s="157" t="s">
        <v>90</v>
      </c>
      <c r="J28" s="158">
        <f t="shared" si="1"/>
        <v>33</v>
      </c>
    </row>
    <row r="29" spans="1:11" ht="21" customHeight="1" thickBot="1" x14ac:dyDescent="0.2">
      <c r="A29" s="123">
        <v>40034627</v>
      </c>
      <c r="B29" s="132">
        <v>0</v>
      </c>
      <c r="C29" s="132">
        <v>99</v>
      </c>
      <c r="D29" s="132">
        <v>50</v>
      </c>
      <c r="E29" s="132" t="s">
        <v>320</v>
      </c>
      <c r="F29" s="132" t="s">
        <v>90</v>
      </c>
      <c r="G29" s="132" t="s">
        <v>90</v>
      </c>
      <c r="H29" s="132" t="s">
        <v>90</v>
      </c>
      <c r="I29" s="132" t="s">
        <v>90</v>
      </c>
      <c r="J29" s="136">
        <f t="shared" si="1"/>
        <v>50</v>
      </c>
      <c r="K29" s="162"/>
    </row>
    <row r="30" spans="1:11" ht="21" customHeight="1" thickBot="1" x14ac:dyDescent="0.2">
      <c r="A30" s="123">
        <v>40034628</v>
      </c>
      <c r="B30" s="157">
        <v>1</v>
      </c>
      <c r="C30" s="157">
        <v>100</v>
      </c>
      <c r="D30" s="157">
        <v>100</v>
      </c>
      <c r="E30" s="157" t="s">
        <v>320</v>
      </c>
      <c r="F30" s="157" t="s">
        <v>90</v>
      </c>
      <c r="G30" s="157">
        <v>1</v>
      </c>
      <c r="H30" s="157" t="s">
        <v>90</v>
      </c>
      <c r="I30" s="157" t="s">
        <v>90</v>
      </c>
      <c r="J30" s="158">
        <f t="shared" si="1"/>
        <v>100</v>
      </c>
    </row>
    <row r="31" spans="1:11" ht="21" customHeight="1" thickBot="1" x14ac:dyDescent="0.2">
      <c r="A31" s="123">
        <v>40034629</v>
      </c>
      <c r="B31" s="43">
        <v>0</v>
      </c>
      <c r="C31" s="43">
        <v>98</v>
      </c>
      <c r="D31" s="43">
        <v>25</v>
      </c>
      <c r="E31" s="43" t="s">
        <v>320</v>
      </c>
      <c r="F31" s="43" t="s">
        <v>90</v>
      </c>
      <c r="G31" s="43">
        <v>1</v>
      </c>
      <c r="H31" s="43" t="s">
        <v>90</v>
      </c>
      <c r="I31" s="43" t="s">
        <v>90</v>
      </c>
      <c r="J31" s="44">
        <f t="shared" si="1"/>
        <v>25</v>
      </c>
    </row>
    <row r="32" spans="1:11" ht="21" customHeight="1" thickBot="1" x14ac:dyDescent="0.2">
      <c r="A32" s="123">
        <v>40034630</v>
      </c>
      <c r="B32" s="43">
        <v>0</v>
      </c>
      <c r="C32" s="43">
        <v>97</v>
      </c>
      <c r="D32" s="43">
        <v>33</v>
      </c>
      <c r="E32" s="43" t="s">
        <v>320</v>
      </c>
      <c r="F32" s="43" t="s">
        <v>90</v>
      </c>
      <c r="G32" s="43" t="s">
        <v>90</v>
      </c>
      <c r="H32" s="43" t="s">
        <v>90</v>
      </c>
      <c r="I32" s="43" t="s">
        <v>90</v>
      </c>
      <c r="J32" s="44">
        <f t="shared" si="1"/>
        <v>33</v>
      </c>
    </row>
    <row r="33" spans="1:10" ht="21" customHeight="1" thickBot="1" x14ac:dyDescent="0.2">
      <c r="A33" s="123">
        <v>40034631</v>
      </c>
      <c r="B33" s="43">
        <v>0</v>
      </c>
      <c r="C33" s="43">
        <v>96</v>
      </c>
      <c r="D33" s="43">
        <v>50</v>
      </c>
      <c r="E33" s="43" t="s">
        <v>320</v>
      </c>
      <c r="F33" s="43" t="s">
        <v>90</v>
      </c>
      <c r="G33" s="43" t="s">
        <v>90</v>
      </c>
      <c r="H33" s="43" t="s">
        <v>90</v>
      </c>
      <c r="I33" s="43" t="s">
        <v>90</v>
      </c>
      <c r="J33" s="44">
        <f t="shared" si="1"/>
        <v>50</v>
      </c>
    </row>
    <row r="34" spans="1:10" ht="21" customHeight="1" thickBot="1" x14ac:dyDescent="0.2">
      <c r="A34" s="123">
        <v>40034632</v>
      </c>
      <c r="B34" s="43">
        <v>0</v>
      </c>
      <c r="C34" s="43">
        <v>95</v>
      </c>
      <c r="D34" s="43">
        <v>100</v>
      </c>
      <c r="E34" s="43">
        <v>55</v>
      </c>
      <c r="F34" s="43" t="s">
        <v>90</v>
      </c>
      <c r="G34" s="43">
        <v>1</v>
      </c>
      <c r="H34" s="43" t="s">
        <v>90</v>
      </c>
      <c r="I34" s="43" t="s">
        <v>90</v>
      </c>
      <c r="J34" s="44">
        <f t="shared" si="1"/>
        <v>100</v>
      </c>
    </row>
    <row r="35" spans="1:10" ht="21" customHeight="1" thickBot="1" x14ac:dyDescent="0.2">
      <c r="A35" s="123">
        <v>40034633</v>
      </c>
      <c r="B35" s="132">
        <v>0</v>
      </c>
      <c r="C35" s="132">
        <v>99</v>
      </c>
      <c r="D35" s="132">
        <v>100</v>
      </c>
      <c r="E35" s="132">
        <v>50</v>
      </c>
      <c r="F35" s="132" t="s">
        <v>90</v>
      </c>
      <c r="G35" s="132">
        <v>1</v>
      </c>
      <c r="H35" s="132" t="s">
        <v>90</v>
      </c>
      <c r="I35" s="132" t="s">
        <v>90</v>
      </c>
      <c r="J35" s="136">
        <f t="shared" si="1"/>
        <v>100</v>
      </c>
    </row>
    <row r="36" spans="1:10" ht="21" customHeight="1" thickBot="1" x14ac:dyDescent="0.2">
      <c r="A36" s="123">
        <v>40034634</v>
      </c>
      <c r="B36" s="157">
        <v>1</v>
      </c>
      <c r="C36" s="157">
        <v>100</v>
      </c>
      <c r="D36" s="157">
        <v>100</v>
      </c>
      <c r="E36" s="157" t="s">
        <v>320</v>
      </c>
      <c r="F36" s="157" t="s">
        <v>90</v>
      </c>
      <c r="G36" s="157">
        <v>1</v>
      </c>
      <c r="H36" s="157" t="s">
        <v>90</v>
      </c>
      <c r="I36" s="157" t="s">
        <v>90</v>
      </c>
      <c r="J36" s="158">
        <f t="shared" si="1"/>
        <v>100</v>
      </c>
    </row>
    <row r="37" spans="1:10" ht="21" customHeight="1" thickBot="1" x14ac:dyDescent="0.2">
      <c r="A37" s="123">
        <v>40034635</v>
      </c>
      <c r="B37" s="43">
        <v>0</v>
      </c>
      <c r="C37" s="43">
        <v>98</v>
      </c>
      <c r="D37" s="43">
        <v>20</v>
      </c>
      <c r="E37" s="43" t="s">
        <v>320</v>
      </c>
      <c r="F37" s="43" t="s">
        <v>90</v>
      </c>
      <c r="G37" s="43" t="s">
        <v>90</v>
      </c>
      <c r="H37" s="43" t="s">
        <v>90</v>
      </c>
      <c r="I37" s="43" t="s">
        <v>90</v>
      </c>
      <c r="J37" s="44">
        <f t="shared" ref="J37:J56" si="2">D37</f>
        <v>20</v>
      </c>
    </row>
    <row r="38" spans="1:10" ht="21" customHeight="1" thickBot="1" x14ac:dyDescent="0.2">
      <c r="A38" s="123">
        <v>40034636</v>
      </c>
      <c r="B38" s="43">
        <v>0</v>
      </c>
      <c r="C38" s="43">
        <v>97</v>
      </c>
      <c r="D38" s="43">
        <v>25</v>
      </c>
      <c r="E38" s="43" t="s">
        <v>320</v>
      </c>
      <c r="F38" s="43" t="s">
        <v>90</v>
      </c>
      <c r="G38" s="43" t="s">
        <v>90</v>
      </c>
      <c r="H38" s="43" t="s">
        <v>90</v>
      </c>
      <c r="I38" s="43" t="s">
        <v>90</v>
      </c>
      <c r="J38" s="44">
        <f t="shared" si="2"/>
        <v>25</v>
      </c>
    </row>
    <row r="39" spans="1:10" ht="21" customHeight="1" thickBot="1" x14ac:dyDescent="0.2">
      <c r="A39" s="123">
        <v>40034637</v>
      </c>
      <c r="B39" s="43">
        <v>0</v>
      </c>
      <c r="C39" s="43">
        <v>96</v>
      </c>
      <c r="D39" s="43">
        <v>33</v>
      </c>
      <c r="E39" s="43" t="s">
        <v>320</v>
      </c>
      <c r="F39" s="43" t="s">
        <v>90</v>
      </c>
      <c r="G39" s="43" t="s">
        <v>90</v>
      </c>
      <c r="H39" s="43" t="s">
        <v>90</v>
      </c>
      <c r="I39" s="43" t="s">
        <v>90</v>
      </c>
      <c r="J39" s="44">
        <f t="shared" si="2"/>
        <v>33</v>
      </c>
    </row>
    <row r="40" spans="1:10" ht="21" customHeight="1" thickBot="1" x14ac:dyDescent="0.2">
      <c r="A40" s="123">
        <v>40034638</v>
      </c>
      <c r="B40" s="43">
        <v>0</v>
      </c>
      <c r="C40" s="43">
        <v>95</v>
      </c>
      <c r="D40" s="43">
        <v>50</v>
      </c>
      <c r="E40" s="43" t="s">
        <v>320</v>
      </c>
      <c r="F40" s="43" t="s">
        <v>90</v>
      </c>
      <c r="G40" s="43" t="s">
        <v>90</v>
      </c>
      <c r="H40" s="43" t="s">
        <v>90</v>
      </c>
      <c r="I40" s="43" t="s">
        <v>90</v>
      </c>
      <c r="J40" s="44">
        <f t="shared" si="2"/>
        <v>50</v>
      </c>
    </row>
    <row r="41" spans="1:10" ht="21" customHeight="1" thickBot="1" x14ac:dyDescent="0.2">
      <c r="A41" s="123">
        <v>40034639</v>
      </c>
      <c r="B41" s="43">
        <v>0</v>
      </c>
      <c r="C41" s="43">
        <v>94</v>
      </c>
      <c r="D41" s="43">
        <v>100</v>
      </c>
      <c r="E41" s="43">
        <v>55</v>
      </c>
      <c r="F41" s="43" t="s">
        <v>90</v>
      </c>
      <c r="G41" s="43">
        <v>1</v>
      </c>
      <c r="H41" s="43" t="s">
        <v>90</v>
      </c>
      <c r="I41" s="43" t="s">
        <v>90</v>
      </c>
      <c r="J41" s="44">
        <f t="shared" si="2"/>
        <v>100</v>
      </c>
    </row>
    <row r="42" spans="1:10" ht="21" customHeight="1" thickBot="1" x14ac:dyDescent="0.2">
      <c r="A42" s="123">
        <v>40034640</v>
      </c>
      <c r="B42" s="132">
        <v>0</v>
      </c>
      <c r="C42" s="132">
        <v>99</v>
      </c>
      <c r="D42" s="132">
        <v>100</v>
      </c>
      <c r="E42" s="132">
        <v>50</v>
      </c>
      <c r="F42" s="132" t="s">
        <v>90</v>
      </c>
      <c r="G42" s="132">
        <v>1</v>
      </c>
      <c r="H42" s="132" t="s">
        <v>90</v>
      </c>
      <c r="I42" s="132" t="s">
        <v>90</v>
      </c>
      <c r="J42" s="136">
        <f t="shared" si="2"/>
        <v>100</v>
      </c>
    </row>
    <row r="43" spans="1:10" ht="21" customHeight="1" thickBot="1" x14ac:dyDescent="0.2">
      <c r="A43" s="123">
        <v>40034641</v>
      </c>
      <c r="B43" s="157">
        <v>1</v>
      </c>
      <c r="C43" s="157">
        <v>100</v>
      </c>
      <c r="D43" s="157">
        <v>100</v>
      </c>
      <c r="E43" s="157" t="s">
        <v>320</v>
      </c>
      <c r="F43" s="157" t="s">
        <v>90</v>
      </c>
      <c r="G43" s="157">
        <v>1</v>
      </c>
      <c r="H43" s="43" t="s">
        <v>90</v>
      </c>
      <c r="I43" s="43">
        <v>656</v>
      </c>
      <c r="J43" s="158">
        <f t="shared" si="2"/>
        <v>100</v>
      </c>
    </row>
    <row r="44" spans="1:10" ht="21" customHeight="1" thickBot="1" x14ac:dyDescent="0.2">
      <c r="A44" s="123">
        <v>40034642</v>
      </c>
      <c r="B44" s="43">
        <v>1</v>
      </c>
      <c r="C44" s="43">
        <v>99</v>
      </c>
      <c r="D44" s="43">
        <v>100</v>
      </c>
      <c r="E44" s="43" t="s">
        <v>320</v>
      </c>
      <c r="F44" s="43" t="s">
        <v>90</v>
      </c>
      <c r="G44" s="43">
        <v>1</v>
      </c>
      <c r="H44" s="43" t="s">
        <v>322</v>
      </c>
      <c r="I44" s="43">
        <v>657</v>
      </c>
      <c r="J44" s="44">
        <f t="shared" si="2"/>
        <v>100</v>
      </c>
    </row>
    <row r="45" spans="1:10" ht="21" customHeight="1" thickBot="1" x14ac:dyDescent="0.2">
      <c r="A45" s="123">
        <v>40034643</v>
      </c>
      <c r="B45" s="43">
        <v>1</v>
      </c>
      <c r="C45" s="43">
        <v>98</v>
      </c>
      <c r="D45" s="43">
        <v>100</v>
      </c>
      <c r="E45" s="43" t="s">
        <v>320</v>
      </c>
      <c r="F45" s="43" t="s">
        <v>90</v>
      </c>
      <c r="G45" s="43">
        <v>1</v>
      </c>
      <c r="H45" s="43" t="s">
        <v>322</v>
      </c>
      <c r="I45" s="43">
        <v>834</v>
      </c>
      <c r="J45" s="44">
        <f t="shared" si="2"/>
        <v>100</v>
      </c>
    </row>
    <row r="46" spans="1:10" ht="21" customHeight="1" thickBot="1" x14ac:dyDescent="0.2">
      <c r="A46" s="123">
        <v>40034644</v>
      </c>
      <c r="B46" s="43">
        <v>1</v>
      </c>
      <c r="C46" s="43">
        <v>97</v>
      </c>
      <c r="D46" s="43">
        <v>100</v>
      </c>
      <c r="E46" s="43" t="s">
        <v>320</v>
      </c>
      <c r="F46" s="43" t="s">
        <v>90</v>
      </c>
      <c r="G46" s="43">
        <v>1</v>
      </c>
      <c r="H46" s="43" t="s">
        <v>322</v>
      </c>
      <c r="I46" s="43">
        <v>1155</v>
      </c>
      <c r="J46" s="44">
        <f t="shared" si="2"/>
        <v>100</v>
      </c>
    </row>
    <row r="47" spans="1:10" ht="21" customHeight="1" thickBot="1" x14ac:dyDescent="0.2">
      <c r="A47" s="123">
        <v>40034645</v>
      </c>
      <c r="B47" s="43">
        <v>1</v>
      </c>
      <c r="C47" s="43">
        <v>96</v>
      </c>
      <c r="D47" s="43">
        <v>100</v>
      </c>
      <c r="E47" s="43" t="s">
        <v>320</v>
      </c>
      <c r="F47" s="43" t="s">
        <v>90</v>
      </c>
      <c r="G47" s="43">
        <v>1</v>
      </c>
      <c r="H47" s="43" t="s">
        <v>322</v>
      </c>
      <c r="I47" s="43">
        <v>1156</v>
      </c>
      <c r="J47" s="44">
        <f t="shared" si="2"/>
        <v>100</v>
      </c>
    </row>
    <row r="48" spans="1:10" ht="21" customHeight="1" thickBot="1" x14ac:dyDescent="0.2">
      <c r="A48" s="123">
        <v>40034646</v>
      </c>
      <c r="B48" s="43">
        <v>1</v>
      </c>
      <c r="C48" s="43">
        <v>95</v>
      </c>
      <c r="D48" s="43">
        <v>100</v>
      </c>
      <c r="E48" s="43" t="s">
        <v>320</v>
      </c>
      <c r="F48" s="43" t="s">
        <v>90</v>
      </c>
      <c r="G48" s="43">
        <v>1</v>
      </c>
      <c r="H48" s="43" t="s">
        <v>322</v>
      </c>
      <c r="I48" s="43">
        <v>648</v>
      </c>
      <c r="J48" s="44">
        <f t="shared" si="2"/>
        <v>100</v>
      </c>
    </row>
    <row r="49" spans="1:11" ht="21" customHeight="1" thickBot="1" x14ac:dyDescent="0.2">
      <c r="A49" s="123">
        <v>40034647</v>
      </c>
      <c r="B49" s="43">
        <v>1</v>
      </c>
      <c r="C49" s="43">
        <v>94</v>
      </c>
      <c r="D49" s="43">
        <v>100</v>
      </c>
      <c r="E49" s="43" t="s">
        <v>320</v>
      </c>
      <c r="F49" s="43" t="s">
        <v>90</v>
      </c>
      <c r="G49" s="43">
        <v>1</v>
      </c>
      <c r="H49" s="43" t="s">
        <v>322</v>
      </c>
      <c r="I49" s="43">
        <v>649</v>
      </c>
      <c r="J49" s="44">
        <f t="shared" si="2"/>
        <v>100</v>
      </c>
    </row>
    <row r="50" spans="1:11" ht="21" customHeight="1" thickBot="1" x14ac:dyDescent="0.2">
      <c r="A50" s="123">
        <v>40034648</v>
      </c>
      <c r="B50" s="43">
        <v>1</v>
      </c>
      <c r="C50" s="43">
        <v>93</v>
      </c>
      <c r="D50" s="43">
        <v>100</v>
      </c>
      <c r="E50" s="43" t="s">
        <v>320</v>
      </c>
      <c r="F50" s="43" t="s">
        <v>90</v>
      </c>
      <c r="G50" s="43">
        <v>1</v>
      </c>
      <c r="H50" s="43" t="s">
        <v>90</v>
      </c>
      <c r="I50" s="43" t="s">
        <v>90</v>
      </c>
      <c r="J50" s="44">
        <f t="shared" si="2"/>
        <v>100</v>
      </c>
    </row>
    <row r="51" spans="1:11" ht="21" customHeight="1" thickBot="1" x14ac:dyDescent="0.2">
      <c r="A51" s="123">
        <v>40034649</v>
      </c>
      <c r="B51" s="43">
        <v>0</v>
      </c>
      <c r="C51" s="43">
        <v>90</v>
      </c>
      <c r="D51" s="43">
        <v>20</v>
      </c>
      <c r="E51" s="43" t="s">
        <v>320</v>
      </c>
      <c r="F51" s="43" t="s">
        <v>90</v>
      </c>
      <c r="G51" s="43">
        <v>5</v>
      </c>
      <c r="H51" s="43" t="s">
        <v>90</v>
      </c>
      <c r="I51" s="43" t="s">
        <v>90</v>
      </c>
      <c r="J51" s="44">
        <f t="shared" si="2"/>
        <v>20</v>
      </c>
    </row>
    <row r="52" spans="1:11" ht="21" customHeight="1" thickBot="1" x14ac:dyDescent="0.2">
      <c r="A52" s="123">
        <v>40034650</v>
      </c>
      <c r="B52" s="43">
        <v>0</v>
      </c>
      <c r="C52" s="43">
        <v>80</v>
      </c>
      <c r="D52" s="43">
        <v>25</v>
      </c>
      <c r="E52" s="43" t="s">
        <v>320</v>
      </c>
      <c r="F52" s="43" t="s">
        <v>90</v>
      </c>
      <c r="G52" s="43">
        <v>5</v>
      </c>
      <c r="H52" s="43" t="s">
        <v>90</v>
      </c>
      <c r="I52" s="43" t="s">
        <v>90</v>
      </c>
      <c r="J52" s="44">
        <f t="shared" si="2"/>
        <v>25</v>
      </c>
    </row>
    <row r="53" spans="1:11" ht="21" customHeight="1" thickBot="1" x14ac:dyDescent="0.2">
      <c r="A53" s="123">
        <v>40034651</v>
      </c>
      <c r="B53" s="43">
        <v>0</v>
      </c>
      <c r="C53" s="43">
        <v>70</v>
      </c>
      <c r="D53" s="43">
        <v>33</v>
      </c>
      <c r="E53" s="43" t="s">
        <v>320</v>
      </c>
      <c r="F53" s="43" t="s">
        <v>90</v>
      </c>
      <c r="G53" s="43" t="s">
        <v>90</v>
      </c>
      <c r="H53" s="43" t="s">
        <v>90</v>
      </c>
      <c r="I53" s="43" t="s">
        <v>90</v>
      </c>
      <c r="J53" s="44">
        <f t="shared" si="2"/>
        <v>33</v>
      </c>
    </row>
    <row r="54" spans="1:11" ht="21" customHeight="1" thickBot="1" x14ac:dyDescent="0.2">
      <c r="A54" s="123">
        <v>40034652</v>
      </c>
      <c r="B54" s="43">
        <v>0</v>
      </c>
      <c r="C54" s="43">
        <v>60</v>
      </c>
      <c r="D54" s="43">
        <v>50</v>
      </c>
      <c r="E54" s="43" t="s">
        <v>320</v>
      </c>
      <c r="F54" s="43" t="s">
        <v>90</v>
      </c>
      <c r="G54" s="43">
        <v>5</v>
      </c>
      <c r="H54" s="43" t="s">
        <v>90</v>
      </c>
      <c r="I54" s="43" t="s">
        <v>90</v>
      </c>
      <c r="J54" s="44">
        <f t="shared" si="2"/>
        <v>50</v>
      </c>
    </row>
    <row r="55" spans="1:11" ht="21" customHeight="1" thickBot="1" x14ac:dyDescent="0.2">
      <c r="A55" s="123">
        <v>40034653</v>
      </c>
      <c r="B55" s="43">
        <v>0</v>
      </c>
      <c r="C55" s="43">
        <v>92</v>
      </c>
      <c r="D55" s="43">
        <v>100</v>
      </c>
      <c r="E55" s="43">
        <v>50</v>
      </c>
      <c r="F55" s="43" t="s">
        <v>90</v>
      </c>
      <c r="G55" s="43">
        <v>1</v>
      </c>
      <c r="H55" s="43" t="s">
        <v>90</v>
      </c>
      <c r="I55" s="43" t="s">
        <v>90</v>
      </c>
      <c r="J55" s="44">
        <f t="shared" si="2"/>
        <v>100</v>
      </c>
    </row>
    <row r="56" spans="1:11" ht="21" customHeight="1" thickBot="1" x14ac:dyDescent="0.2">
      <c r="A56" s="123">
        <v>40034654</v>
      </c>
      <c r="B56" s="132">
        <v>0</v>
      </c>
      <c r="C56" s="132">
        <v>40</v>
      </c>
      <c r="D56" s="132">
        <v>80</v>
      </c>
      <c r="E56" s="132" t="s">
        <v>320</v>
      </c>
      <c r="F56" s="132" t="s">
        <v>90</v>
      </c>
      <c r="G56" s="132" t="s">
        <v>90</v>
      </c>
      <c r="H56" s="132" t="s">
        <v>90</v>
      </c>
      <c r="I56" s="132" t="s">
        <v>90</v>
      </c>
      <c r="J56" s="136">
        <f t="shared" si="2"/>
        <v>80</v>
      </c>
      <c r="K56" s="162"/>
    </row>
    <row r="57" spans="1:11" ht="21" customHeight="1" thickBot="1" x14ac:dyDescent="0.2">
      <c r="A57" s="123">
        <v>40034655</v>
      </c>
      <c r="B57" s="157">
        <v>1</v>
      </c>
      <c r="C57" s="157">
        <v>100</v>
      </c>
      <c r="D57" s="157">
        <v>13</v>
      </c>
      <c r="E57" s="157" t="s">
        <v>320</v>
      </c>
      <c r="F57" s="157" t="s">
        <v>90</v>
      </c>
      <c r="G57" s="157">
        <v>1</v>
      </c>
      <c r="H57" s="157" t="s">
        <v>90</v>
      </c>
      <c r="I57" s="157" t="s">
        <v>90</v>
      </c>
      <c r="J57" s="158">
        <f t="shared" ref="J57:J64" si="3">D57</f>
        <v>13</v>
      </c>
    </row>
    <row r="58" spans="1:11" ht="21" customHeight="1" thickBot="1" x14ac:dyDescent="0.2">
      <c r="A58" s="123">
        <v>40034656</v>
      </c>
      <c r="B58" s="43">
        <v>0</v>
      </c>
      <c r="C58" s="43">
        <v>96</v>
      </c>
      <c r="D58" s="43">
        <v>14</v>
      </c>
      <c r="E58" s="43">
        <v>50</v>
      </c>
      <c r="F58" s="43" t="s">
        <v>90</v>
      </c>
      <c r="G58" s="43">
        <v>1</v>
      </c>
      <c r="H58" s="43" t="s">
        <v>90</v>
      </c>
      <c r="I58" s="43" t="s">
        <v>90</v>
      </c>
      <c r="J58" s="44">
        <f t="shared" si="3"/>
        <v>14</v>
      </c>
    </row>
    <row r="59" spans="1:11" ht="21" customHeight="1" thickBot="1" x14ac:dyDescent="0.2">
      <c r="A59" s="123">
        <v>40034657</v>
      </c>
      <c r="B59" s="43">
        <v>0</v>
      </c>
      <c r="C59" s="43">
        <v>95</v>
      </c>
      <c r="D59" s="43">
        <v>16</v>
      </c>
      <c r="E59" s="43" t="s">
        <v>320</v>
      </c>
      <c r="F59" s="43" t="s">
        <v>90</v>
      </c>
      <c r="G59" s="43" t="s">
        <v>90</v>
      </c>
      <c r="H59" s="43" t="s">
        <v>90</v>
      </c>
      <c r="I59" s="43" t="s">
        <v>90</v>
      </c>
      <c r="J59" s="44">
        <f t="shared" si="3"/>
        <v>16</v>
      </c>
    </row>
    <row r="60" spans="1:11" ht="21" customHeight="1" thickBot="1" x14ac:dyDescent="0.2">
      <c r="A60" s="123">
        <v>40034658</v>
      </c>
      <c r="B60" s="43">
        <v>0</v>
      </c>
      <c r="C60" s="43">
        <v>94</v>
      </c>
      <c r="D60" s="43">
        <v>20</v>
      </c>
      <c r="E60" s="43" t="s">
        <v>320</v>
      </c>
      <c r="F60" s="43" t="s">
        <v>90</v>
      </c>
      <c r="G60" s="43" t="s">
        <v>90</v>
      </c>
      <c r="H60" s="43" t="s">
        <v>90</v>
      </c>
      <c r="I60" s="43" t="s">
        <v>90</v>
      </c>
      <c r="J60" s="44">
        <f t="shared" si="3"/>
        <v>20</v>
      </c>
    </row>
    <row r="61" spans="1:11" ht="21" customHeight="1" thickBot="1" x14ac:dyDescent="0.2">
      <c r="A61" s="123">
        <v>40034659</v>
      </c>
      <c r="B61" s="43">
        <v>0</v>
      </c>
      <c r="C61" s="43">
        <v>93</v>
      </c>
      <c r="D61" s="43">
        <v>25</v>
      </c>
      <c r="E61" s="43" t="s">
        <v>320</v>
      </c>
      <c r="F61" s="43" t="s">
        <v>90</v>
      </c>
      <c r="G61" s="43" t="s">
        <v>90</v>
      </c>
      <c r="H61" s="43" t="s">
        <v>90</v>
      </c>
      <c r="I61" s="43" t="s">
        <v>90</v>
      </c>
      <c r="J61" s="44">
        <f t="shared" si="3"/>
        <v>25</v>
      </c>
    </row>
    <row r="62" spans="1:11" ht="21" customHeight="1" thickBot="1" x14ac:dyDescent="0.2">
      <c r="A62" s="123">
        <v>40034660</v>
      </c>
      <c r="B62" s="43">
        <v>0</v>
      </c>
      <c r="C62" s="43">
        <v>92</v>
      </c>
      <c r="D62" s="43">
        <v>33</v>
      </c>
      <c r="E62" s="43" t="s">
        <v>320</v>
      </c>
      <c r="F62" s="43" t="s">
        <v>90</v>
      </c>
      <c r="G62" s="43" t="s">
        <v>90</v>
      </c>
      <c r="H62" s="43" t="s">
        <v>90</v>
      </c>
      <c r="I62" s="43" t="s">
        <v>90</v>
      </c>
      <c r="J62" s="44">
        <f t="shared" si="3"/>
        <v>33</v>
      </c>
    </row>
    <row r="63" spans="1:11" ht="21" customHeight="1" thickBot="1" x14ac:dyDescent="0.2">
      <c r="A63" s="123">
        <v>40034661</v>
      </c>
      <c r="B63" s="43">
        <v>0</v>
      </c>
      <c r="C63" s="43">
        <v>91</v>
      </c>
      <c r="D63" s="43">
        <v>50</v>
      </c>
      <c r="E63" s="43" t="s">
        <v>320</v>
      </c>
      <c r="F63" s="43" t="s">
        <v>90</v>
      </c>
      <c r="G63" s="43" t="s">
        <v>90</v>
      </c>
      <c r="H63" s="43" t="s">
        <v>90</v>
      </c>
      <c r="I63" s="43" t="s">
        <v>90</v>
      </c>
      <c r="J63" s="44">
        <f t="shared" si="3"/>
        <v>50</v>
      </c>
    </row>
    <row r="64" spans="1:11" ht="21" customHeight="1" thickBot="1" x14ac:dyDescent="0.2">
      <c r="A64" s="123">
        <v>40034662</v>
      </c>
      <c r="B64" s="43">
        <v>0</v>
      </c>
      <c r="C64" s="43">
        <v>98</v>
      </c>
      <c r="D64" s="43">
        <v>100</v>
      </c>
      <c r="E64" s="43">
        <v>50</v>
      </c>
      <c r="F64" s="43" t="s">
        <v>89</v>
      </c>
      <c r="G64" s="43">
        <v>1</v>
      </c>
      <c r="H64" s="43" t="s">
        <v>90</v>
      </c>
      <c r="I64" s="43" t="s">
        <v>90</v>
      </c>
      <c r="J64" s="44">
        <f t="shared" si="3"/>
        <v>100</v>
      </c>
    </row>
    <row r="65" spans="1:10" ht="21" customHeight="1" thickBot="1" x14ac:dyDescent="0.2">
      <c r="A65" s="123">
        <v>40034663</v>
      </c>
      <c r="B65" s="43">
        <v>0</v>
      </c>
      <c r="C65" s="43">
        <v>100</v>
      </c>
      <c r="D65" s="43">
        <v>100</v>
      </c>
      <c r="E65" s="43" t="s">
        <v>320</v>
      </c>
      <c r="F65" s="43" t="s">
        <v>90</v>
      </c>
      <c r="G65" s="43">
        <v>0</v>
      </c>
      <c r="H65" s="43" t="s">
        <v>90</v>
      </c>
      <c r="I65" s="43">
        <v>0</v>
      </c>
      <c r="J65" s="44">
        <f t="shared" ref="J65:J67" si="4">D65</f>
        <v>100</v>
      </c>
    </row>
    <row r="66" spans="1:10" ht="21" customHeight="1" x14ac:dyDescent="0.15">
      <c r="A66" s="123">
        <v>40034664</v>
      </c>
      <c r="B66" s="43">
        <v>0</v>
      </c>
      <c r="C66" s="43">
        <v>99</v>
      </c>
      <c r="D66" s="43">
        <v>100</v>
      </c>
      <c r="E66" s="43">
        <v>50</v>
      </c>
      <c r="F66" s="43" t="s">
        <v>328</v>
      </c>
      <c r="G66" s="43">
        <v>1</v>
      </c>
      <c r="H66" s="43" t="s">
        <v>90</v>
      </c>
      <c r="I66" s="43" t="s">
        <v>90</v>
      </c>
      <c r="J66" s="44">
        <f t="shared" si="4"/>
        <v>100</v>
      </c>
    </row>
    <row r="67" spans="1:10" ht="21" customHeight="1" x14ac:dyDescent="0.15">
      <c r="J67" s="45">
        <f t="shared" si="4"/>
        <v>0</v>
      </c>
    </row>
  </sheetData>
  <autoFilter ref="A1:G1"/>
  <phoneticPr fontId="5"/>
  <conditionalFormatting sqref="K1:K1048576">
    <cfRule type="duplicateValues" dxfId="0" priority="1"/>
  </conditionalFormatting>
  <printOptions gridLines="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 enableFormatConditionsCalculation="0">
    <tabColor rgb="FF0000FF"/>
  </sheetPr>
  <dimension ref="A1:S18"/>
  <sheetViews>
    <sheetView workbookViewId="0">
      <selection activeCell="C28" sqref="C28"/>
    </sheetView>
  </sheetViews>
  <sheetFormatPr baseColWidth="12" defaultRowHeight="15" x14ac:dyDescent="0.15"/>
  <cols>
    <col min="17" max="18" width="19" bestFit="1" customWidth="1"/>
  </cols>
  <sheetData>
    <row r="1" spans="1:19" ht="16" thickBot="1" x14ac:dyDescent="0.2">
      <c r="A1" s="115" t="s">
        <v>151</v>
      </c>
      <c r="B1" s="60" t="s">
        <v>152</v>
      </c>
      <c r="C1" s="61" t="s">
        <v>153</v>
      </c>
      <c r="D1" s="68" t="s">
        <v>154</v>
      </c>
      <c r="E1" s="62" t="s">
        <v>155</v>
      </c>
      <c r="F1" s="60" t="s">
        <v>156</v>
      </c>
      <c r="G1" s="60" t="s">
        <v>157</v>
      </c>
      <c r="H1" s="60" t="s">
        <v>158</v>
      </c>
      <c r="I1" s="60" t="s">
        <v>159</v>
      </c>
      <c r="J1" s="60" t="s">
        <v>160</v>
      </c>
      <c r="K1" s="60" t="s">
        <v>161</v>
      </c>
      <c r="L1" s="60" t="s">
        <v>162</v>
      </c>
      <c r="M1" s="60" t="s">
        <v>163</v>
      </c>
      <c r="N1" s="60" t="s">
        <v>164</v>
      </c>
      <c r="O1" s="60" t="s">
        <v>165</v>
      </c>
      <c r="P1" s="60" t="s">
        <v>166</v>
      </c>
      <c r="Q1" s="60" t="s">
        <v>167</v>
      </c>
      <c r="R1" s="60" t="s">
        <v>168</v>
      </c>
    </row>
    <row r="2" spans="1:19" x14ac:dyDescent="0.15">
      <c r="A2" s="105">
        <f>floors!C$2</f>
        <v>40034</v>
      </c>
      <c r="B2" s="116">
        <v>1</v>
      </c>
      <c r="C2" s="102" t="str">
        <f>A2&amp; "_"&amp;B2</f>
        <v>40034_1</v>
      </c>
      <c r="D2" s="103" t="str">
        <f ca="1">VLOOKUP($C2,OFFSET([2]stages!$A$1,0,0,COUNTA([2]stages!$A:$A),MATCH(D$1,[2]stages!$2:$2,0)-MATCH($C$1,[2]stages!$2:$2,0)+1),MATCH(D$1,[2]stages!$2:$2,0)-MATCH($C$1,[2]stages!$2:$2,0)+1,FALSE)</f>
        <v>everyone</v>
      </c>
      <c r="E2" s="101">
        <v>1</v>
      </c>
      <c r="F2" s="101" t="s">
        <v>169</v>
      </c>
      <c r="G2" s="101">
        <v>40000</v>
      </c>
      <c r="H2" s="101" t="s">
        <v>89</v>
      </c>
      <c r="I2" s="101">
        <v>1</v>
      </c>
      <c r="J2" s="101">
        <v>1</v>
      </c>
      <c r="K2" s="101">
        <v>0</v>
      </c>
      <c r="L2" s="101">
        <v>0</v>
      </c>
      <c r="M2" s="101">
        <v>0</v>
      </c>
      <c r="N2" s="101">
        <v>0</v>
      </c>
      <c r="O2" s="101">
        <v>1</v>
      </c>
      <c r="P2" s="101">
        <v>150</v>
      </c>
      <c r="Q2" s="101" t="s">
        <v>170</v>
      </c>
      <c r="R2" s="104" t="s">
        <v>171</v>
      </c>
      <c r="S2" s="105">
        <f>P2/SUM(P$2:P$11)*100</f>
        <v>15</v>
      </c>
    </row>
    <row r="3" spans="1:19" x14ac:dyDescent="0.15">
      <c r="A3" s="107">
        <f>floors!C$2</f>
        <v>40034</v>
      </c>
      <c r="B3" s="117">
        <v>1</v>
      </c>
      <c r="C3" s="67" t="str">
        <f t="shared" ref="C3:C18" si="0">A3&amp; "_"&amp;B3</f>
        <v>40034_1</v>
      </c>
      <c r="D3" s="18" t="str">
        <f ca="1">VLOOKUP($C3,OFFSET([2]stages!$A$1,0,0,COUNTA([2]stages!$A:$A),MATCH(D$1,[2]stages!$2:$2,0)-MATCH($C$1,[2]stages!$2:$2,0)+1),MATCH(D$1,[2]stages!$2:$2,0)-MATCH($C$1,[2]stages!$2:$2,0)+1,FALSE)</f>
        <v>everyone</v>
      </c>
      <c r="E3" s="53">
        <v>2</v>
      </c>
      <c r="F3" s="53" t="s">
        <v>255</v>
      </c>
      <c r="G3" s="53">
        <v>30</v>
      </c>
      <c r="H3" s="53" t="s">
        <v>256</v>
      </c>
      <c r="I3" s="53">
        <v>1</v>
      </c>
      <c r="J3" s="53">
        <v>1</v>
      </c>
      <c r="K3" s="53">
        <v>0</v>
      </c>
      <c r="L3" s="53">
        <v>0</v>
      </c>
      <c r="M3" s="53">
        <v>0</v>
      </c>
      <c r="N3" s="53">
        <v>0</v>
      </c>
      <c r="O3" s="53">
        <v>1</v>
      </c>
      <c r="P3" s="53">
        <v>150</v>
      </c>
      <c r="Q3" s="53" t="s">
        <v>170</v>
      </c>
      <c r="R3" s="106" t="s">
        <v>171</v>
      </c>
      <c r="S3" s="107">
        <f t="shared" ref="S3:S11" si="1">P3/SUM(P$2:P$11)*100</f>
        <v>15</v>
      </c>
    </row>
    <row r="4" spans="1:19" x14ac:dyDescent="0.15">
      <c r="A4" s="107">
        <f>floors!C$2</f>
        <v>40034</v>
      </c>
      <c r="B4" s="117">
        <v>1</v>
      </c>
      <c r="C4" s="67" t="str">
        <f t="shared" si="0"/>
        <v>40034_1</v>
      </c>
      <c r="D4" s="18" t="str">
        <f ca="1">VLOOKUP($C4,OFFSET([2]stages!$A$1,0,0,COUNTA([2]stages!$A:$A),MATCH(D$1,[2]stages!$2:$2,0)-MATCH($C$1,[2]stages!$2:$2,0)+1),MATCH(D$1,[2]stages!$2:$2,0)-MATCH($C$1,[2]stages!$2:$2,0)+1,FALSE)</f>
        <v>everyone</v>
      </c>
      <c r="E4" s="53">
        <v>3</v>
      </c>
      <c r="F4" s="53" t="s">
        <v>257</v>
      </c>
      <c r="G4" s="53">
        <v>333</v>
      </c>
      <c r="H4" s="53">
        <v>1</v>
      </c>
      <c r="I4" s="53">
        <v>1</v>
      </c>
      <c r="J4" s="53">
        <v>1</v>
      </c>
      <c r="K4" s="53">
        <v>0</v>
      </c>
      <c r="L4" s="53">
        <v>0</v>
      </c>
      <c r="M4" s="53">
        <v>0</v>
      </c>
      <c r="N4" s="53">
        <v>0</v>
      </c>
      <c r="O4" s="53">
        <v>1</v>
      </c>
      <c r="P4" s="53">
        <v>28</v>
      </c>
      <c r="Q4" s="53" t="s">
        <v>170</v>
      </c>
      <c r="R4" s="106" t="s">
        <v>171</v>
      </c>
      <c r="S4" s="107">
        <f t="shared" si="1"/>
        <v>2.8000000000000003</v>
      </c>
    </row>
    <row r="5" spans="1:19" x14ac:dyDescent="0.15">
      <c r="A5" s="107">
        <f>floors!C$2</f>
        <v>40034</v>
      </c>
      <c r="B5" s="117">
        <v>1</v>
      </c>
      <c r="C5" s="67" t="str">
        <f t="shared" si="0"/>
        <v>40034_1</v>
      </c>
      <c r="D5" s="18" t="str">
        <f ca="1">VLOOKUP($C5,OFFSET([2]stages!$A$1,0,0,COUNTA([2]stages!$A:$A),MATCH(D$1,[2]stages!$2:$2,0)-MATCH($C$1,[2]stages!$2:$2,0)+1),MATCH(D$1,[2]stages!$2:$2,0)-MATCH($C$1,[2]stages!$2:$2,0)+1,FALSE)</f>
        <v>everyone</v>
      </c>
      <c r="E5" s="53">
        <v>4</v>
      </c>
      <c r="F5" s="53" t="s">
        <v>257</v>
      </c>
      <c r="G5" s="53">
        <v>334</v>
      </c>
      <c r="H5" s="53">
        <v>1</v>
      </c>
      <c r="I5" s="53">
        <v>1</v>
      </c>
      <c r="J5" s="53">
        <v>1</v>
      </c>
      <c r="K5" s="53">
        <v>0</v>
      </c>
      <c r="L5" s="53">
        <v>0</v>
      </c>
      <c r="M5" s="53">
        <v>0</v>
      </c>
      <c r="N5" s="53">
        <v>0</v>
      </c>
      <c r="O5" s="53">
        <v>1</v>
      </c>
      <c r="P5" s="53">
        <v>112</v>
      </c>
      <c r="Q5" s="53" t="s">
        <v>170</v>
      </c>
      <c r="R5" s="106" t="s">
        <v>171</v>
      </c>
      <c r="S5" s="107">
        <f t="shared" si="1"/>
        <v>11.200000000000001</v>
      </c>
    </row>
    <row r="6" spans="1:19" x14ac:dyDescent="0.15">
      <c r="A6" s="107">
        <f>floors!C$2</f>
        <v>40034</v>
      </c>
      <c r="B6" s="117">
        <v>1</v>
      </c>
      <c r="C6" s="67" t="str">
        <f t="shared" si="0"/>
        <v>40034_1</v>
      </c>
      <c r="D6" s="18" t="str">
        <f ca="1">VLOOKUP($C6,OFFSET([2]stages!$A$1,0,0,COUNTA([2]stages!$A:$A),MATCH(D$1,[2]stages!$2:$2,0)-MATCH($C$1,[2]stages!$2:$2,0)+1),MATCH(D$1,[2]stages!$2:$2,0)-MATCH($C$1,[2]stages!$2:$2,0)+1,FALSE)</f>
        <v>everyone</v>
      </c>
      <c r="E6" s="53">
        <v>5</v>
      </c>
      <c r="F6" s="53" t="s">
        <v>257</v>
      </c>
      <c r="G6" s="53">
        <v>121</v>
      </c>
      <c r="H6" s="53">
        <v>1</v>
      </c>
      <c r="I6" s="53">
        <v>1</v>
      </c>
      <c r="J6" s="53">
        <v>1</v>
      </c>
      <c r="K6" s="53">
        <v>0</v>
      </c>
      <c r="L6" s="53">
        <v>0</v>
      </c>
      <c r="M6" s="53">
        <v>0</v>
      </c>
      <c r="N6" s="53">
        <v>0</v>
      </c>
      <c r="O6" s="53">
        <v>1</v>
      </c>
      <c r="P6" s="53">
        <v>100</v>
      </c>
      <c r="Q6" s="53" t="s">
        <v>170</v>
      </c>
      <c r="R6" s="106" t="s">
        <v>171</v>
      </c>
      <c r="S6" s="107">
        <f t="shared" si="1"/>
        <v>10</v>
      </c>
    </row>
    <row r="7" spans="1:19" x14ac:dyDescent="0.15">
      <c r="A7" s="107">
        <f>floors!C$2</f>
        <v>40034</v>
      </c>
      <c r="B7" s="117">
        <v>1</v>
      </c>
      <c r="C7" s="67" t="str">
        <f t="shared" si="0"/>
        <v>40034_1</v>
      </c>
      <c r="D7" s="18" t="str">
        <f ca="1">VLOOKUP($C7,OFFSET([2]stages!$A$1,0,0,COUNTA([2]stages!$A:$A),MATCH(D$1,[2]stages!$2:$2,0)-MATCH($C$1,[2]stages!$2:$2,0)+1),MATCH(D$1,[2]stages!$2:$2,0)-MATCH($C$1,[2]stages!$2:$2,0)+1,FALSE)</f>
        <v>everyone</v>
      </c>
      <c r="E7" s="53">
        <v>6</v>
      </c>
      <c r="F7" s="53" t="s">
        <v>257</v>
      </c>
      <c r="G7" s="53">
        <v>122</v>
      </c>
      <c r="H7" s="53">
        <v>1</v>
      </c>
      <c r="I7" s="53">
        <v>1</v>
      </c>
      <c r="J7" s="53">
        <v>1</v>
      </c>
      <c r="K7" s="53">
        <v>0</v>
      </c>
      <c r="L7" s="53">
        <v>0</v>
      </c>
      <c r="M7" s="53">
        <v>0</v>
      </c>
      <c r="N7" s="53">
        <v>0</v>
      </c>
      <c r="O7" s="53">
        <v>1</v>
      </c>
      <c r="P7" s="53">
        <v>100</v>
      </c>
      <c r="Q7" s="53" t="s">
        <v>170</v>
      </c>
      <c r="R7" s="106" t="s">
        <v>171</v>
      </c>
      <c r="S7" s="107">
        <f t="shared" si="1"/>
        <v>10</v>
      </c>
    </row>
    <row r="8" spans="1:19" x14ac:dyDescent="0.15">
      <c r="A8" s="107">
        <f>floors!C$2</f>
        <v>40034</v>
      </c>
      <c r="B8" s="117">
        <v>1</v>
      </c>
      <c r="C8" s="67" t="str">
        <f t="shared" si="0"/>
        <v>40034_1</v>
      </c>
      <c r="D8" s="18" t="str">
        <f ca="1">VLOOKUP($C8,OFFSET([2]stages!$A$1,0,0,COUNTA([2]stages!$A:$A),MATCH(D$1,[2]stages!$2:$2,0)-MATCH($C$1,[2]stages!$2:$2,0)+1),MATCH(D$1,[2]stages!$2:$2,0)-MATCH($C$1,[2]stages!$2:$2,0)+1,FALSE)</f>
        <v>everyone</v>
      </c>
      <c r="E8" s="53">
        <v>7</v>
      </c>
      <c r="F8" s="53" t="s">
        <v>257</v>
      </c>
      <c r="G8" s="53">
        <v>123</v>
      </c>
      <c r="H8" s="53">
        <v>1</v>
      </c>
      <c r="I8" s="53">
        <v>1</v>
      </c>
      <c r="J8" s="53">
        <v>1</v>
      </c>
      <c r="K8" s="53">
        <v>0</v>
      </c>
      <c r="L8" s="53">
        <v>0</v>
      </c>
      <c r="M8" s="53">
        <v>0</v>
      </c>
      <c r="N8" s="53">
        <v>0</v>
      </c>
      <c r="O8" s="53">
        <v>1</v>
      </c>
      <c r="P8" s="53">
        <v>100</v>
      </c>
      <c r="Q8" s="53" t="s">
        <v>170</v>
      </c>
      <c r="R8" s="106" t="s">
        <v>171</v>
      </c>
      <c r="S8" s="107">
        <f t="shared" si="1"/>
        <v>10</v>
      </c>
    </row>
    <row r="9" spans="1:19" x14ac:dyDescent="0.15">
      <c r="A9" s="107">
        <f>floors!C$2</f>
        <v>40034</v>
      </c>
      <c r="B9" s="117">
        <v>1</v>
      </c>
      <c r="C9" s="67" t="str">
        <f t="shared" si="0"/>
        <v>40034_1</v>
      </c>
      <c r="D9" s="18" t="str">
        <f ca="1">VLOOKUP($C9,OFFSET([2]stages!$A$1,0,0,COUNTA([2]stages!$A:$A),MATCH(D$1,[2]stages!$2:$2,0)-MATCH($C$1,[2]stages!$2:$2,0)+1),MATCH(D$1,[2]stages!$2:$2,0)-MATCH($C$1,[2]stages!$2:$2,0)+1,FALSE)</f>
        <v>everyone</v>
      </c>
      <c r="E9" s="53">
        <v>8</v>
      </c>
      <c r="F9" s="53" t="s">
        <v>257</v>
      </c>
      <c r="G9" s="53">
        <v>125</v>
      </c>
      <c r="H9" s="53">
        <v>1</v>
      </c>
      <c r="I9" s="53">
        <v>1</v>
      </c>
      <c r="J9" s="53">
        <v>1</v>
      </c>
      <c r="K9" s="53">
        <v>0</v>
      </c>
      <c r="L9" s="53">
        <v>0</v>
      </c>
      <c r="M9" s="53">
        <v>0</v>
      </c>
      <c r="N9" s="53">
        <v>0</v>
      </c>
      <c r="O9" s="53">
        <v>1</v>
      </c>
      <c r="P9" s="53">
        <v>10</v>
      </c>
      <c r="Q9" s="53" t="s">
        <v>170</v>
      </c>
      <c r="R9" s="106" t="s">
        <v>171</v>
      </c>
      <c r="S9" s="107">
        <f t="shared" si="1"/>
        <v>1</v>
      </c>
    </row>
    <row r="10" spans="1:19" x14ac:dyDescent="0.15">
      <c r="A10" s="119">
        <f>floors!C$2</f>
        <v>40034</v>
      </c>
      <c r="B10" s="117">
        <v>1</v>
      </c>
      <c r="C10" s="67" t="str">
        <f t="shared" si="0"/>
        <v>40034_1</v>
      </c>
      <c r="D10" s="18" t="str">
        <f ca="1">VLOOKUP($C10,OFFSET([2]stages!$A$1,0,0,COUNTA([2]stages!$A:$A),MATCH(D$1,[2]stages!$2:$2,0)-MATCH($C$1,[2]stages!$2:$2,0)+1),MATCH(D$1,[2]stages!$2:$2,0)-MATCH($C$1,[2]stages!$2:$2,0)+1,FALSE)</f>
        <v>everyone</v>
      </c>
      <c r="E10" s="53">
        <v>9</v>
      </c>
      <c r="F10" s="53" t="s">
        <v>257</v>
      </c>
      <c r="G10" s="53">
        <v>348</v>
      </c>
      <c r="H10" s="53">
        <v>1</v>
      </c>
      <c r="I10" s="53">
        <v>1</v>
      </c>
      <c r="J10" s="53">
        <v>1</v>
      </c>
      <c r="K10" s="53">
        <v>0</v>
      </c>
      <c r="L10" s="53">
        <v>0</v>
      </c>
      <c r="M10" s="53">
        <v>0</v>
      </c>
      <c r="N10" s="53">
        <v>0</v>
      </c>
      <c r="O10" s="53">
        <v>1</v>
      </c>
      <c r="P10" s="53">
        <v>150</v>
      </c>
      <c r="Q10" s="53" t="s">
        <v>170</v>
      </c>
      <c r="R10" s="106" t="s">
        <v>171</v>
      </c>
      <c r="S10" s="107">
        <f t="shared" si="1"/>
        <v>15</v>
      </c>
    </row>
    <row r="11" spans="1:19" ht="16" thickBot="1" x14ac:dyDescent="0.2">
      <c r="A11" s="114">
        <f>floors!C$2</f>
        <v>40034</v>
      </c>
      <c r="B11" s="118">
        <v>1</v>
      </c>
      <c r="C11" s="109" t="str">
        <f t="shared" si="0"/>
        <v>40034_1</v>
      </c>
      <c r="D11" s="110" t="str">
        <f ca="1">VLOOKUP($C11,OFFSET([2]stages!$A$1,0,0,COUNTA([2]stages!$A:$A),MATCH(D$1,[2]stages!$2:$2,0)-MATCH($C$1,[2]stages!$2:$2,0)+1),MATCH(D$1,[2]stages!$2:$2,0)-MATCH($C$1,[2]stages!$2:$2,0)+1,FALSE)</f>
        <v>everyone</v>
      </c>
      <c r="E11" s="108">
        <v>10</v>
      </c>
      <c r="F11" s="108" t="s">
        <v>257</v>
      </c>
      <c r="G11" s="108">
        <v>1147</v>
      </c>
      <c r="H11" s="108">
        <v>1</v>
      </c>
      <c r="I11" s="108">
        <v>1</v>
      </c>
      <c r="J11" s="108">
        <v>1</v>
      </c>
      <c r="K11" s="108">
        <v>0</v>
      </c>
      <c r="L11" s="108">
        <v>0</v>
      </c>
      <c r="M11" s="108">
        <v>0</v>
      </c>
      <c r="N11" s="108">
        <v>0</v>
      </c>
      <c r="O11" s="108">
        <v>1</v>
      </c>
      <c r="P11" s="108">
        <v>100</v>
      </c>
      <c r="Q11" s="108" t="s">
        <v>170</v>
      </c>
      <c r="R11" s="111" t="s">
        <v>171</v>
      </c>
      <c r="S11" s="112">
        <f t="shared" si="1"/>
        <v>10</v>
      </c>
    </row>
    <row r="12" spans="1:19" x14ac:dyDescent="0.15">
      <c r="A12" s="105">
        <f>floors!C$2</f>
        <v>40034</v>
      </c>
      <c r="B12" s="116">
        <v>2</v>
      </c>
      <c r="C12" s="102" t="str">
        <f t="shared" si="0"/>
        <v>40034_2</v>
      </c>
      <c r="D12" s="103" t="str">
        <f ca="1">VLOOKUP($C12,OFFSET([2]stages!$A$1,0,0,COUNTA([2]stages!$A:$A),MATCH(D$1,[2]stages!$2:$2,0)-MATCH($C$1,[2]stages!$2:$2,0)+1),MATCH(D$1,[2]stages!$2:$2,0)-MATCH($C$1,[2]stages!$2:$2,0)+1,FALSE)</f>
        <v>everyone</v>
      </c>
      <c r="E12" s="101">
        <v>11</v>
      </c>
      <c r="F12" s="101" t="s">
        <v>257</v>
      </c>
      <c r="G12" s="101">
        <v>334</v>
      </c>
      <c r="H12" s="101">
        <v>1</v>
      </c>
      <c r="I12" s="101">
        <v>1</v>
      </c>
      <c r="J12" s="101">
        <v>1</v>
      </c>
      <c r="K12" s="101">
        <v>0</v>
      </c>
      <c r="L12" s="101">
        <v>0</v>
      </c>
      <c r="M12" s="101">
        <v>0</v>
      </c>
      <c r="N12" s="101">
        <v>0</v>
      </c>
      <c r="O12" s="101">
        <v>1</v>
      </c>
      <c r="P12" s="101">
        <v>50</v>
      </c>
      <c r="Q12" s="101" t="s">
        <v>170</v>
      </c>
      <c r="R12" s="104" t="s">
        <v>171</v>
      </c>
      <c r="S12" s="105">
        <f>P12/SUM(P$12:P$18)*100</f>
        <v>5</v>
      </c>
    </row>
    <row r="13" spans="1:19" x14ac:dyDescent="0.15">
      <c r="A13" s="107">
        <f>floors!C$2</f>
        <v>40034</v>
      </c>
      <c r="B13" s="117">
        <v>2</v>
      </c>
      <c r="C13" s="67" t="str">
        <f t="shared" si="0"/>
        <v>40034_2</v>
      </c>
      <c r="D13" s="18" t="str">
        <f ca="1">VLOOKUP($C13,OFFSET([2]stages!$A$1,0,0,COUNTA([2]stages!$A:$A),MATCH(D$1,[2]stages!$2:$2,0)-MATCH($C$1,[2]stages!$2:$2,0)+1),MATCH(D$1,[2]stages!$2:$2,0)-MATCH($C$1,[2]stages!$2:$2,0)+1,FALSE)</f>
        <v>everyone</v>
      </c>
      <c r="E13" s="53">
        <v>12</v>
      </c>
      <c r="F13" s="53" t="s">
        <v>257</v>
      </c>
      <c r="G13" s="53">
        <v>607</v>
      </c>
      <c r="H13" s="53">
        <v>1</v>
      </c>
      <c r="I13" s="53">
        <v>1</v>
      </c>
      <c r="J13" s="53">
        <v>1</v>
      </c>
      <c r="K13" s="53">
        <v>0</v>
      </c>
      <c r="L13" s="53">
        <v>0</v>
      </c>
      <c r="M13" s="53">
        <v>0</v>
      </c>
      <c r="N13" s="53">
        <v>0</v>
      </c>
      <c r="O13" s="53">
        <v>1</v>
      </c>
      <c r="P13" s="53">
        <v>100</v>
      </c>
      <c r="Q13" s="53" t="s">
        <v>170</v>
      </c>
      <c r="R13" s="106" t="s">
        <v>171</v>
      </c>
      <c r="S13" s="107">
        <f t="shared" ref="S13:S18" si="2">P13/SUM(P$12:P$18)*100</f>
        <v>10</v>
      </c>
    </row>
    <row r="14" spans="1:19" x14ac:dyDescent="0.15">
      <c r="A14" s="107">
        <f>floors!C$2</f>
        <v>40034</v>
      </c>
      <c r="B14" s="117">
        <v>2</v>
      </c>
      <c r="C14" s="67" t="str">
        <f t="shared" si="0"/>
        <v>40034_2</v>
      </c>
      <c r="D14" s="18" t="str">
        <f ca="1">VLOOKUP($C14,OFFSET([2]stages!$A$1,0,0,COUNTA([2]stages!$A:$A),MATCH(D$1,[2]stages!$2:$2,0)-MATCH($C$1,[2]stages!$2:$2,0)+1),MATCH(D$1,[2]stages!$2:$2,0)-MATCH($C$1,[2]stages!$2:$2,0)+1,FALSE)</f>
        <v>everyone</v>
      </c>
      <c r="E14" s="53">
        <v>13</v>
      </c>
      <c r="F14" s="53" t="s">
        <v>257</v>
      </c>
      <c r="G14" s="53">
        <v>608</v>
      </c>
      <c r="H14" s="53">
        <v>1</v>
      </c>
      <c r="I14" s="53">
        <v>1</v>
      </c>
      <c r="J14" s="53">
        <v>1</v>
      </c>
      <c r="K14" s="53">
        <v>0</v>
      </c>
      <c r="L14" s="53">
        <v>0</v>
      </c>
      <c r="M14" s="53">
        <v>0</v>
      </c>
      <c r="N14" s="53">
        <v>0</v>
      </c>
      <c r="O14" s="53">
        <v>1</v>
      </c>
      <c r="P14" s="53">
        <v>100</v>
      </c>
      <c r="Q14" s="53" t="s">
        <v>170</v>
      </c>
      <c r="R14" s="106" t="s">
        <v>171</v>
      </c>
      <c r="S14" s="107">
        <f t="shared" si="2"/>
        <v>10</v>
      </c>
    </row>
    <row r="15" spans="1:19" x14ac:dyDescent="0.15">
      <c r="A15" s="107">
        <f>floors!C$2</f>
        <v>40034</v>
      </c>
      <c r="B15" s="117">
        <v>2</v>
      </c>
      <c r="C15" s="67" t="str">
        <f t="shared" si="0"/>
        <v>40034_2</v>
      </c>
      <c r="D15" s="18" t="str">
        <f ca="1">VLOOKUP($C15,OFFSET([2]stages!$A$1,0,0,COUNTA([2]stages!$A:$A),MATCH(D$1,[2]stages!$2:$2,0)-MATCH($C$1,[2]stages!$2:$2,0)+1),MATCH(D$1,[2]stages!$2:$2,0)-MATCH($C$1,[2]stages!$2:$2,0)+1,FALSE)</f>
        <v>everyone</v>
      </c>
      <c r="E15" s="53">
        <v>14</v>
      </c>
      <c r="F15" s="53" t="s">
        <v>257</v>
      </c>
      <c r="G15" s="53">
        <v>609</v>
      </c>
      <c r="H15" s="53">
        <v>1</v>
      </c>
      <c r="I15" s="53">
        <v>1</v>
      </c>
      <c r="J15" s="53">
        <v>1</v>
      </c>
      <c r="K15" s="53">
        <v>0</v>
      </c>
      <c r="L15" s="53">
        <v>0</v>
      </c>
      <c r="M15" s="53">
        <v>0</v>
      </c>
      <c r="N15" s="53">
        <v>0</v>
      </c>
      <c r="O15" s="53">
        <v>1</v>
      </c>
      <c r="P15" s="53">
        <v>100</v>
      </c>
      <c r="Q15" s="53" t="s">
        <v>170</v>
      </c>
      <c r="R15" s="106" t="s">
        <v>171</v>
      </c>
      <c r="S15" s="107">
        <f t="shared" si="2"/>
        <v>10</v>
      </c>
    </row>
    <row r="16" spans="1:19" x14ac:dyDescent="0.15">
      <c r="A16" s="107">
        <f>floors!C$2</f>
        <v>40034</v>
      </c>
      <c r="B16" s="117">
        <v>2</v>
      </c>
      <c r="C16" s="67" t="str">
        <f t="shared" si="0"/>
        <v>40034_2</v>
      </c>
      <c r="D16" s="18" t="str">
        <f ca="1">VLOOKUP($C16,OFFSET([2]stages!$A$1,0,0,COUNTA([2]stages!$A:$A),MATCH(D$1,[2]stages!$2:$2,0)-MATCH($C$1,[2]stages!$2:$2,0)+1),MATCH(D$1,[2]stages!$2:$2,0)-MATCH($C$1,[2]stages!$2:$2,0)+1,FALSE)</f>
        <v>everyone</v>
      </c>
      <c r="E16" s="53">
        <v>15</v>
      </c>
      <c r="F16" s="53" t="s">
        <v>257</v>
      </c>
      <c r="G16" s="53">
        <v>125</v>
      </c>
      <c r="H16" s="53">
        <v>1</v>
      </c>
      <c r="I16" s="53">
        <v>1</v>
      </c>
      <c r="J16" s="53">
        <v>1</v>
      </c>
      <c r="K16" s="53">
        <v>0</v>
      </c>
      <c r="L16" s="53">
        <v>0</v>
      </c>
      <c r="M16" s="53">
        <v>0</v>
      </c>
      <c r="N16" s="53">
        <v>0</v>
      </c>
      <c r="O16" s="53">
        <v>1</v>
      </c>
      <c r="P16" s="53">
        <v>30</v>
      </c>
      <c r="Q16" s="53" t="s">
        <v>170</v>
      </c>
      <c r="R16" s="106" t="s">
        <v>171</v>
      </c>
      <c r="S16" s="107">
        <f t="shared" si="2"/>
        <v>3</v>
      </c>
    </row>
    <row r="17" spans="1:19" x14ac:dyDescent="0.15">
      <c r="A17" s="107">
        <f>floors!C$2</f>
        <v>40034</v>
      </c>
      <c r="B17" s="117">
        <v>2</v>
      </c>
      <c r="C17" s="67" t="str">
        <f t="shared" si="0"/>
        <v>40034_2</v>
      </c>
      <c r="D17" s="18" t="str">
        <f ca="1">VLOOKUP($C17,OFFSET([2]stages!$A$1,0,0,COUNTA([2]stages!$A:$A),MATCH(D$1,[2]stages!$2:$2,0)-MATCH($C$1,[2]stages!$2:$2,0)+1),MATCH(D$1,[2]stages!$2:$2,0)-MATCH($C$1,[2]stages!$2:$2,0)+1,FALSE)</f>
        <v>everyone</v>
      </c>
      <c r="E17" s="53">
        <v>16</v>
      </c>
      <c r="F17" s="53" t="s">
        <v>257</v>
      </c>
      <c r="G17" s="53">
        <v>1147</v>
      </c>
      <c r="H17" s="53">
        <v>1</v>
      </c>
      <c r="I17" s="53">
        <v>1</v>
      </c>
      <c r="J17" s="53">
        <v>1</v>
      </c>
      <c r="K17" s="53">
        <v>0</v>
      </c>
      <c r="L17" s="53">
        <v>0</v>
      </c>
      <c r="M17" s="53">
        <v>0</v>
      </c>
      <c r="N17" s="53">
        <v>0</v>
      </c>
      <c r="O17" s="53">
        <v>1</v>
      </c>
      <c r="P17" s="53">
        <v>500</v>
      </c>
      <c r="Q17" s="53" t="s">
        <v>170</v>
      </c>
      <c r="R17" s="106" t="s">
        <v>171</v>
      </c>
      <c r="S17" s="113">
        <f t="shared" si="2"/>
        <v>50</v>
      </c>
    </row>
    <row r="18" spans="1:19" ht="16" thickBot="1" x14ac:dyDescent="0.2">
      <c r="A18" s="114">
        <f>floors!C$2</f>
        <v>40034</v>
      </c>
      <c r="B18" s="118">
        <v>2</v>
      </c>
      <c r="C18" s="109" t="str">
        <f t="shared" si="0"/>
        <v>40034_2</v>
      </c>
      <c r="D18" s="110" t="str">
        <f ca="1">VLOOKUP($C18,OFFSET([2]stages!$A$1,0,0,COUNTA([2]stages!$A:$A),MATCH(D$1,[2]stages!$2:$2,0)-MATCH($C$1,[2]stages!$2:$2,0)+1),MATCH(D$1,[2]stages!$2:$2,0)-MATCH($C$1,[2]stages!$2:$2,0)+1,FALSE)</f>
        <v>everyone</v>
      </c>
      <c r="E18" s="108">
        <v>17</v>
      </c>
      <c r="F18" s="108" t="s">
        <v>257</v>
      </c>
      <c r="G18" s="108">
        <v>348</v>
      </c>
      <c r="H18" s="108">
        <v>1</v>
      </c>
      <c r="I18" s="108">
        <v>1</v>
      </c>
      <c r="J18" s="108">
        <v>1</v>
      </c>
      <c r="K18" s="108">
        <v>0</v>
      </c>
      <c r="L18" s="108">
        <v>0</v>
      </c>
      <c r="M18" s="108">
        <v>0</v>
      </c>
      <c r="N18" s="108">
        <v>0</v>
      </c>
      <c r="O18" s="108">
        <v>1</v>
      </c>
      <c r="P18" s="108">
        <v>120</v>
      </c>
      <c r="Q18" s="108" t="s">
        <v>170</v>
      </c>
      <c r="R18" s="111" t="s">
        <v>171</v>
      </c>
      <c r="S18" s="114">
        <f t="shared" si="2"/>
        <v>12</v>
      </c>
    </row>
  </sheetData>
  <phoneticPr fontId="5"/>
  <dataValidations disablePrompts="1" count="1">
    <dataValidation type="list" allowBlank="1" showInputMessage="1" showErrorMessage="1" sqref="F2:F18">
      <formula1>"bit,link,polygon,unit"</formula1>
    </dataValidation>
  </dataValidations>
  <pageMargins left="0.7" right="0.7" top="0.75" bottom="0.75" header="0.3" footer="0.3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 enableFormatConditionsCalculation="0">
    <tabColor rgb="FF0000FF"/>
    <outlinePr summaryBelow="0" summaryRight="0"/>
  </sheetPr>
  <dimension ref="A1:M1"/>
  <sheetViews>
    <sheetView showGridLines="0" workbookViewId="0">
      <pane ySplit="1" topLeftCell="A2" activePane="bottomLeft" state="frozen"/>
      <selection pane="bottomLeft" activeCell="L30" sqref="L30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8" width="22" customWidth="1"/>
    <col min="9" max="11" width="11.1640625" customWidth="1"/>
    <col min="12" max="12" width="42.6640625" customWidth="1"/>
  </cols>
  <sheetData>
    <row r="1" spans="1:13" x14ac:dyDescent="0.15">
      <c r="A1" s="72" t="s">
        <v>188</v>
      </c>
      <c r="B1" s="69" t="s">
        <v>189</v>
      </c>
      <c r="C1" s="73" t="s">
        <v>190</v>
      </c>
      <c r="D1" s="73" t="s">
        <v>33</v>
      </c>
      <c r="E1" s="69" t="s">
        <v>191</v>
      </c>
      <c r="F1" s="73" t="s">
        <v>192</v>
      </c>
      <c r="G1" s="73" t="s">
        <v>33</v>
      </c>
      <c r="H1" s="69" t="s">
        <v>193</v>
      </c>
      <c r="I1" s="87" t="s">
        <v>195</v>
      </c>
      <c r="J1" s="75" t="s">
        <v>127</v>
      </c>
      <c r="K1" s="74" t="s">
        <v>187</v>
      </c>
      <c r="L1" s="88" t="s">
        <v>186</v>
      </c>
      <c r="M1" s="76" t="s">
        <v>196</v>
      </c>
    </row>
  </sheetData>
  <phoneticPr fontId="5"/>
  <pageMargins left="0.7" right="0.7" top="0.75" bottom="0.75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  <outlinePr summaryBelow="0" summaryRight="0"/>
  </sheetPr>
  <dimension ref="A1:O25"/>
  <sheetViews>
    <sheetView showGridLines="0" workbookViewId="0">
      <pane ySplit="1" topLeftCell="A9" activePane="bottomLeft" state="frozen"/>
      <selection pane="bottomLeft" activeCell="A16" sqref="A16"/>
    </sheetView>
  </sheetViews>
  <sheetFormatPr baseColWidth="12" defaultColWidth="13" defaultRowHeight="15" outlineLevelCol="1" x14ac:dyDescent="0.15"/>
  <cols>
    <col min="1" max="1" width="13" style="84"/>
    <col min="2" max="2" width="13" collapsed="1"/>
    <col min="3" max="3" width="17" hidden="1" customWidth="1" outlineLevel="1"/>
    <col min="4" max="4" width="18.83203125" hidden="1" customWidth="1" outlineLevel="1"/>
    <col min="5" max="5" width="13" collapsed="1"/>
    <col min="6" max="6" width="22.5" hidden="1" customWidth="1" outlineLevel="1"/>
    <col min="7" max="7" width="22" hidden="1" customWidth="1" outlineLevel="1"/>
    <col min="8" max="9" width="22" customWidth="1"/>
    <col min="10" max="12" width="11.1640625" customWidth="1"/>
    <col min="13" max="13" width="42.6640625" customWidth="1"/>
  </cols>
  <sheetData>
    <row r="1" spans="1:15" x14ac:dyDescent="0.15">
      <c r="A1" s="72" t="s">
        <v>188</v>
      </c>
      <c r="B1" s="69" t="s">
        <v>151</v>
      </c>
      <c r="C1" s="73" t="s">
        <v>190</v>
      </c>
      <c r="D1" s="73" t="s">
        <v>33</v>
      </c>
      <c r="E1" s="69" t="s">
        <v>191</v>
      </c>
      <c r="F1" s="73" t="s">
        <v>18</v>
      </c>
      <c r="G1" s="73" t="s">
        <v>33</v>
      </c>
      <c r="H1" s="69" t="s">
        <v>193</v>
      </c>
      <c r="I1" s="85" t="s">
        <v>194</v>
      </c>
      <c r="J1" s="87" t="s">
        <v>195</v>
      </c>
      <c r="K1" s="75" t="s">
        <v>127</v>
      </c>
      <c r="L1" s="74" t="s">
        <v>187</v>
      </c>
      <c r="M1" s="88" t="s">
        <v>186</v>
      </c>
      <c r="N1" s="76" t="s">
        <v>196</v>
      </c>
    </row>
    <row r="2" spans="1:15" ht="42" x14ac:dyDescent="0.15">
      <c r="A2" s="77" t="s">
        <v>197</v>
      </c>
      <c r="B2" s="78">
        <v>40034</v>
      </c>
      <c r="C2" s="79" t="str">
        <f ca="1">VLOOKUP($B2,OFFSET([2]quests!$A$1,0,0,COUNTA([2]quests!$A:$A),MATCH(C$1,[2]quests!$1:$1,0)-MATCH($B$1,[2]quests!$1:$1,0)+1),MATCH(C$1,[2]quests!$1:$1,0)-MATCH($B$1,[2]quests!$1:$1,0)+1,FALSE)</f>
        <v>カーリー襲来！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降臨34</v>
      </c>
      <c r="E2" s="80">
        <v>1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【超絶級】カーリー襲来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降臨34</v>
      </c>
      <c r="H2" s="81">
        <v>1</v>
      </c>
      <c r="I2" s="86">
        <f>ROW()-1</f>
        <v>1</v>
      </c>
      <c r="J2" s="82" t="str">
        <f>B2&amp;TEXT(I2,"00")</f>
        <v>4003401</v>
      </c>
      <c r="K2" s="80" t="s">
        <v>198</v>
      </c>
      <c r="L2" s="83" t="s">
        <v>199</v>
      </c>
      <c r="M2" s="120" t="s">
        <v>446</v>
      </c>
      <c r="N2" s="53" t="s">
        <v>200</v>
      </c>
      <c r="O2">
        <f>LEN(M2)</f>
        <v>56</v>
      </c>
    </row>
    <row r="3" spans="1:15" ht="42" x14ac:dyDescent="0.15">
      <c r="A3" s="77" t="s">
        <v>197</v>
      </c>
      <c r="B3" s="78">
        <v>40034</v>
      </c>
      <c r="C3" s="79" t="str">
        <f ca="1">VLOOKUP($B3,OFFSET([2]quests!$A$1,0,0,COUNTA([2]quests!$A:$A),MATCH(C$1,[2]quests!$1:$1,0)-MATCH($B$1,[2]quests!$1:$1,0)+1),MATCH(C$1,[2]quests!$1:$1,0)-MATCH($B$1,[2]quests!$1:$1,0)+1,FALSE)</f>
        <v>カーリー襲来！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降臨34</v>
      </c>
      <c r="E3" s="80">
        <v>1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【超絶級】カーリー襲来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降臨34</v>
      </c>
      <c r="H3" s="81">
        <v>2</v>
      </c>
      <c r="I3" s="86">
        <f>ROW()-1</f>
        <v>2</v>
      </c>
      <c r="J3" s="82" t="str">
        <f>B3&amp;TEXT(I3,"00")</f>
        <v>4003402</v>
      </c>
      <c r="K3" s="80" t="s">
        <v>198</v>
      </c>
      <c r="L3" s="83" t="s">
        <v>199</v>
      </c>
      <c r="M3" s="120" t="s">
        <v>451</v>
      </c>
      <c r="N3" s="53" t="s">
        <v>200</v>
      </c>
      <c r="O3">
        <f t="shared" ref="O3:O6" si="0">LEN(M3)</f>
        <v>56</v>
      </c>
    </row>
    <row r="4" spans="1:15" ht="42" x14ac:dyDescent="0.15">
      <c r="A4" s="77" t="s">
        <v>197</v>
      </c>
      <c r="B4" s="78">
        <v>40034</v>
      </c>
      <c r="C4" s="79" t="str">
        <f ca="1">VLOOKUP($B4,OFFSET([2]quests!$A$1,0,0,COUNTA([2]quests!$A:$A),MATCH(C$1,[2]quests!$1:$1,0)-MATCH($B$1,[2]quests!$1:$1,0)+1),MATCH(C$1,[2]quests!$1:$1,0)-MATCH($B$1,[2]quests!$1:$1,0)+1,FALSE)</f>
        <v>カーリー襲来！</v>
      </c>
      <c r="D4" s="79" t="str">
        <f ca="1">VLOOKUP($B4,OFFSET([2]quests!$A$1,0,0,COUNTA([2]quests!$A:$A),MATCH(D$1,[2]quests!$1:$1,0)-MATCH($B$1,[2]quests!$1:$1,0)+1),MATCH(D$1,[2]quests!$1:$1,0)-MATCH($B$1,[2]quests!$1:$1,0)+1,FALSE)</f>
        <v>降臨34</v>
      </c>
      <c r="E4" s="80">
        <v>1</v>
      </c>
      <c r="F4" s="79" t="str">
        <f ca="1">VLOOKUP($B4&amp;"_"&amp;$E4,OFFSET([2]stages!$A$1,0,0,COUNTA([2]stages!$A:$A),MATCH(F$1,[2]stages!$2:$2,0)-MATCH("temp_stage",[2]stages!$2:$2,0)+1),MATCH(F$1,[2]stages!$2:$2,0)-MATCH("temp_stage",[2]stages!$2:$2,0)+1,FALSE)</f>
        <v>【超絶級】カーリー襲来</v>
      </c>
      <c r="G4" s="79" t="str">
        <f ca="1">VLOOKUP($B4&amp;"_"&amp;$E4,OFFSET([2]stages!$A$1,0,0,COUNTA([2]stages!$A:$A),MATCH(G$1,[2]stages!$2:$2,0)-MATCH("temp_stage",[2]stages!$2:$2,0)+1),MATCH(G$1,[2]stages!$2:$2,0)-MATCH("temp_stage",[2]stages!$2:$2,0)+1,FALSE)</f>
        <v>降臨34</v>
      </c>
      <c r="H4" s="81">
        <v>3</v>
      </c>
      <c r="I4" s="86">
        <f t="shared" ref="I4:I25" si="1">ROW()-1</f>
        <v>3</v>
      </c>
      <c r="J4" s="82" t="str">
        <f t="shared" ref="J4:J6" si="2">B4&amp;TEXT(I4,"00")</f>
        <v>4003403</v>
      </c>
      <c r="K4" s="80" t="s">
        <v>198</v>
      </c>
      <c r="L4" s="83" t="s">
        <v>199</v>
      </c>
      <c r="M4" s="120" t="s">
        <v>371</v>
      </c>
      <c r="N4" s="53" t="s">
        <v>200</v>
      </c>
      <c r="O4">
        <f t="shared" si="0"/>
        <v>54</v>
      </c>
    </row>
    <row r="5" spans="1:15" ht="42" x14ac:dyDescent="0.15">
      <c r="A5" s="77" t="s">
        <v>197</v>
      </c>
      <c r="B5" s="78">
        <v>40034</v>
      </c>
      <c r="C5" s="79" t="str">
        <f ca="1">VLOOKUP($B5,OFFSET([2]quests!$A$1,0,0,COUNTA([2]quests!$A:$A),MATCH(C$1,[2]quests!$1:$1,0)-MATCH($B$1,[2]quests!$1:$1,0)+1),MATCH(C$1,[2]quests!$1:$1,0)-MATCH($B$1,[2]quests!$1:$1,0)+1,FALSE)</f>
        <v>カーリー襲来！</v>
      </c>
      <c r="D5" s="79" t="str">
        <f ca="1">VLOOKUP($B5,OFFSET([2]quests!$A$1,0,0,COUNTA([2]quests!$A:$A),MATCH(D$1,[2]quests!$1:$1,0)-MATCH($B$1,[2]quests!$1:$1,0)+1),MATCH(D$1,[2]quests!$1:$1,0)-MATCH($B$1,[2]quests!$1:$1,0)+1,FALSE)</f>
        <v>降臨34</v>
      </c>
      <c r="E5" s="80">
        <v>1</v>
      </c>
      <c r="F5" s="79" t="str">
        <f ca="1">VLOOKUP($B5&amp;"_"&amp;$E5,OFFSET([2]stages!$A$1,0,0,COUNTA([2]stages!$A:$A),MATCH(F$1,[2]stages!$2:$2,0)-MATCH("temp_stage",[2]stages!$2:$2,0)+1),MATCH(F$1,[2]stages!$2:$2,0)-MATCH("temp_stage",[2]stages!$2:$2,0)+1,FALSE)</f>
        <v>【超絶級】カーリー襲来</v>
      </c>
      <c r="G5" s="79" t="str">
        <f ca="1">VLOOKUP($B5&amp;"_"&amp;$E5,OFFSET([2]stages!$A$1,0,0,COUNTA([2]stages!$A:$A),MATCH(G$1,[2]stages!$2:$2,0)-MATCH("temp_stage",[2]stages!$2:$2,0)+1),MATCH(G$1,[2]stages!$2:$2,0)-MATCH("temp_stage",[2]stages!$2:$2,0)+1,FALSE)</f>
        <v>降臨34</v>
      </c>
      <c r="H5" s="81">
        <v>3</v>
      </c>
      <c r="I5" s="86">
        <f t="shared" si="1"/>
        <v>4</v>
      </c>
      <c r="J5" s="82" t="str">
        <f t="shared" ref="J5" si="3">B5&amp;TEXT(I5,"00")</f>
        <v>4003404</v>
      </c>
      <c r="K5" s="80" t="s">
        <v>198</v>
      </c>
      <c r="L5" s="83" t="s">
        <v>199</v>
      </c>
      <c r="M5" s="120" t="s">
        <v>372</v>
      </c>
      <c r="N5" s="53" t="s">
        <v>200</v>
      </c>
      <c r="O5">
        <f t="shared" ref="O5" si="4">LEN(M5)</f>
        <v>51</v>
      </c>
    </row>
    <row r="6" spans="1:15" ht="42" x14ac:dyDescent="0.15">
      <c r="A6" s="77" t="s">
        <v>197</v>
      </c>
      <c r="B6" s="78">
        <v>40034</v>
      </c>
      <c r="C6" s="79" t="str">
        <f ca="1">VLOOKUP($B6,OFFSET([2]quests!$A$1,0,0,COUNTA([2]quests!$A:$A),MATCH(C$1,[2]quests!$1:$1,0)-MATCH($B$1,[2]quests!$1:$1,0)+1),MATCH(C$1,[2]quests!$1:$1,0)-MATCH($B$1,[2]quests!$1:$1,0)+1,FALSE)</f>
        <v>カーリー襲来！</v>
      </c>
      <c r="D6" s="79" t="str">
        <f ca="1">VLOOKUP($B6,OFFSET([2]quests!$A$1,0,0,COUNTA([2]quests!$A:$A),MATCH(D$1,[2]quests!$1:$1,0)-MATCH($B$1,[2]quests!$1:$1,0)+1),MATCH(D$1,[2]quests!$1:$1,0)-MATCH($B$1,[2]quests!$1:$1,0)+1,FALSE)</f>
        <v>降臨34</v>
      </c>
      <c r="E6" s="80">
        <v>1</v>
      </c>
      <c r="F6" s="79" t="str">
        <f ca="1">VLOOKUP($B6&amp;"_"&amp;$E6,OFFSET([2]stages!$A$1,0,0,COUNTA([2]stages!$A:$A),MATCH(F$1,[2]stages!$2:$2,0)-MATCH("temp_stage",[2]stages!$2:$2,0)+1),MATCH(F$1,[2]stages!$2:$2,0)-MATCH("temp_stage",[2]stages!$2:$2,0)+1,FALSE)</f>
        <v>【超絶級】カーリー襲来</v>
      </c>
      <c r="G6" s="79" t="str">
        <f ca="1">VLOOKUP($B6&amp;"_"&amp;$E6,OFFSET([2]stages!$A$1,0,0,COUNTA([2]stages!$A:$A),MATCH(G$1,[2]stages!$2:$2,0)-MATCH("temp_stage",[2]stages!$2:$2,0)+1),MATCH(G$1,[2]stages!$2:$2,0)-MATCH("temp_stage",[2]stages!$2:$2,0)+1,FALSE)</f>
        <v>降臨34</v>
      </c>
      <c r="H6" s="81">
        <v>4</v>
      </c>
      <c r="I6" s="86">
        <f t="shared" si="1"/>
        <v>5</v>
      </c>
      <c r="J6" s="82" t="str">
        <f t="shared" si="2"/>
        <v>4003405</v>
      </c>
      <c r="K6" s="80" t="s">
        <v>198</v>
      </c>
      <c r="L6" s="83" t="s">
        <v>199</v>
      </c>
      <c r="M6" s="120" t="s">
        <v>450</v>
      </c>
      <c r="N6" s="53" t="s">
        <v>200</v>
      </c>
      <c r="O6">
        <f t="shared" si="0"/>
        <v>56</v>
      </c>
    </row>
    <row r="7" spans="1:15" ht="56" x14ac:dyDescent="0.15">
      <c r="A7" s="77" t="s">
        <v>197</v>
      </c>
      <c r="B7" s="78">
        <v>40034</v>
      </c>
      <c r="C7" s="79" t="str">
        <f ca="1">VLOOKUP($B7,OFFSET([2]quests!$A$1,0,0,COUNTA([2]quests!$A:$A),MATCH(C$1,[2]quests!$1:$1,0)-MATCH($B$1,[2]quests!$1:$1,0)+1),MATCH(C$1,[2]quests!$1:$1,0)-MATCH($B$1,[2]quests!$1:$1,0)+1,FALSE)</f>
        <v>カーリー襲来！</v>
      </c>
      <c r="D7" s="79" t="str">
        <f ca="1">VLOOKUP($B7,OFFSET([2]quests!$A$1,0,0,COUNTA([2]quests!$A:$A),MATCH(D$1,[2]quests!$1:$1,0)-MATCH($B$1,[2]quests!$1:$1,0)+1),MATCH(D$1,[2]quests!$1:$1,0)-MATCH($B$1,[2]quests!$1:$1,0)+1,FALSE)</f>
        <v>降臨34</v>
      </c>
      <c r="E7" s="80">
        <v>1</v>
      </c>
      <c r="F7" s="79" t="str">
        <f ca="1">VLOOKUP($B7&amp;"_"&amp;$E7,OFFSET([2]stages!$A$1,0,0,COUNTA([2]stages!$A:$A),MATCH(F$1,[2]stages!$2:$2,0)-MATCH("temp_stage",[2]stages!$2:$2,0)+1),MATCH(F$1,[2]stages!$2:$2,0)-MATCH("temp_stage",[2]stages!$2:$2,0)+1,FALSE)</f>
        <v>【超絶級】カーリー襲来</v>
      </c>
      <c r="G7" s="79" t="str">
        <f ca="1">VLOOKUP($B7&amp;"_"&amp;$E7,OFFSET([2]stages!$A$1,0,0,COUNTA([2]stages!$A:$A),MATCH(G$1,[2]stages!$2:$2,0)-MATCH("temp_stage",[2]stages!$2:$2,0)+1),MATCH(G$1,[2]stages!$2:$2,0)-MATCH("temp_stage",[2]stages!$2:$2,0)+1,FALSE)</f>
        <v>降臨34</v>
      </c>
      <c r="H7" s="81">
        <v>4</v>
      </c>
      <c r="I7" s="86">
        <f t="shared" si="1"/>
        <v>6</v>
      </c>
      <c r="J7" s="82" t="str">
        <f t="shared" ref="J7" si="5">B7&amp;TEXT(I7,"00")</f>
        <v>4003406</v>
      </c>
      <c r="K7" s="80" t="s">
        <v>198</v>
      </c>
      <c r="L7" s="83" t="s">
        <v>199</v>
      </c>
      <c r="M7" s="120" t="s">
        <v>421</v>
      </c>
      <c r="N7" s="53" t="s">
        <v>200</v>
      </c>
      <c r="O7">
        <f t="shared" ref="O7" si="6">LEN(M7)</f>
        <v>60</v>
      </c>
    </row>
    <row r="8" spans="1:15" ht="42" x14ac:dyDescent="0.15">
      <c r="A8" s="77" t="s">
        <v>373</v>
      </c>
      <c r="B8" s="78">
        <v>40034</v>
      </c>
      <c r="C8" s="79" t="str">
        <f ca="1">VLOOKUP($B8,OFFSET([2]quests!$A$1,0,0,COUNTA([2]quests!$A:$A),MATCH(C$1,[2]quests!$1:$1,0)-MATCH($B$1,[2]quests!$1:$1,0)+1),MATCH(C$1,[2]quests!$1:$1,0)-MATCH($B$1,[2]quests!$1:$1,0)+1,FALSE)</f>
        <v>カーリー襲来！</v>
      </c>
      <c r="D8" s="79" t="str">
        <f ca="1">VLOOKUP($B8,OFFSET([2]quests!$A$1,0,0,COUNTA([2]quests!$A:$A),MATCH(D$1,[2]quests!$1:$1,0)-MATCH($B$1,[2]quests!$1:$1,0)+1),MATCH(D$1,[2]quests!$1:$1,0)-MATCH($B$1,[2]quests!$1:$1,0)+1,FALSE)</f>
        <v>降臨34</v>
      </c>
      <c r="E8" s="80">
        <v>1</v>
      </c>
      <c r="F8" s="79" t="str">
        <f ca="1">VLOOKUP($B8&amp;"_"&amp;$E8,OFFSET([2]stages!$A$1,0,0,COUNTA([2]stages!$A:$A),MATCH(F$1,[2]stages!$2:$2,0)-MATCH("temp_stage",[2]stages!$2:$2,0)+1),MATCH(F$1,[2]stages!$2:$2,0)-MATCH("temp_stage",[2]stages!$2:$2,0)+1,FALSE)</f>
        <v>【超絶級】カーリー襲来</v>
      </c>
      <c r="G8" s="79" t="str">
        <f ca="1">VLOOKUP($B8&amp;"_"&amp;$E8,OFFSET([2]stages!$A$1,0,0,COUNTA([2]stages!$A:$A),MATCH(G$1,[2]stages!$2:$2,0)-MATCH("temp_stage",[2]stages!$2:$2,0)+1),MATCH(G$1,[2]stages!$2:$2,0)-MATCH("temp_stage",[2]stages!$2:$2,0)+1,FALSE)</f>
        <v>降臨34</v>
      </c>
      <c r="H8" s="81">
        <v>4</v>
      </c>
      <c r="I8" s="86">
        <f t="shared" si="1"/>
        <v>7</v>
      </c>
      <c r="J8" s="82" t="str">
        <f t="shared" ref="J8" si="7">B8&amp;TEXT(I8,"00")</f>
        <v>4003407</v>
      </c>
      <c r="K8" s="80" t="s">
        <v>198</v>
      </c>
      <c r="L8" s="83" t="s">
        <v>199</v>
      </c>
      <c r="M8" s="120" t="s">
        <v>374</v>
      </c>
      <c r="N8" s="53" t="s">
        <v>200</v>
      </c>
      <c r="O8">
        <f t="shared" ref="O8" si="8">LEN(M8)</f>
        <v>55</v>
      </c>
    </row>
    <row r="9" spans="1:15" ht="42" x14ac:dyDescent="0.15">
      <c r="A9" s="77" t="s">
        <v>373</v>
      </c>
      <c r="B9" s="78">
        <v>40034</v>
      </c>
      <c r="C9" s="79" t="str">
        <f ca="1">VLOOKUP($B9,OFFSET([2]quests!$A$1,0,0,COUNTA([2]quests!$A:$A),MATCH(C$1,[2]quests!$1:$1,0)-MATCH($B$1,[2]quests!$1:$1,0)+1),MATCH(C$1,[2]quests!$1:$1,0)-MATCH($B$1,[2]quests!$1:$1,0)+1,FALSE)</f>
        <v>カーリー襲来！</v>
      </c>
      <c r="D9" s="79" t="str">
        <f ca="1">VLOOKUP($B9,OFFSET([2]quests!$A$1,0,0,COUNTA([2]quests!$A:$A),MATCH(D$1,[2]quests!$1:$1,0)-MATCH($B$1,[2]quests!$1:$1,0)+1),MATCH(D$1,[2]quests!$1:$1,0)-MATCH($B$1,[2]quests!$1:$1,0)+1,FALSE)</f>
        <v>降臨34</v>
      </c>
      <c r="E9" s="80">
        <v>1</v>
      </c>
      <c r="F9" s="79" t="str">
        <f ca="1">VLOOKUP($B9&amp;"_"&amp;$E9,OFFSET([2]stages!$A$1,0,0,COUNTA([2]stages!$A:$A),MATCH(F$1,[2]stages!$2:$2,0)-MATCH("temp_stage",[2]stages!$2:$2,0)+1),MATCH(F$1,[2]stages!$2:$2,0)-MATCH("temp_stage",[2]stages!$2:$2,0)+1,FALSE)</f>
        <v>【超絶級】カーリー襲来</v>
      </c>
      <c r="G9" s="79" t="str">
        <f ca="1">VLOOKUP($B9&amp;"_"&amp;$E9,OFFSET([2]stages!$A$1,0,0,COUNTA([2]stages!$A:$A),MATCH(G$1,[2]stages!$2:$2,0)-MATCH("temp_stage",[2]stages!$2:$2,0)+1),MATCH(G$1,[2]stages!$2:$2,0)-MATCH("temp_stage",[2]stages!$2:$2,0)+1,FALSE)</f>
        <v>降臨34</v>
      </c>
      <c r="H9" s="81">
        <v>4</v>
      </c>
      <c r="I9" s="86">
        <f t="shared" si="1"/>
        <v>8</v>
      </c>
      <c r="J9" s="82" t="str">
        <f t="shared" ref="J9" si="9">B9&amp;TEXT(I9,"00")</f>
        <v>4003408</v>
      </c>
      <c r="K9" s="80" t="s">
        <v>198</v>
      </c>
      <c r="L9" s="83" t="s">
        <v>199</v>
      </c>
      <c r="M9" s="120" t="s">
        <v>448</v>
      </c>
      <c r="N9" s="53" t="s">
        <v>200</v>
      </c>
      <c r="O9">
        <f t="shared" ref="O9" si="10">LEN(M9)</f>
        <v>54</v>
      </c>
    </row>
    <row r="10" spans="1:15" ht="42" x14ac:dyDescent="0.15">
      <c r="A10" s="77" t="s">
        <v>197</v>
      </c>
      <c r="B10" s="78">
        <v>40034</v>
      </c>
      <c r="C10" s="79" t="str">
        <f ca="1">VLOOKUP($B10,OFFSET([2]quests!$A$1,0,0,COUNTA([2]quests!$A:$A),MATCH(C$1,[2]quests!$1:$1,0)-MATCH($B$1,[2]quests!$1:$1,0)+1),MATCH(C$1,[2]quests!$1:$1,0)-MATCH($B$1,[2]quests!$1:$1,0)+1,FALSE)</f>
        <v>カーリー襲来！</v>
      </c>
      <c r="D10" s="79" t="str">
        <f ca="1">VLOOKUP($B10,OFFSET([2]quests!$A$1,0,0,COUNTA([2]quests!$A:$A),MATCH(D$1,[2]quests!$1:$1,0)-MATCH($B$1,[2]quests!$1:$1,0)+1),MATCH(D$1,[2]quests!$1:$1,0)-MATCH($B$1,[2]quests!$1:$1,0)+1,FALSE)</f>
        <v>降臨34</v>
      </c>
      <c r="E10" s="80">
        <v>2</v>
      </c>
      <c r="F10" s="79" t="str">
        <f ca="1">VLOOKUP($B10&amp;"_"&amp;$E10,OFFSET([2]stages!$A$1,0,0,COUNTA([2]stages!$A:$A),MATCH(F$1,[2]stages!$2:$2,0)-MATCH("temp_stage",[2]stages!$2:$2,0)+1),MATCH(F$1,[2]stages!$2:$2,0)-MATCH("temp_stage",[2]stages!$2:$2,0)+1,FALSE)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0" s="79" t="str">
        <f ca="1">VLOOKUP($B10&amp;"_"&amp;$E10,OFFSET([2]stages!$A$1,0,0,COUNTA([2]stages!$A:$A),MATCH(G$1,[2]stages!$2:$2,0)-MATCH("temp_stage",[2]stages!$2:$2,0)+1),MATCH(G$1,[2]stages!$2:$2,0)-MATCH("temp_stage",[2]stages!$2:$2,0)+1,FALSE)</f>
        <v>降臨34</v>
      </c>
      <c r="H10" s="81">
        <v>1</v>
      </c>
      <c r="I10" s="86">
        <f>ROW()-1</f>
        <v>9</v>
      </c>
      <c r="J10" s="82" t="str">
        <f>B10&amp;TEXT(I10,"00")</f>
        <v>4003409</v>
      </c>
      <c r="K10" s="80" t="s">
        <v>198</v>
      </c>
      <c r="L10" s="83" t="s">
        <v>199</v>
      </c>
      <c r="M10" s="120" t="s">
        <v>447</v>
      </c>
      <c r="N10" s="53" t="s">
        <v>200</v>
      </c>
      <c r="O10">
        <f>LEN(M10)</f>
        <v>56</v>
      </c>
    </row>
    <row r="11" spans="1:15" ht="42" x14ac:dyDescent="0.15">
      <c r="A11" s="77" t="s">
        <v>197</v>
      </c>
      <c r="B11" s="78">
        <v>40034</v>
      </c>
      <c r="C11" s="79" t="str">
        <f ca="1">VLOOKUP($B11,OFFSET([2]quests!$A$1,0,0,COUNTA([2]quests!$A:$A),MATCH(C$1,[2]quests!$1:$1,0)-MATCH($B$1,[2]quests!$1:$1,0)+1),MATCH(C$1,[2]quests!$1:$1,0)-MATCH($B$1,[2]quests!$1:$1,0)+1,FALSE)</f>
        <v>カーリー襲来！</v>
      </c>
      <c r="D11" s="79" t="str">
        <f ca="1">VLOOKUP($B11,OFFSET([2]quests!$A$1,0,0,COUNTA([2]quests!$A:$A),MATCH(D$1,[2]quests!$1:$1,0)-MATCH($B$1,[2]quests!$1:$1,0)+1),MATCH(D$1,[2]quests!$1:$1,0)-MATCH($B$1,[2]quests!$1:$1,0)+1,FALSE)</f>
        <v>降臨34</v>
      </c>
      <c r="E11" s="80">
        <v>2</v>
      </c>
      <c r="F11" s="79" t="str">
        <f ca="1">VLOOKUP($B11&amp;"_"&amp;$E11,OFFSET([2]stages!$A$1,0,0,COUNTA([2]stages!$A:$A),MATCH(F$1,[2]stages!$2:$2,0)-MATCH("temp_stage",[2]stages!$2:$2,0)+1),MATCH(F$1,[2]stages!$2:$2,0)-MATCH("temp_stage",[2]stages!$2:$2,0)+1,FALSE)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1" s="79" t="str">
        <f ca="1">VLOOKUP($B11&amp;"_"&amp;$E11,OFFSET([2]stages!$A$1,0,0,COUNTA([2]stages!$A:$A),MATCH(G$1,[2]stages!$2:$2,0)-MATCH("temp_stage",[2]stages!$2:$2,0)+1),MATCH(G$1,[2]stages!$2:$2,0)-MATCH("temp_stage",[2]stages!$2:$2,0)+1,FALSE)</f>
        <v>降臨34</v>
      </c>
      <c r="H11" s="81">
        <v>2</v>
      </c>
      <c r="I11" s="86">
        <f>ROW()-1</f>
        <v>10</v>
      </c>
      <c r="J11" s="82" t="str">
        <f>B11&amp;TEXT(I11,"00")</f>
        <v>4003410</v>
      </c>
      <c r="K11" s="80" t="s">
        <v>198</v>
      </c>
      <c r="L11" s="83" t="s">
        <v>199</v>
      </c>
      <c r="M11" s="120" t="s">
        <v>449</v>
      </c>
      <c r="N11" s="53" t="s">
        <v>200</v>
      </c>
      <c r="O11">
        <f t="shared" ref="O11:O17" si="11">LEN(M11)</f>
        <v>56</v>
      </c>
    </row>
    <row r="12" spans="1:15" ht="42" x14ac:dyDescent="0.15">
      <c r="A12" s="77" t="s">
        <v>197</v>
      </c>
      <c r="B12" s="78">
        <v>40034</v>
      </c>
      <c r="C12" s="79" t="str">
        <f ca="1">VLOOKUP($B12,OFFSET([2]quests!$A$1,0,0,COUNTA([2]quests!$A:$A),MATCH(C$1,[2]quests!$1:$1,0)-MATCH($B$1,[2]quests!$1:$1,0)+1),MATCH(C$1,[2]quests!$1:$1,0)-MATCH($B$1,[2]quests!$1:$1,0)+1,FALSE)</f>
        <v>カーリー襲来！</v>
      </c>
      <c r="D12" s="79" t="str">
        <f ca="1">VLOOKUP($B12,OFFSET([2]quests!$A$1,0,0,COUNTA([2]quests!$A:$A),MATCH(D$1,[2]quests!$1:$1,0)-MATCH($B$1,[2]quests!$1:$1,0)+1),MATCH(D$1,[2]quests!$1:$1,0)-MATCH($B$1,[2]quests!$1:$1,0)+1,FALSE)</f>
        <v>降臨34</v>
      </c>
      <c r="E12" s="80">
        <v>2</v>
      </c>
      <c r="F12" s="79" t="str">
        <f ca="1">VLOOKUP($B12&amp;"_"&amp;$E12,OFFSET([2]stages!$A$1,0,0,COUNTA([2]stages!$A:$A),MATCH(F$1,[2]stages!$2:$2,0)-MATCH("temp_stage",[2]stages!$2:$2,0)+1),MATCH(F$1,[2]stages!$2:$2,0)-MATCH("temp_stage",[2]stages!$2:$2,0)+1,FALSE)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2" s="79" t="str">
        <f ca="1">VLOOKUP($B12&amp;"_"&amp;$E12,OFFSET([2]stages!$A$1,0,0,COUNTA([2]stages!$A:$A),MATCH(G$1,[2]stages!$2:$2,0)-MATCH("temp_stage",[2]stages!$2:$2,0)+1),MATCH(G$1,[2]stages!$2:$2,0)-MATCH("temp_stage",[2]stages!$2:$2,0)+1,FALSE)</f>
        <v>降臨34</v>
      </c>
      <c r="H12" s="81">
        <v>3</v>
      </c>
      <c r="I12" s="86">
        <f t="shared" si="1"/>
        <v>11</v>
      </c>
      <c r="J12" s="82" t="str">
        <f t="shared" ref="J12:J17" si="12">B12&amp;TEXT(I12,"00")</f>
        <v>4003411</v>
      </c>
      <c r="K12" s="80" t="s">
        <v>198</v>
      </c>
      <c r="L12" s="83" t="s">
        <v>199</v>
      </c>
      <c r="M12" s="120" t="s">
        <v>371</v>
      </c>
      <c r="N12" s="53" t="s">
        <v>200</v>
      </c>
      <c r="O12">
        <f t="shared" si="11"/>
        <v>54</v>
      </c>
    </row>
    <row r="13" spans="1:15" ht="42" x14ac:dyDescent="0.15">
      <c r="A13" s="77" t="s">
        <v>197</v>
      </c>
      <c r="B13" s="78">
        <v>40034</v>
      </c>
      <c r="C13" s="79" t="str">
        <f ca="1">VLOOKUP($B13,OFFSET([2]quests!$A$1,0,0,COUNTA([2]quests!$A:$A),MATCH(C$1,[2]quests!$1:$1,0)-MATCH($B$1,[2]quests!$1:$1,0)+1),MATCH(C$1,[2]quests!$1:$1,0)-MATCH($B$1,[2]quests!$1:$1,0)+1,FALSE)</f>
        <v>カーリー襲来！</v>
      </c>
      <c r="D13" s="79" t="str">
        <f ca="1">VLOOKUP($B13,OFFSET([2]quests!$A$1,0,0,COUNTA([2]quests!$A:$A),MATCH(D$1,[2]quests!$1:$1,0)-MATCH($B$1,[2]quests!$1:$1,0)+1),MATCH(D$1,[2]quests!$1:$1,0)-MATCH($B$1,[2]quests!$1:$1,0)+1,FALSE)</f>
        <v>降臨34</v>
      </c>
      <c r="E13" s="80">
        <v>2</v>
      </c>
      <c r="F13" s="79" t="str">
        <f ca="1">VLOOKUP($B13&amp;"_"&amp;$E13,OFFSET([2]stages!$A$1,0,0,COUNTA([2]stages!$A:$A),MATCH(F$1,[2]stages!$2:$2,0)-MATCH("temp_stage",[2]stages!$2:$2,0)+1),MATCH(F$1,[2]stages!$2:$2,0)-MATCH("temp_stage",[2]stages!$2:$2,0)+1,FALSE)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3" s="79" t="str">
        <f ca="1">VLOOKUP($B13&amp;"_"&amp;$E13,OFFSET([2]stages!$A$1,0,0,COUNTA([2]stages!$A:$A),MATCH(G$1,[2]stages!$2:$2,0)-MATCH("temp_stage",[2]stages!$2:$2,0)+1),MATCH(G$1,[2]stages!$2:$2,0)-MATCH("temp_stage",[2]stages!$2:$2,0)+1,FALSE)</f>
        <v>降臨34</v>
      </c>
      <c r="H13" s="81">
        <v>3</v>
      </c>
      <c r="I13" s="86">
        <f t="shared" si="1"/>
        <v>12</v>
      </c>
      <c r="J13" s="82" t="str">
        <f t="shared" si="12"/>
        <v>4003412</v>
      </c>
      <c r="K13" s="80" t="s">
        <v>198</v>
      </c>
      <c r="L13" s="83" t="s">
        <v>199</v>
      </c>
      <c r="M13" s="120" t="s">
        <v>372</v>
      </c>
      <c r="N13" s="53" t="s">
        <v>200</v>
      </c>
      <c r="O13">
        <f t="shared" si="11"/>
        <v>51</v>
      </c>
    </row>
    <row r="14" spans="1:15" ht="42" x14ac:dyDescent="0.15">
      <c r="A14" s="77" t="s">
        <v>197</v>
      </c>
      <c r="B14" s="78">
        <v>40034</v>
      </c>
      <c r="C14" s="79" t="str">
        <f ca="1">VLOOKUP($B14,OFFSET([2]quests!$A$1,0,0,COUNTA([2]quests!$A:$A),MATCH(C$1,[2]quests!$1:$1,0)-MATCH($B$1,[2]quests!$1:$1,0)+1),MATCH(C$1,[2]quests!$1:$1,0)-MATCH($B$1,[2]quests!$1:$1,0)+1,FALSE)</f>
        <v>カーリー襲来！</v>
      </c>
      <c r="D14" s="79" t="str">
        <f ca="1">VLOOKUP($B14,OFFSET([2]quests!$A$1,0,0,COUNTA([2]quests!$A:$A),MATCH(D$1,[2]quests!$1:$1,0)-MATCH($B$1,[2]quests!$1:$1,0)+1),MATCH(D$1,[2]quests!$1:$1,0)-MATCH($B$1,[2]quests!$1:$1,0)+1,FALSE)</f>
        <v>降臨34</v>
      </c>
      <c r="E14" s="80">
        <v>2</v>
      </c>
      <c r="F14" s="79" t="str">
        <f ca="1">VLOOKUP($B14&amp;"_"&amp;$E14,OFFSET([2]stages!$A$1,0,0,COUNTA([2]stages!$A:$A),MATCH(F$1,[2]stages!$2:$2,0)-MATCH("temp_stage",[2]stages!$2:$2,0)+1),MATCH(F$1,[2]stages!$2:$2,0)-MATCH("temp_stage",[2]stages!$2:$2,0)+1,FALSE)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4" s="79" t="str">
        <f ca="1">VLOOKUP($B14&amp;"_"&amp;$E14,OFFSET([2]stages!$A$1,0,0,COUNTA([2]stages!$A:$A),MATCH(G$1,[2]stages!$2:$2,0)-MATCH("temp_stage",[2]stages!$2:$2,0)+1),MATCH(G$1,[2]stages!$2:$2,0)-MATCH("temp_stage",[2]stages!$2:$2,0)+1,FALSE)</f>
        <v>降臨34</v>
      </c>
      <c r="H14" s="81">
        <v>4</v>
      </c>
      <c r="I14" s="86">
        <f t="shared" si="1"/>
        <v>13</v>
      </c>
      <c r="J14" s="82" t="str">
        <f t="shared" si="12"/>
        <v>4003413</v>
      </c>
      <c r="K14" s="80" t="s">
        <v>198</v>
      </c>
      <c r="L14" s="83" t="s">
        <v>199</v>
      </c>
      <c r="M14" s="120" t="s">
        <v>449</v>
      </c>
      <c r="N14" s="53" t="s">
        <v>200</v>
      </c>
      <c r="O14">
        <f t="shared" si="11"/>
        <v>56</v>
      </c>
    </row>
    <row r="15" spans="1:15" ht="56" x14ac:dyDescent="0.15">
      <c r="A15" s="77" t="s">
        <v>197</v>
      </c>
      <c r="B15" s="78">
        <v>40034</v>
      </c>
      <c r="C15" s="79" t="str">
        <f ca="1">VLOOKUP($B15,OFFSET([2]quests!$A$1,0,0,COUNTA([2]quests!$A:$A),MATCH(C$1,[2]quests!$1:$1,0)-MATCH($B$1,[2]quests!$1:$1,0)+1),MATCH(C$1,[2]quests!$1:$1,0)-MATCH($B$1,[2]quests!$1:$1,0)+1,FALSE)</f>
        <v>カーリー襲来！</v>
      </c>
      <c r="D15" s="79" t="str">
        <f ca="1">VLOOKUP($B15,OFFSET([2]quests!$A$1,0,0,COUNTA([2]quests!$A:$A),MATCH(D$1,[2]quests!$1:$1,0)-MATCH($B$1,[2]quests!$1:$1,0)+1),MATCH(D$1,[2]quests!$1:$1,0)-MATCH($B$1,[2]quests!$1:$1,0)+1,FALSE)</f>
        <v>降臨34</v>
      </c>
      <c r="E15" s="80">
        <v>2</v>
      </c>
      <c r="F15" s="79" t="str">
        <f ca="1">VLOOKUP($B15&amp;"_"&amp;$E15,OFFSET([2]stages!$A$1,0,0,COUNTA([2]stages!$A:$A),MATCH(F$1,[2]stages!$2:$2,0)-MATCH("temp_stage",[2]stages!$2:$2,0)+1),MATCH(F$1,[2]stages!$2:$2,0)-MATCH("temp_stage",[2]stages!$2:$2,0)+1,FALSE)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5" s="79" t="str">
        <f ca="1">VLOOKUP($B15&amp;"_"&amp;$E15,OFFSET([2]stages!$A$1,0,0,COUNTA([2]stages!$A:$A),MATCH(G$1,[2]stages!$2:$2,0)-MATCH("temp_stage",[2]stages!$2:$2,0)+1),MATCH(G$1,[2]stages!$2:$2,0)-MATCH("temp_stage",[2]stages!$2:$2,0)+1,FALSE)</f>
        <v>降臨34</v>
      </c>
      <c r="H15" s="81">
        <v>4</v>
      </c>
      <c r="I15" s="86">
        <f t="shared" si="1"/>
        <v>14</v>
      </c>
      <c r="J15" s="82" t="str">
        <f t="shared" si="12"/>
        <v>4003414</v>
      </c>
      <c r="K15" s="80" t="s">
        <v>198</v>
      </c>
      <c r="L15" s="83" t="s">
        <v>199</v>
      </c>
      <c r="M15" s="120" t="s">
        <v>421</v>
      </c>
      <c r="N15" s="53" t="s">
        <v>200</v>
      </c>
      <c r="O15">
        <f t="shared" si="11"/>
        <v>60</v>
      </c>
    </row>
    <row r="16" spans="1:15" ht="42" x14ac:dyDescent="0.15">
      <c r="A16" s="77" t="s">
        <v>373</v>
      </c>
      <c r="B16" s="78">
        <v>40034</v>
      </c>
      <c r="C16" s="79" t="str">
        <f ca="1">VLOOKUP($B16,OFFSET([2]quests!$A$1,0,0,COUNTA([2]quests!$A:$A),MATCH(C$1,[2]quests!$1:$1,0)-MATCH($B$1,[2]quests!$1:$1,0)+1),MATCH(C$1,[2]quests!$1:$1,0)-MATCH($B$1,[2]quests!$1:$1,0)+1,FALSE)</f>
        <v>カーリー襲来！</v>
      </c>
      <c r="D16" s="79" t="str">
        <f ca="1">VLOOKUP($B16,OFFSET([2]quests!$A$1,0,0,COUNTA([2]quests!$A:$A),MATCH(D$1,[2]quests!$1:$1,0)-MATCH($B$1,[2]quests!$1:$1,0)+1),MATCH(D$1,[2]quests!$1:$1,0)-MATCH($B$1,[2]quests!$1:$1,0)+1,FALSE)</f>
        <v>降臨34</v>
      </c>
      <c r="E16" s="80">
        <v>2</v>
      </c>
      <c r="F16" s="79" t="str">
        <f ca="1">VLOOKUP($B16&amp;"_"&amp;$E16,OFFSET([2]stages!$A$1,0,0,COUNTA([2]stages!$A:$A),MATCH(F$1,[2]stages!$2:$2,0)-MATCH("temp_stage",[2]stages!$2:$2,0)+1),MATCH(F$1,[2]stages!$2:$2,0)-MATCH("temp_stage",[2]stages!$2:$2,0)+1,FALSE)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6" s="79" t="str">
        <f ca="1">VLOOKUP($B16&amp;"_"&amp;$E16,OFFSET([2]stages!$A$1,0,0,COUNTA([2]stages!$A:$A),MATCH(G$1,[2]stages!$2:$2,0)-MATCH("temp_stage",[2]stages!$2:$2,0)+1),MATCH(G$1,[2]stages!$2:$2,0)-MATCH("temp_stage",[2]stages!$2:$2,0)+1,FALSE)</f>
        <v>降臨34</v>
      </c>
      <c r="H16" s="81">
        <v>4</v>
      </c>
      <c r="I16" s="86">
        <f t="shared" si="1"/>
        <v>15</v>
      </c>
      <c r="J16" s="82" t="str">
        <f t="shared" si="12"/>
        <v>4003415</v>
      </c>
      <c r="K16" s="80" t="s">
        <v>198</v>
      </c>
      <c r="L16" s="83" t="s">
        <v>199</v>
      </c>
      <c r="M16" s="120" t="s">
        <v>374</v>
      </c>
      <c r="N16" s="53" t="s">
        <v>200</v>
      </c>
      <c r="O16">
        <f t="shared" si="11"/>
        <v>55</v>
      </c>
    </row>
    <row r="17" spans="1:15" ht="42" x14ac:dyDescent="0.15">
      <c r="A17" s="77" t="s">
        <v>373</v>
      </c>
      <c r="B17" s="78">
        <v>40034</v>
      </c>
      <c r="C17" s="79" t="str">
        <f ca="1">VLOOKUP($B17,OFFSET([2]quests!$A$1,0,0,COUNTA([2]quests!$A:$A),MATCH(C$1,[2]quests!$1:$1,0)-MATCH($B$1,[2]quests!$1:$1,0)+1),MATCH(C$1,[2]quests!$1:$1,0)-MATCH($B$1,[2]quests!$1:$1,0)+1,FALSE)</f>
        <v>カーリー襲来！</v>
      </c>
      <c r="D17" s="79" t="str">
        <f ca="1">VLOOKUP($B17,OFFSET([2]quests!$A$1,0,0,COUNTA([2]quests!$A:$A),MATCH(D$1,[2]quests!$1:$1,0)-MATCH($B$1,[2]quests!$1:$1,0)+1),MATCH(D$1,[2]quests!$1:$1,0)-MATCH($B$1,[2]quests!$1:$1,0)+1,FALSE)</f>
        <v>降臨34</v>
      </c>
      <c r="E17" s="80">
        <v>2</v>
      </c>
      <c r="F17" s="79" t="str">
        <f ca="1">VLOOKUP($B17&amp;"_"&amp;$E17,OFFSET([2]stages!$A$1,0,0,COUNTA([2]stages!$A:$A),MATCH(F$1,[2]stages!$2:$2,0)-MATCH("temp_stage",[2]stages!$2:$2,0)+1),MATCH(F$1,[2]stages!$2:$2,0)-MATCH("temp_stage",[2]stages!$2:$2,0)+1,FALSE)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17" s="79" t="str">
        <f ca="1">VLOOKUP($B17&amp;"_"&amp;$E17,OFFSET([2]stages!$A$1,0,0,COUNTA([2]stages!$A:$A),MATCH(G$1,[2]stages!$2:$2,0)-MATCH("temp_stage",[2]stages!$2:$2,0)+1),MATCH(G$1,[2]stages!$2:$2,0)-MATCH("temp_stage",[2]stages!$2:$2,0)+1,FALSE)</f>
        <v>降臨34</v>
      </c>
      <c r="H17" s="81">
        <v>4</v>
      </c>
      <c r="I17" s="86">
        <f t="shared" si="1"/>
        <v>16</v>
      </c>
      <c r="J17" s="82" t="str">
        <f t="shared" si="12"/>
        <v>4003416</v>
      </c>
      <c r="K17" s="80" t="s">
        <v>198</v>
      </c>
      <c r="L17" s="83" t="s">
        <v>199</v>
      </c>
      <c r="M17" s="120" t="s">
        <v>448</v>
      </c>
      <c r="N17" s="53" t="s">
        <v>200</v>
      </c>
      <c r="O17">
        <f t="shared" si="11"/>
        <v>54</v>
      </c>
    </row>
    <row r="18" spans="1:15" ht="42" x14ac:dyDescent="0.15">
      <c r="A18" s="77" t="s">
        <v>375</v>
      </c>
      <c r="B18" s="78">
        <v>40034</v>
      </c>
      <c r="C18" s="79" t="str">
        <f ca="1">VLOOKUP($B18,OFFSET([2]quests!$A$1,0,0,COUNTA([2]quests!$A:$A),MATCH(C$1,[2]quests!$1:$1,0)-MATCH($B$1,[2]quests!$1:$1,0)+1),MATCH(C$1,[2]quests!$1:$1,0)-MATCH($B$1,[2]quests!$1:$1,0)+1,FALSE)</f>
        <v>カーリー襲来！</v>
      </c>
      <c r="D18" s="79" t="str">
        <f ca="1">VLOOKUP($B18,OFFSET([2]quests!$A$1,0,0,COUNTA([2]quests!$A:$A),MATCH(D$1,[2]quests!$1:$1,0)-MATCH($B$1,[2]quests!$1:$1,0)+1),MATCH(D$1,[2]quests!$1:$1,0)-MATCH($B$1,[2]quests!$1:$1,0)+1,FALSE)</f>
        <v>降臨34</v>
      </c>
      <c r="E18" s="80">
        <v>1</v>
      </c>
      <c r="F18" s="79" t="str">
        <f ca="1">VLOOKUP($B18&amp;"_"&amp;$E18,OFFSET([2]stages!$A$1,0,0,COUNTA([2]stages!$A:$A),MATCH(F$1,[2]stages!$2:$2,0)-MATCH("temp_stage",[2]stages!$2:$2,0)+1),MATCH(F$1,[2]stages!$2:$2,0)-MATCH("temp_stage",[2]stages!$2:$2,0)+1,FALSE)</f>
        <v>【超絶級】カーリー襲来</v>
      </c>
      <c r="G18" s="79" t="str">
        <f ca="1">VLOOKUP($B18&amp;"_"&amp;$E18,OFFSET([2]stages!$A$1,0,0,COUNTA([2]stages!$A:$A),MATCH(G$1,[2]stages!$2:$2,0)-MATCH("temp_stage",[2]stages!$2:$2,0)+1),MATCH(G$1,[2]stages!$2:$2,0)-MATCH("temp_stage",[2]stages!$2:$2,0)+1,FALSE)</f>
        <v>降臨34</v>
      </c>
      <c r="H18" s="81">
        <v>0</v>
      </c>
      <c r="I18" s="86">
        <f t="shared" si="1"/>
        <v>17</v>
      </c>
      <c r="J18" s="82" t="str">
        <f t="shared" ref="J18" si="13">B18&amp;TEXT(I18,"00")</f>
        <v>4003417</v>
      </c>
      <c r="K18" s="80" t="s">
        <v>198</v>
      </c>
      <c r="L18" s="83" t="s">
        <v>377</v>
      </c>
      <c r="M18" s="120" t="s">
        <v>376</v>
      </c>
      <c r="N18" s="53" t="s">
        <v>200</v>
      </c>
      <c r="O18">
        <f t="shared" ref="O18" si="14">LEN(M18)</f>
        <v>50</v>
      </c>
    </row>
    <row r="19" spans="1:15" ht="28" x14ac:dyDescent="0.15">
      <c r="A19" s="77" t="s">
        <v>375</v>
      </c>
      <c r="B19" s="78">
        <v>40034</v>
      </c>
      <c r="C19" s="79" t="str">
        <f ca="1">VLOOKUP($B19,OFFSET([2]quests!$A$1,0,0,COUNTA([2]quests!$A:$A),MATCH(C$1,[2]quests!$1:$1,0)-MATCH($B$1,[2]quests!$1:$1,0)+1),MATCH(C$1,[2]quests!$1:$1,0)-MATCH($B$1,[2]quests!$1:$1,0)+1,FALSE)</f>
        <v>カーリー襲来！</v>
      </c>
      <c r="D19" s="79" t="str">
        <f ca="1">VLOOKUP($B19,OFFSET([2]quests!$A$1,0,0,COUNTA([2]quests!$A:$A),MATCH(D$1,[2]quests!$1:$1,0)-MATCH($B$1,[2]quests!$1:$1,0)+1),MATCH(D$1,[2]quests!$1:$1,0)-MATCH($B$1,[2]quests!$1:$1,0)+1,FALSE)</f>
        <v>降臨34</v>
      </c>
      <c r="E19" s="80">
        <v>1</v>
      </c>
      <c r="F19" s="79" t="str">
        <f ca="1">VLOOKUP($B19&amp;"_"&amp;$E19,OFFSET([2]stages!$A$1,0,0,COUNTA([2]stages!$A:$A),MATCH(F$1,[2]stages!$2:$2,0)-MATCH("temp_stage",[2]stages!$2:$2,0)+1),MATCH(F$1,[2]stages!$2:$2,0)-MATCH("temp_stage",[2]stages!$2:$2,0)+1,FALSE)</f>
        <v>【超絶級】カーリー襲来</v>
      </c>
      <c r="G19" s="79" t="str">
        <f ca="1">VLOOKUP($B19&amp;"_"&amp;$E19,OFFSET([2]stages!$A$1,0,0,COUNTA([2]stages!$A:$A),MATCH(G$1,[2]stages!$2:$2,0)-MATCH("temp_stage",[2]stages!$2:$2,0)+1),MATCH(G$1,[2]stages!$2:$2,0)-MATCH("temp_stage",[2]stages!$2:$2,0)+1,FALSE)</f>
        <v>降臨34</v>
      </c>
      <c r="H19" s="81">
        <v>0</v>
      </c>
      <c r="I19" s="86">
        <f t="shared" si="1"/>
        <v>18</v>
      </c>
      <c r="J19" s="82" t="str">
        <f t="shared" ref="J19" si="15">B19&amp;TEXT(I19,"00")</f>
        <v>4003418</v>
      </c>
      <c r="K19" s="80" t="s">
        <v>198</v>
      </c>
      <c r="L19" s="83" t="s">
        <v>378</v>
      </c>
      <c r="M19" s="120" t="s">
        <v>379</v>
      </c>
      <c r="N19" s="53" t="s">
        <v>200</v>
      </c>
      <c r="O19">
        <f t="shared" ref="O19" si="16">LEN(M19)</f>
        <v>41</v>
      </c>
    </row>
    <row r="20" spans="1:15" ht="42" x14ac:dyDescent="0.15">
      <c r="A20" s="77" t="s">
        <v>375</v>
      </c>
      <c r="B20" s="78">
        <v>40034</v>
      </c>
      <c r="C20" s="79" t="str">
        <f ca="1">VLOOKUP($B20,OFFSET([2]quests!$A$1,0,0,COUNTA([2]quests!$A:$A),MATCH(C$1,[2]quests!$1:$1,0)-MATCH($B$1,[2]quests!$1:$1,0)+1),MATCH(C$1,[2]quests!$1:$1,0)-MATCH($B$1,[2]quests!$1:$1,0)+1,FALSE)</f>
        <v>カーリー襲来！</v>
      </c>
      <c r="D20" s="79" t="str">
        <f ca="1">VLOOKUP($B20,OFFSET([2]quests!$A$1,0,0,COUNTA([2]quests!$A:$A),MATCH(D$1,[2]quests!$1:$1,0)-MATCH($B$1,[2]quests!$1:$1,0)+1),MATCH(D$1,[2]quests!$1:$1,0)-MATCH($B$1,[2]quests!$1:$1,0)+1,FALSE)</f>
        <v>降臨34</v>
      </c>
      <c r="E20" s="80">
        <v>1</v>
      </c>
      <c r="F20" s="79" t="str">
        <f ca="1">VLOOKUP($B20&amp;"_"&amp;$E20,OFFSET([2]stages!$A$1,0,0,COUNTA([2]stages!$A:$A),MATCH(F$1,[2]stages!$2:$2,0)-MATCH("temp_stage",[2]stages!$2:$2,0)+1),MATCH(F$1,[2]stages!$2:$2,0)-MATCH("temp_stage",[2]stages!$2:$2,0)+1,FALSE)</f>
        <v>【超絶級】カーリー襲来</v>
      </c>
      <c r="G20" s="79" t="str">
        <f ca="1">VLOOKUP($B20&amp;"_"&amp;$E20,OFFSET([2]stages!$A$1,0,0,COUNTA([2]stages!$A:$A),MATCH(G$1,[2]stages!$2:$2,0)-MATCH("temp_stage",[2]stages!$2:$2,0)+1),MATCH(G$1,[2]stages!$2:$2,0)-MATCH("temp_stage",[2]stages!$2:$2,0)+1,FALSE)</f>
        <v>降臨34</v>
      </c>
      <c r="H20" s="81">
        <v>0</v>
      </c>
      <c r="I20" s="86">
        <f t="shared" si="1"/>
        <v>19</v>
      </c>
      <c r="J20" s="82" t="str">
        <f t="shared" ref="J20" si="17">B20&amp;TEXT(I20,"00")</f>
        <v>4003419</v>
      </c>
      <c r="K20" s="80" t="s">
        <v>198</v>
      </c>
      <c r="L20" s="83" t="s">
        <v>380</v>
      </c>
      <c r="M20" s="120" t="s">
        <v>381</v>
      </c>
      <c r="N20" s="53" t="s">
        <v>200</v>
      </c>
      <c r="O20">
        <f t="shared" ref="O20" si="18">LEN(M20)</f>
        <v>56</v>
      </c>
    </row>
    <row r="21" spans="1:15" ht="56" x14ac:dyDescent="0.15">
      <c r="A21" s="77" t="s">
        <v>375</v>
      </c>
      <c r="B21" s="78">
        <v>40034</v>
      </c>
      <c r="C21" s="79" t="str">
        <f ca="1">VLOOKUP($B21,OFFSET([2]quests!$A$1,0,0,COUNTA([2]quests!$A:$A),MATCH(C$1,[2]quests!$1:$1,0)-MATCH($B$1,[2]quests!$1:$1,0)+1),MATCH(C$1,[2]quests!$1:$1,0)-MATCH($B$1,[2]quests!$1:$1,0)+1,FALSE)</f>
        <v>カーリー襲来！</v>
      </c>
      <c r="D21" s="79" t="str">
        <f ca="1">VLOOKUP($B21,OFFSET([2]quests!$A$1,0,0,COUNTA([2]quests!$A:$A),MATCH(D$1,[2]quests!$1:$1,0)-MATCH($B$1,[2]quests!$1:$1,0)+1),MATCH(D$1,[2]quests!$1:$1,0)-MATCH($B$1,[2]quests!$1:$1,0)+1,FALSE)</f>
        <v>降臨34</v>
      </c>
      <c r="E21" s="80">
        <v>1</v>
      </c>
      <c r="F21" s="79" t="str">
        <f ca="1">VLOOKUP($B21&amp;"_"&amp;$E21,OFFSET([2]stages!$A$1,0,0,COUNTA([2]stages!$A:$A),MATCH(F$1,[2]stages!$2:$2,0)-MATCH("temp_stage",[2]stages!$2:$2,0)+1),MATCH(F$1,[2]stages!$2:$2,0)-MATCH("temp_stage",[2]stages!$2:$2,0)+1,FALSE)</f>
        <v>【超絶級】カーリー襲来</v>
      </c>
      <c r="G21" s="79" t="str">
        <f ca="1">VLOOKUP($B21&amp;"_"&amp;$E21,OFFSET([2]stages!$A$1,0,0,COUNTA([2]stages!$A:$A),MATCH(G$1,[2]stages!$2:$2,0)-MATCH("temp_stage",[2]stages!$2:$2,0)+1),MATCH(G$1,[2]stages!$2:$2,0)-MATCH("temp_stage",[2]stages!$2:$2,0)+1,FALSE)</f>
        <v>降臨34</v>
      </c>
      <c r="H21" s="81">
        <v>0</v>
      </c>
      <c r="I21" s="86">
        <f t="shared" si="1"/>
        <v>20</v>
      </c>
      <c r="J21" s="82" t="str">
        <f t="shared" ref="J21:J24" si="19">B21&amp;TEXT(I21,"00")</f>
        <v>4003420</v>
      </c>
      <c r="K21" s="80" t="s">
        <v>198</v>
      </c>
      <c r="L21" s="83" t="s">
        <v>382</v>
      </c>
      <c r="M21" s="120" t="s">
        <v>420</v>
      </c>
      <c r="N21" s="53" t="s">
        <v>200</v>
      </c>
      <c r="O21">
        <f t="shared" ref="O21:O24" si="20">LEN(M21)</f>
        <v>61</v>
      </c>
    </row>
    <row r="22" spans="1:15" ht="42" x14ac:dyDescent="0.15">
      <c r="A22" s="77" t="s">
        <v>375</v>
      </c>
      <c r="B22" s="78">
        <v>40034</v>
      </c>
      <c r="C22" s="79" t="str">
        <f ca="1">VLOOKUP($B22,OFFSET([2]quests!$A$1,0,0,COUNTA([2]quests!$A:$A),MATCH(C$1,[2]quests!$1:$1,0)-MATCH($B$1,[2]quests!$1:$1,0)+1),MATCH(C$1,[2]quests!$1:$1,0)-MATCH($B$1,[2]quests!$1:$1,0)+1,FALSE)</f>
        <v>カーリー襲来！</v>
      </c>
      <c r="D22" s="79" t="str">
        <f ca="1">VLOOKUP($B22,OFFSET([2]quests!$A$1,0,0,COUNTA([2]quests!$A:$A),MATCH(D$1,[2]quests!$1:$1,0)-MATCH($B$1,[2]quests!$1:$1,0)+1),MATCH(D$1,[2]quests!$1:$1,0)-MATCH($B$1,[2]quests!$1:$1,0)+1,FALSE)</f>
        <v>降臨34</v>
      </c>
      <c r="E22" s="80">
        <v>2</v>
      </c>
      <c r="F22" s="79" t="str">
        <f ca="1">VLOOKUP($B22&amp;"_"&amp;$E22,OFFSET([2]stages!$A$1,0,0,COUNTA([2]stages!$A:$A),MATCH(F$1,[2]stages!$2:$2,0)-MATCH("temp_stage",[2]stages!$2:$2,0)+1),MATCH(F$1,[2]stages!$2:$2,0)-MATCH("temp_stage",[2]stages!$2:$2,0)+1,FALSE)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22" s="79" t="str">
        <f ca="1">VLOOKUP($B22&amp;"_"&amp;$E22,OFFSET([2]stages!$A$1,0,0,COUNTA([2]stages!$A:$A),MATCH(G$1,[2]stages!$2:$2,0)-MATCH("temp_stage",[2]stages!$2:$2,0)+1),MATCH(G$1,[2]stages!$2:$2,0)-MATCH("temp_stage",[2]stages!$2:$2,0)+1,FALSE)</f>
        <v>降臨34</v>
      </c>
      <c r="H22" s="81">
        <v>0</v>
      </c>
      <c r="I22" s="86">
        <f t="shared" si="1"/>
        <v>21</v>
      </c>
      <c r="J22" s="82" t="str">
        <f t="shared" si="19"/>
        <v>4003421</v>
      </c>
      <c r="K22" s="80" t="s">
        <v>198</v>
      </c>
      <c r="L22" s="83" t="s">
        <v>377</v>
      </c>
      <c r="M22" s="120" t="s">
        <v>376</v>
      </c>
      <c r="N22" s="53" t="s">
        <v>200</v>
      </c>
      <c r="O22">
        <f t="shared" si="20"/>
        <v>50</v>
      </c>
    </row>
    <row r="23" spans="1:15" ht="28" x14ac:dyDescent="0.15">
      <c r="A23" s="77" t="s">
        <v>375</v>
      </c>
      <c r="B23" s="78">
        <v>40034</v>
      </c>
      <c r="C23" s="79" t="str">
        <f ca="1">VLOOKUP($B23,OFFSET([2]quests!$A$1,0,0,COUNTA([2]quests!$A:$A),MATCH(C$1,[2]quests!$1:$1,0)-MATCH($B$1,[2]quests!$1:$1,0)+1),MATCH(C$1,[2]quests!$1:$1,0)-MATCH($B$1,[2]quests!$1:$1,0)+1,FALSE)</f>
        <v>カーリー襲来！</v>
      </c>
      <c r="D23" s="79" t="str">
        <f ca="1">VLOOKUP($B23,OFFSET([2]quests!$A$1,0,0,COUNTA([2]quests!$A:$A),MATCH(D$1,[2]quests!$1:$1,0)-MATCH($B$1,[2]quests!$1:$1,0)+1),MATCH(D$1,[2]quests!$1:$1,0)-MATCH($B$1,[2]quests!$1:$1,0)+1,FALSE)</f>
        <v>降臨34</v>
      </c>
      <c r="E23" s="80">
        <v>2</v>
      </c>
      <c r="F23" s="79" t="str">
        <f ca="1">VLOOKUP($B23&amp;"_"&amp;$E23,OFFSET([2]stages!$A$1,0,0,COUNTA([2]stages!$A:$A),MATCH(F$1,[2]stages!$2:$2,0)-MATCH("temp_stage",[2]stages!$2:$2,0)+1),MATCH(F$1,[2]stages!$2:$2,0)-MATCH("temp_stage",[2]stages!$2:$2,0)+1,FALSE)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23" s="79" t="str">
        <f ca="1">VLOOKUP($B23&amp;"_"&amp;$E23,OFFSET([2]stages!$A$1,0,0,COUNTA([2]stages!$A:$A),MATCH(G$1,[2]stages!$2:$2,0)-MATCH("temp_stage",[2]stages!$2:$2,0)+1),MATCH(G$1,[2]stages!$2:$2,0)-MATCH("temp_stage",[2]stages!$2:$2,0)+1,FALSE)</f>
        <v>降臨34</v>
      </c>
      <c r="H23" s="81">
        <v>0</v>
      </c>
      <c r="I23" s="86">
        <f t="shared" si="1"/>
        <v>22</v>
      </c>
      <c r="J23" s="82" t="str">
        <f t="shared" si="19"/>
        <v>4003422</v>
      </c>
      <c r="K23" s="80" t="s">
        <v>198</v>
      </c>
      <c r="L23" s="83" t="s">
        <v>378</v>
      </c>
      <c r="M23" s="120" t="s">
        <v>379</v>
      </c>
      <c r="N23" s="53" t="s">
        <v>200</v>
      </c>
      <c r="O23">
        <f t="shared" si="20"/>
        <v>41</v>
      </c>
    </row>
    <row r="24" spans="1:15" ht="42" x14ac:dyDescent="0.15">
      <c r="A24" s="77" t="s">
        <v>375</v>
      </c>
      <c r="B24" s="78">
        <v>40034</v>
      </c>
      <c r="C24" s="79" t="str">
        <f ca="1">VLOOKUP($B24,OFFSET([2]quests!$A$1,0,0,COUNTA([2]quests!$A:$A),MATCH(C$1,[2]quests!$1:$1,0)-MATCH($B$1,[2]quests!$1:$1,0)+1),MATCH(C$1,[2]quests!$1:$1,0)-MATCH($B$1,[2]quests!$1:$1,0)+1,FALSE)</f>
        <v>カーリー襲来！</v>
      </c>
      <c r="D24" s="79" t="str">
        <f ca="1">VLOOKUP($B24,OFFSET([2]quests!$A$1,0,0,COUNTA([2]quests!$A:$A),MATCH(D$1,[2]quests!$1:$1,0)-MATCH($B$1,[2]quests!$1:$1,0)+1),MATCH(D$1,[2]quests!$1:$1,0)-MATCH($B$1,[2]quests!$1:$1,0)+1,FALSE)</f>
        <v>降臨34</v>
      </c>
      <c r="E24" s="80">
        <v>2</v>
      </c>
      <c r="F24" s="79" t="str">
        <f ca="1">VLOOKUP($B24&amp;"_"&amp;$E24,OFFSET([2]stages!$A$1,0,0,COUNTA([2]stages!$A:$A),MATCH(F$1,[2]stages!$2:$2,0)-MATCH("temp_stage",[2]stages!$2:$2,0)+1),MATCH(F$1,[2]stages!$2:$2,0)-MATCH("temp_stage",[2]stages!$2:$2,0)+1,FALSE)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24" s="79" t="str">
        <f ca="1">VLOOKUP($B24&amp;"_"&amp;$E24,OFFSET([2]stages!$A$1,0,0,COUNTA([2]stages!$A:$A),MATCH(G$1,[2]stages!$2:$2,0)-MATCH("temp_stage",[2]stages!$2:$2,0)+1),MATCH(G$1,[2]stages!$2:$2,0)-MATCH("temp_stage",[2]stages!$2:$2,0)+1,FALSE)</f>
        <v>降臨34</v>
      </c>
      <c r="H24" s="81">
        <v>0</v>
      </c>
      <c r="I24" s="86">
        <f t="shared" si="1"/>
        <v>23</v>
      </c>
      <c r="J24" s="82" t="str">
        <f t="shared" si="19"/>
        <v>4003423</v>
      </c>
      <c r="K24" s="80" t="s">
        <v>198</v>
      </c>
      <c r="L24" s="83" t="s">
        <v>380</v>
      </c>
      <c r="M24" s="120" t="s">
        <v>381</v>
      </c>
      <c r="N24" s="53" t="s">
        <v>200</v>
      </c>
      <c r="O24">
        <f t="shared" si="20"/>
        <v>56</v>
      </c>
    </row>
    <row r="25" spans="1:15" ht="56" x14ac:dyDescent="0.15">
      <c r="A25" s="77" t="s">
        <v>375</v>
      </c>
      <c r="B25" s="78">
        <v>40034</v>
      </c>
      <c r="C25" s="79" t="str">
        <f ca="1">VLOOKUP($B25,OFFSET([2]quests!$A$1,0,0,COUNTA([2]quests!$A:$A),MATCH(C$1,[2]quests!$1:$1,0)-MATCH($B$1,[2]quests!$1:$1,0)+1),MATCH(C$1,[2]quests!$1:$1,0)-MATCH($B$1,[2]quests!$1:$1,0)+1,FALSE)</f>
        <v>カーリー襲来！</v>
      </c>
      <c r="D25" s="79" t="str">
        <f ca="1">VLOOKUP($B25,OFFSET([2]quests!$A$1,0,0,COUNTA([2]quests!$A:$A),MATCH(D$1,[2]quests!$1:$1,0)-MATCH($B$1,[2]quests!$1:$1,0)+1),MATCH(D$1,[2]quests!$1:$1,0)-MATCH($B$1,[2]quests!$1:$1,0)+1,FALSE)</f>
        <v>降臨34</v>
      </c>
      <c r="E25" s="80">
        <v>2</v>
      </c>
      <c r="F25" s="79" t="str">
        <f ca="1">VLOOKUP($B25&amp;"_"&amp;$E25,OFFSET([2]stages!$A$1,0,0,COUNTA([2]stages!$A:$A),MATCH(F$1,[2]stages!$2:$2,0)-MATCH("temp_stage",[2]stages!$2:$2,0)+1),MATCH(F$1,[2]stages!$2:$2,0)-MATCH("temp_stage",[2]stages!$2:$2,0)+1,FALSE)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25" s="79" t="str">
        <f ca="1">VLOOKUP($B25&amp;"_"&amp;$E25,OFFSET([2]stages!$A$1,0,0,COUNTA([2]stages!$A:$A),MATCH(G$1,[2]stages!$2:$2,0)-MATCH("temp_stage",[2]stages!$2:$2,0)+1),MATCH(G$1,[2]stages!$2:$2,0)-MATCH("temp_stage",[2]stages!$2:$2,0)+1,FALSE)</f>
        <v>降臨34</v>
      </c>
      <c r="H25" s="81">
        <v>0</v>
      </c>
      <c r="I25" s="86">
        <f t="shared" si="1"/>
        <v>24</v>
      </c>
      <c r="J25" s="82" t="str">
        <f t="shared" ref="J25" si="21">B25&amp;TEXT(I25,"00")</f>
        <v>4003424</v>
      </c>
      <c r="K25" s="80" t="s">
        <v>198</v>
      </c>
      <c r="L25" s="83" t="s">
        <v>382</v>
      </c>
      <c r="M25" s="120" t="s">
        <v>420</v>
      </c>
      <c r="N25" s="53" t="s">
        <v>200</v>
      </c>
      <c r="O25">
        <f t="shared" ref="O25" si="22">LEN(M25)</f>
        <v>61</v>
      </c>
    </row>
  </sheetData>
  <phoneticPr fontId="5"/>
  <dataValidations count="1">
    <dataValidation type="list" allowBlank="1" showInputMessage="1" showErrorMessage="1" sqref="A2:A25">
      <formula1>"complete,failure"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 enableFormatConditionsCalculation="0">
    <tabColor rgb="FF0000FF"/>
    <outlinePr summaryBelow="0" summaryRight="0"/>
  </sheetPr>
  <dimension ref="A1:X3"/>
  <sheetViews>
    <sheetView showGridLines="0" topLeftCell="E1" workbookViewId="0">
      <pane ySplit="1" topLeftCell="A2" activePane="bottomLeft" state="frozen"/>
      <selection pane="bottomLeft" activeCell="G5" sqref="G5"/>
    </sheetView>
  </sheetViews>
  <sheetFormatPr baseColWidth="12" defaultColWidth="13" defaultRowHeight="15" outlineLevelCol="1" x14ac:dyDescent="0.15"/>
  <cols>
    <col min="1" max="1" width="8.33203125" customWidth="1"/>
    <col min="2" max="2" width="7" bestFit="1" customWidth="1"/>
    <col min="3" max="3" width="17" customWidth="1" outlineLevel="1"/>
    <col min="4" max="4" width="18.83203125" customWidth="1" outlineLevel="1"/>
    <col min="5" max="5" width="6.83203125" bestFit="1" customWidth="1"/>
    <col min="6" max="6" width="22.5" customWidth="1" outlineLevel="1"/>
    <col min="7" max="7" width="22" customWidth="1" outlineLevel="1"/>
    <col min="8" max="8" width="9.83203125" bestFit="1" customWidth="1"/>
    <col min="9" max="9" width="12" bestFit="1" customWidth="1"/>
    <col min="10" max="10" width="7.1640625" bestFit="1" customWidth="1"/>
    <col min="11" max="11" width="5.83203125" bestFit="1" customWidth="1"/>
    <col min="12" max="12" width="9" bestFit="1" customWidth="1"/>
    <col min="13" max="13" width="9.6640625" bestFit="1" customWidth="1"/>
    <col min="14" max="14" width="12" customWidth="1" outlineLevel="1"/>
    <col min="15" max="15" width="10" bestFit="1" customWidth="1"/>
    <col min="16" max="16" width="4.5" bestFit="1" customWidth="1"/>
    <col min="17" max="17" width="7.6640625" bestFit="1" customWidth="1"/>
    <col min="18" max="18" width="6.33203125" bestFit="1" customWidth="1"/>
    <col min="19" max="19" width="9" bestFit="1" customWidth="1"/>
    <col min="20" max="20" width="10.1640625" bestFit="1" customWidth="1"/>
    <col min="21" max="21" width="7.5" bestFit="1" customWidth="1"/>
    <col min="22" max="22" width="3.83203125" bestFit="1" customWidth="1"/>
    <col min="23" max="23" width="15" bestFit="1" customWidth="1"/>
    <col min="24" max="24" width="16.83203125" bestFit="1" customWidth="1"/>
  </cols>
  <sheetData>
    <row r="1" spans="1:24" x14ac:dyDescent="0.15">
      <c r="A1" s="90" t="s">
        <v>212</v>
      </c>
      <c r="B1" s="91" t="s">
        <v>213</v>
      </c>
      <c r="C1" s="73" t="s">
        <v>214</v>
      </c>
      <c r="D1" s="73" t="s">
        <v>33</v>
      </c>
      <c r="E1" s="91" t="s">
        <v>215</v>
      </c>
      <c r="F1" s="73" t="s">
        <v>216</v>
      </c>
      <c r="G1" s="73" t="s">
        <v>33</v>
      </c>
      <c r="H1" s="91" t="s">
        <v>217</v>
      </c>
      <c r="I1" s="91" t="s">
        <v>218</v>
      </c>
      <c r="J1" s="91" t="s">
        <v>219</v>
      </c>
      <c r="K1" s="69" t="s">
        <v>220</v>
      </c>
      <c r="L1" s="69" t="s">
        <v>221</v>
      </c>
      <c r="M1" s="69" t="s">
        <v>157</v>
      </c>
      <c r="N1" s="73" t="s">
        <v>16</v>
      </c>
      <c r="O1" s="69" t="s">
        <v>222</v>
      </c>
      <c r="P1" s="69" t="s">
        <v>57</v>
      </c>
      <c r="Q1" s="69" t="s">
        <v>223</v>
      </c>
      <c r="R1" s="69" t="s">
        <v>38</v>
      </c>
      <c r="S1" s="69" t="s">
        <v>40</v>
      </c>
      <c r="T1" s="69" t="s">
        <v>42</v>
      </c>
      <c r="U1" s="69" t="s">
        <v>44</v>
      </c>
      <c r="V1" s="69" t="s">
        <v>46</v>
      </c>
      <c r="W1" s="69" t="s">
        <v>224</v>
      </c>
      <c r="X1" s="69" t="s">
        <v>225</v>
      </c>
    </row>
    <row r="2" spans="1:24" x14ac:dyDescent="0.15">
      <c r="A2" s="92" t="str">
        <f>B2&amp;"_"&amp;E2&amp;"_"&amp;H2&amp;"_"&amp;I2&amp;"_"&amp;J2</f>
        <v>40034_2_everyone_no_continue_1</v>
      </c>
      <c r="B2" s="78">
        <v>40034</v>
      </c>
      <c r="C2" s="79" t="str">
        <f ca="1">VLOOKUP($B2,OFFSET([2]quests!$A$1,0,0,COUNTA([2]quests!$A:$A),MATCH(C$1,[2]quests!$1:$1,0)-MATCH($B$1,[2]quests!$1:$1,0)+1),MATCH(C$1,[2]quests!$1:$1,0)-MATCH($B$1,[2]quests!$1:$1,0)+1,FALSE)</f>
        <v>カーリー襲来！</v>
      </c>
      <c r="D2" s="79" t="str">
        <f ca="1">VLOOKUP($B2,OFFSET([2]quests!$A$1,0,0,COUNTA([2]quests!$A:$A),MATCH(D$1,[2]quests!$1:$1,0)-MATCH($B$1,[2]quests!$1:$1,0)+1),MATCH(D$1,[2]quests!$1:$1,0)-MATCH($B$1,[2]quests!$1:$1,0)+1,FALSE)</f>
        <v>降臨34</v>
      </c>
      <c r="E2" s="80">
        <v>2</v>
      </c>
      <c r="F2" s="79" t="str">
        <f ca="1">VLOOKUP($B2&amp;"_"&amp;$E2,OFFSET([2]stages!$A$1,0,0,COUNTA([2]stages!$A:$A),MATCH(F$1,[2]stages!$2:$2,0)-MATCH("temp_stage",[2]stages!$2:$2,0)+1),MATCH(F$1,[2]stages!$2:$2,0)-MATCH("temp_stage",[2]stages!$2:$2,0)+1,FALSE)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2" s="79" t="str">
        <f ca="1">VLOOKUP($B2&amp;"_"&amp;$E2,OFFSET([2]stages!$A$1,0,0,COUNTA([2]stages!$A:$A),MATCH(G$1,[2]stages!$2:$2,0)-MATCH("temp_stage",[2]stages!$2:$2,0)+1),MATCH(G$1,[2]stages!$2:$2,0)-MATCH("temp_stage",[2]stages!$2:$2,0)+1,FALSE)</f>
        <v>降臨34</v>
      </c>
      <c r="H2" s="81" t="s">
        <v>226</v>
      </c>
      <c r="I2" s="80" t="s">
        <v>230</v>
      </c>
      <c r="J2" s="80">
        <v>1</v>
      </c>
      <c r="K2" s="80">
        <v>1000</v>
      </c>
      <c r="L2" s="80" t="s">
        <v>227</v>
      </c>
      <c r="M2" s="80">
        <v>1147</v>
      </c>
      <c r="N2" s="93" t="str">
        <f ca="1">IF(L2="unit",VLOOKUP($M2,OFFSET([4]characters!$A$1,0,0,COUNTA([4]characters!$A:$A),MATCH(N$1,[4]characters!$1:$1,0)-MATCH("character_id",[4]characters!$1:$1,0)+1),MATCH(N$1,[4]characters!$1:$1,0)-MATCH("character_id",[4]characters!$1:$1,0)+1,FALSE),"")</f>
        <v>カーリー</v>
      </c>
      <c r="O2" s="80">
        <v>1</v>
      </c>
      <c r="P2" s="80">
        <v>1</v>
      </c>
      <c r="Q2" s="80">
        <v>1</v>
      </c>
      <c r="R2" s="80">
        <v>0</v>
      </c>
      <c r="S2" s="80">
        <v>0</v>
      </c>
      <c r="T2" s="80">
        <v>0</v>
      </c>
      <c r="U2" s="80">
        <v>0</v>
      </c>
      <c r="V2" s="80">
        <v>1</v>
      </c>
      <c r="W2" s="94" t="s">
        <v>228</v>
      </c>
      <c r="X2" s="95" t="s">
        <v>229</v>
      </c>
    </row>
    <row r="3" spans="1:24" x14ac:dyDescent="0.15">
      <c r="A3" s="92" t="str">
        <f>B3&amp;"_"&amp;E3&amp;"_"&amp;H3&amp;"_"&amp;I3&amp;"_"&amp;J3</f>
        <v>40034_2_everyone_full_member_1</v>
      </c>
      <c r="B3" s="78">
        <v>40034</v>
      </c>
      <c r="C3" s="79" t="str">
        <f ca="1">VLOOKUP($B3,OFFSET([2]quests!$A$1,0,0,COUNTA([2]quests!$A:$A),MATCH(C$1,[2]quests!$1:$1,0)-MATCH($B$1,[2]quests!$1:$1,0)+1),MATCH(C$1,[2]quests!$1:$1,0)-MATCH($B$1,[2]quests!$1:$1,0)+1,FALSE)</f>
        <v>カーリー襲来！</v>
      </c>
      <c r="D3" s="79" t="str">
        <f ca="1">VLOOKUP($B3,OFFSET([2]quests!$A$1,0,0,COUNTA([2]quests!$A:$A),MATCH(D$1,[2]quests!$1:$1,0)-MATCH($B$1,[2]quests!$1:$1,0)+1),MATCH(D$1,[2]quests!$1:$1,0)-MATCH($B$1,[2]quests!$1:$1,0)+1,FALSE)</f>
        <v>降臨34</v>
      </c>
      <c r="E3" s="80">
        <v>2</v>
      </c>
      <c r="F3" s="79" t="str">
        <f ca="1">VLOOKUP($B3&amp;"_"&amp;$E3,OFFSET([2]stages!$A$1,0,0,COUNTA([2]stages!$A:$A),MATCH(F$1,[2]stages!$2:$2,0)-MATCH("temp_stage",[2]stages!$2:$2,0)+1),MATCH(F$1,[2]stages!$2:$2,0)-MATCH("temp_stage",[2]stages!$2:$2,0)+1,FALSE)</f>
        <v>【ウィザード級】カーリー襲来</v>
      </c>
      <c r="G3" s="79" t="str">
        <f ca="1">VLOOKUP($B3&amp;"_"&amp;$E3,OFFSET([2]stages!$A$1,0,0,COUNTA([2]stages!$A:$A),MATCH(G$1,[2]stages!$2:$2,0)-MATCH("temp_stage",[2]stages!$2:$2,0)+1),MATCH(G$1,[2]stages!$2:$2,0)-MATCH("temp_stage",[2]stages!$2:$2,0)+1,FALSE)</f>
        <v>降臨34</v>
      </c>
      <c r="H3" s="81" t="s">
        <v>226</v>
      </c>
      <c r="I3" s="80" t="s">
        <v>254</v>
      </c>
      <c r="J3" s="80">
        <v>1</v>
      </c>
      <c r="K3" s="80">
        <v>1000</v>
      </c>
      <c r="L3" s="80" t="s">
        <v>227</v>
      </c>
      <c r="M3" s="80">
        <v>1147</v>
      </c>
      <c r="N3" s="93" t="str">
        <f ca="1">IF(L3="unit",VLOOKUP($M3,OFFSET([4]characters!$A$1,0,0,COUNTA([4]characters!$A:$A),MATCH(N$1,[4]characters!$1:$1,0)-MATCH("character_id",[4]characters!$1:$1,0)+1),MATCH(N$1,[4]characters!$1:$1,0)-MATCH("character_id",[4]characters!$1:$1,0)+1,FALSE),"")</f>
        <v>カーリー</v>
      </c>
      <c r="O3" s="80">
        <v>1</v>
      </c>
      <c r="P3" s="80">
        <v>1</v>
      </c>
      <c r="Q3" s="80">
        <v>1</v>
      </c>
      <c r="R3" s="80">
        <v>0</v>
      </c>
      <c r="S3" s="80">
        <v>0</v>
      </c>
      <c r="T3" s="80">
        <v>0</v>
      </c>
      <c r="U3" s="80">
        <v>0</v>
      </c>
      <c r="V3" s="80">
        <v>1</v>
      </c>
      <c r="W3" s="94" t="s">
        <v>228</v>
      </c>
      <c r="X3" s="95" t="s">
        <v>229</v>
      </c>
    </row>
  </sheetData>
  <phoneticPr fontId="5"/>
  <pageMargins left="0.7" right="0.7" top="0.75" bottom="0.75" header="0.3" footer="0.3"/>
  <pageSetup paperSize="9" orientation="portrait" horizontalDpi="4294967292" verticalDpi="429496729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output</vt:lpstr>
      <vt:lpstr>floors</vt:lpstr>
      <vt:lpstr>enemy_habitats</vt:lpstr>
      <vt:lpstr>enemy_habitat_S</vt:lpstr>
      <vt:lpstr>enemy_skill_sets</vt:lpstr>
      <vt:lpstr>enemy_skills</vt:lpstr>
      <vt:lpstr>enemy_skill_triggers</vt:lpstr>
      <vt:lpstr>bugbonuses</vt:lpstr>
      <vt:lpstr>stage_hints_complete</vt:lpstr>
      <vt:lpstr>stage_hints_failure</vt:lpstr>
      <vt:lpstr>stage_bonuses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椿秀典</dc:creator>
  <cp:lastModifiedBy>Microsoft Office ユーザー</cp:lastModifiedBy>
  <dcterms:created xsi:type="dcterms:W3CDTF">2015-01-30T13:36:44Z</dcterms:created>
  <dcterms:modified xsi:type="dcterms:W3CDTF">2017-03-28T02:14:38Z</dcterms:modified>
</cp:coreProperties>
</file>