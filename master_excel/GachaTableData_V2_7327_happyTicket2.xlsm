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0" yWindow="460" windowWidth="25600" windowHeight="15460" tabRatio="943" activeTab="2"/>
  </bookViews>
  <sheets>
    <sheet name="確率の考え方" sheetId="110" r:id="rId1"/>
    <sheet name="Sheet1" sheetId="107" r:id="rId2"/>
    <sheet name="output" sheetId="103" r:id="rId3"/>
    <sheet name="input_7327" sheetId="157" r:id="rId4"/>
    <sheet name="tables_7327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tables_7327!$A$1:$V$355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7" i="158" l="1"/>
  <c r="D357" i="158"/>
  <c r="J357" i="158"/>
  <c r="E357" i="158"/>
  <c r="F357" i="158"/>
  <c r="C357" i="158"/>
  <c r="H357" i="158"/>
  <c r="K357" i="158"/>
  <c r="L357" i="158"/>
  <c r="M357" i="158"/>
  <c r="N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E6" i="157"/>
  <c r="B23" i="157"/>
  <c r="G23" i="157"/>
  <c r="H23" i="157"/>
  <c r="O357" i="158"/>
  <c r="E19" i="157"/>
  <c r="B19" i="157"/>
  <c r="E24" i="157"/>
  <c r="B24" i="157"/>
  <c r="B17" i="157"/>
  <c r="G17" i="157"/>
  <c r="E17" i="157"/>
  <c r="H17" i="157"/>
  <c r="O2" i="158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E20" i="157"/>
  <c r="H20" i="157"/>
  <c r="O52" i="158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E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8" i="158"/>
  <c r="O359" i="158"/>
  <c r="O360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F356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A2" i="158"/>
  <c r="A3" i="158"/>
  <c r="A4" i="158"/>
  <c r="A5" i="158"/>
  <c r="A6" i="158"/>
  <c r="A7" i="158"/>
  <c r="A8" i="158"/>
  <c r="A9" i="158"/>
  <c r="A10" i="158"/>
  <c r="A11" i="158"/>
  <c r="A12" i="158"/>
  <c r="A13" i="158"/>
  <c r="A14" i="158"/>
  <c r="A15" i="158"/>
  <c r="A16" i="158"/>
  <c r="A17" i="158"/>
  <c r="A18" i="158"/>
  <c r="A19" i="158"/>
  <c r="A20" i="158"/>
  <c r="A21" i="158"/>
  <c r="A22" i="158"/>
  <c r="A23" i="158"/>
  <c r="A24" i="158"/>
  <c r="A25" i="158"/>
  <c r="A26" i="158"/>
  <c r="A27" i="158"/>
  <c r="A28" i="158"/>
  <c r="A29" i="158"/>
  <c r="A30" i="158"/>
  <c r="A31" i="158"/>
  <c r="A32" i="158"/>
  <c r="A33" i="158"/>
  <c r="A34" i="158"/>
  <c r="A35" i="158"/>
  <c r="A36" i="158"/>
  <c r="A37" i="158"/>
  <c r="A38" i="158"/>
  <c r="A39" i="158"/>
  <c r="A40" i="158"/>
  <c r="A41" i="158"/>
  <c r="A42" i="158"/>
  <c r="A43" i="158"/>
  <c r="A44" i="158"/>
  <c r="A45" i="158"/>
  <c r="A46" i="158"/>
  <c r="A47" i="158"/>
  <c r="A48" i="158"/>
  <c r="A49" i="158"/>
  <c r="A50" i="158"/>
  <c r="A51" i="158"/>
  <c r="A52" i="158"/>
  <c r="A53" i="158"/>
  <c r="A54" i="158"/>
  <c r="A55" i="158"/>
  <c r="A56" i="158"/>
  <c r="A57" i="158"/>
  <c r="A58" i="158"/>
  <c r="A59" i="158"/>
  <c r="A60" i="158"/>
  <c r="A61" i="158"/>
  <c r="A62" i="158"/>
  <c r="A63" i="158"/>
  <c r="A64" i="158"/>
  <c r="A65" i="158"/>
  <c r="A66" i="158"/>
  <c r="A67" i="158"/>
  <c r="A68" i="158"/>
  <c r="A69" i="158"/>
  <c r="A70" i="158"/>
  <c r="A71" i="158"/>
  <c r="A72" i="158"/>
  <c r="A73" i="158"/>
  <c r="A74" i="158"/>
  <c r="A75" i="158"/>
  <c r="A76" i="158"/>
  <c r="A77" i="158"/>
  <c r="A78" i="158"/>
  <c r="A79" i="158"/>
  <c r="A80" i="158"/>
  <c r="A81" i="158"/>
  <c r="A82" i="158"/>
  <c r="A83" i="158"/>
  <c r="A84" i="158"/>
  <c r="A85" i="158"/>
  <c r="A86" i="158"/>
  <c r="A87" i="158"/>
  <c r="A88" i="158"/>
  <c r="A89" i="158"/>
  <c r="A90" i="158"/>
  <c r="A91" i="158"/>
  <c r="A92" i="158"/>
  <c r="A93" i="158"/>
  <c r="A94" i="158"/>
  <c r="A95" i="158"/>
  <c r="A96" i="158"/>
  <c r="A97" i="158"/>
  <c r="A98" i="158"/>
  <c r="A99" i="158"/>
  <c r="A100" i="158"/>
  <c r="A101" i="158"/>
  <c r="A102" i="158"/>
  <c r="A103" i="158"/>
  <c r="A104" i="158"/>
  <c r="A105" i="158"/>
  <c r="A106" i="158"/>
  <c r="A107" i="158"/>
  <c r="A108" i="158"/>
  <c r="A109" i="158"/>
  <c r="A110" i="158"/>
  <c r="A111" i="158"/>
  <c r="A112" i="158"/>
  <c r="A113" i="158"/>
  <c r="A114" i="158"/>
  <c r="A115" i="158"/>
  <c r="A116" i="158"/>
  <c r="A117" i="158"/>
  <c r="A118" i="158"/>
  <c r="A119" i="158"/>
  <c r="A120" i="158"/>
  <c r="A121" i="158"/>
  <c r="A122" i="158"/>
  <c r="A123" i="158"/>
  <c r="A124" i="158"/>
  <c r="A125" i="158"/>
  <c r="A126" i="158"/>
  <c r="A127" i="158"/>
  <c r="A128" i="158"/>
  <c r="A129" i="158"/>
  <c r="A130" i="158"/>
  <c r="A131" i="158"/>
  <c r="A132" i="158"/>
  <c r="A133" i="158"/>
  <c r="A134" i="158"/>
  <c r="A135" i="158"/>
  <c r="A136" i="158"/>
  <c r="A137" i="158"/>
  <c r="A138" i="158"/>
  <c r="A139" i="158"/>
  <c r="A140" i="158"/>
  <c r="A141" i="158"/>
  <c r="A142" i="158"/>
  <c r="A143" i="158"/>
  <c r="A144" i="158"/>
  <c r="A145" i="158"/>
  <c r="A146" i="158"/>
  <c r="A147" i="158"/>
  <c r="A148" i="158"/>
  <c r="A149" i="158"/>
  <c r="A150" i="158"/>
  <c r="A151" i="158"/>
  <c r="A152" i="158"/>
  <c r="A153" i="158"/>
  <c r="A154" i="158"/>
  <c r="A155" i="158"/>
  <c r="A156" i="158"/>
  <c r="A157" i="158"/>
  <c r="A158" i="158"/>
  <c r="A159" i="158"/>
  <c r="A160" i="158"/>
  <c r="A161" i="158"/>
  <c r="A162" i="158"/>
  <c r="A163" i="158"/>
  <c r="A164" i="158"/>
  <c r="A165" i="158"/>
  <c r="A166" i="158"/>
  <c r="A167" i="158"/>
  <c r="A168" i="158"/>
  <c r="A169" i="158"/>
  <c r="A170" i="158"/>
  <c r="A171" i="158"/>
  <c r="A172" i="158"/>
  <c r="A173" i="158"/>
  <c r="A174" i="158"/>
  <c r="A175" i="158"/>
  <c r="A176" i="158"/>
  <c r="A177" i="158"/>
  <c r="A178" i="158"/>
  <c r="A179" i="158"/>
  <c r="A180" i="158"/>
  <c r="A181" i="158"/>
  <c r="A182" i="158"/>
  <c r="A183" i="158"/>
  <c r="A184" i="158"/>
  <c r="A185" i="158"/>
  <c r="A186" i="158"/>
  <c r="A187" i="158"/>
  <c r="A188" i="158"/>
  <c r="A189" i="158"/>
  <c r="A190" i="158"/>
  <c r="A191" i="158"/>
  <c r="A192" i="158"/>
  <c r="A193" i="158"/>
  <c r="A194" i="158"/>
  <c r="A195" i="158"/>
  <c r="A196" i="158"/>
  <c r="A197" i="158"/>
  <c r="A198" i="158"/>
  <c r="A199" i="158"/>
  <c r="A200" i="158"/>
  <c r="A201" i="158"/>
  <c r="A202" i="158"/>
  <c r="A203" i="158"/>
  <c r="A204" i="158"/>
  <c r="A205" i="158"/>
  <c r="A206" i="158"/>
  <c r="A207" i="158"/>
  <c r="A208" i="158"/>
  <c r="A209" i="158"/>
  <c r="A210" i="158"/>
  <c r="A211" i="158"/>
  <c r="A212" i="158"/>
  <c r="A213" i="158"/>
  <c r="A214" i="158"/>
  <c r="A215" i="158"/>
  <c r="A216" i="158"/>
  <c r="A217" i="158"/>
  <c r="A218" i="158"/>
  <c r="A219" i="158"/>
  <c r="A220" i="158"/>
  <c r="A221" i="158"/>
  <c r="A222" i="158"/>
  <c r="A223" i="158"/>
  <c r="A224" i="158"/>
  <c r="A225" i="158"/>
  <c r="A226" i="158"/>
  <c r="A227" i="158"/>
  <c r="A228" i="158"/>
  <c r="A229" i="158"/>
  <c r="A230" i="158"/>
  <c r="A231" i="158"/>
  <c r="A232" i="158"/>
  <c r="A233" i="158"/>
  <c r="A234" i="158"/>
  <c r="A235" i="158"/>
  <c r="A236" i="158"/>
  <c r="A237" i="158"/>
  <c r="A238" i="158"/>
  <c r="A239" i="158"/>
  <c r="A240" i="158"/>
  <c r="A241" i="158"/>
  <c r="A242" i="158"/>
  <c r="A243" i="158"/>
  <c r="A244" i="158"/>
  <c r="A245" i="158"/>
  <c r="A246" i="158"/>
  <c r="A247" i="158"/>
  <c r="A248" i="158"/>
  <c r="A249" i="158"/>
  <c r="A250" i="158"/>
  <c r="A251" i="158"/>
  <c r="A252" i="158"/>
  <c r="A253" i="158"/>
  <c r="A254" i="158"/>
  <c r="A255" i="158"/>
  <c r="A256" i="158"/>
  <c r="A257" i="158"/>
  <c r="A258" i="158"/>
  <c r="A259" i="158"/>
  <c r="A260" i="158"/>
  <c r="A261" i="158"/>
  <c r="A262" i="158"/>
  <c r="A263" i="158"/>
  <c r="A264" i="158"/>
  <c r="A265" i="158"/>
  <c r="A266" i="158"/>
  <c r="A267" i="158"/>
  <c r="A268" i="158"/>
  <c r="A269" i="158"/>
  <c r="A270" i="158"/>
  <c r="A271" i="158"/>
  <c r="A272" i="158"/>
  <c r="A273" i="158"/>
  <c r="A274" i="158"/>
  <c r="A275" i="158"/>
  <c r="A276" i="158"/>
  <c r="A277" i="158"/>
  <c r="A278" i="158"/>
  <c r="A279" i="158"/>
  <c r="A280" i="158"/>
  <c r="A281" i="158"/>
  <c r="A282" i="158"/>
  <c r="A283" i="158"/>
  <c r="A284" i="158"/>
  <c r="A285" i="158"/>
  <c r="A286" i="158"/>
  <c r="A287" i="158"/>
  <c r="A288" i="158"/>
  <c r="A289" i="158"/>
  <c r="A290" i="158"/>
  <c r="A291" i="158"/>
  <c r="A292" i="158"/>
  <c r="A293" i="158"/>
  <c r="A294" i="158"/>
  <c r="A295" i="158"/>
  <c r="A296" i="158"/>
  <c r="A297" i="158"/>
  <c r="A298" i="158"/>
  <c r="A299" i="158"/>
  <c r="A300" i="158"/>
  <c r="A301" i="158"/>
  <c r="A302" i="158"/>
  <c r="A303" i="158"/>
  <c r="A304" i="158"/>
  <c r="A305" i="158"/>
  <c r="A306" i="158"/>
  <c r="A307" i="158"/>
  <c r="A308" i="158"/>
  <c r="A309" i="158"/>
  <c r="A310" i="158"/>
  <c r="A311" i="158"/>
  <c r="A312" i="158"/>
  <c r="A313" i="158"/>
  <c r="A314" i="158"/>
  <c r="A315" i="158"/>
  <c r="A316" i="158"/>
  <c r="A317" i="158"/>
  <c r="A318" i="158"/>
  <c r="A319" i="158"/>
  <c r="A320" i="158"/>
  <c r="A321" i="158"/>
  <c r="A322" i="158"/>
  <c r="A323" i="158"/>
  <c r="A324" i="158"/>
  <c r="A325" i="158"/>
  <c r="A326" i="158"/>
  <c r="A327" i="158"/>
  <c r="A328" i="158"/>
  <c r="A329" i="158"/>
  <c r="A330" i="158"/>
  <c r="A331" i="158"/>
  <c r="A332" i="158"/>
  <c r="A333" i="158"/>
  <c r="A334" i="158"/>
  <c r="A335" i="158"/>
  <c r="A336" i="158"/>
  <c r="A337" i="158"/>
  <c r="A338" i="158"/>
  <c r="A339" i="158"/>
  <c r="A340" i="158"/>
  <c r="A341" i="158"/>
  <c r="A342" i="158"/>
  <c r="A343" i="158"/>
  <c r="A344" i="158"/>
  <c r="A345" i="158"/>
  <c r="A346" i="158"/>
  <c r="A347" i="158"/>
  <c r="A348" i="158"/>
  <c r="A349" i="158"/>
  <c r="A350" i="158"/>
  <c r="A351" i="158"/>
  <c r="A352" i="158"/>
  <c r="A353" i="158"/>
  <c r="A354" i="158"/>
  <c r="A355" i="158"/>
  <c r="E3" i="103"/>
  <c r="E2" i="103"/>
  <c r="B10" i="157"/>
  <c r="B30" i="157"/>
  <c r="H355" i="158"/>
  <c r="K355" i="158"/>
  <c r="L355" i="158"/>
  <c r="M355" i="158"/>
  <c r="N355" i="158"/>
  <c r="P355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0" i="158"/>
  <c r="K350" i="158"/>
  <c r="L350" i="158"/>
  <c r="M350" i="158"/>
  <c r="N350" i="158"/>
  <c r="P350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H348" i="158"/>
  <c r="K348" i="158"/>
  <c r="L348" i="158"/>
  <c r="M348" i="158"/>
  <c r="N348" i="158"/>
  <c r="P348" i="158"/>
  <c r="H349" i="158"/>
  <c r="K349" i="158"/>
  <c r="L349" i="158"/>
  <c r="M349" i="158"/>
  <c r="N349" i="158"/>
  <c r="P349" i="158"/>
  <c r="H342" i="158"/>
  <c r="K342" i="158"/>
  <c r="L342" i="158"/>
  <c r="M342" i="158"/>
  <c r="N342" i="158"/>
  <c r="P342" i="158"/>
  <c r="H343" i="158"/>
  <c r="K343" i="158"/>
  <c r="L343" i="158"/>
  <c r="M343" i="158"/>
  <c r="N343" i="158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F41" i="157"/>
  <c r="G41" i="157"/>
  <c r="R3" i="157"/>
  <c r="R4" i="157"/>
  <c r="R5" i="157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H305" i="158"/>
  <c r="K305" i="158"/>
  <c r="L305" i="158"/>
  <c r="M305" i="158"/>
  <c r="N305" i="158"/>
  <c r="H306" i="158"/>
  <c r="K306" i="158"/>
  <c r="L306" i="158"/>
  <c r="M306" i="158"/>
  <c r="N306" i="158"/>
  <c r="H307" i="158"/>
  <c r="K307" i="158"/>
  <c r="L307" i="158"/>
  <c r="M307" i="158"/>
  <c r="N307" i="158"/>
  <c r="H308" i="158"/>
  <c r="K308" i="158"/>
  <c r="L308" i="158"/>
  <c r="M308" i="158"/>
  <c r="N308" i="158"/>
  <c r="H309" i="158"/>
  <c r="K309" i="158"/>
  <c r="L309" i="158"/>
  <c r="M309" i="158"/>
  <c r="N309" i="158"/>
  <c r="H300" i="158"/>
  <c r="K300" i="158"/>
  <c r="L300" i="158"/>
  <c r="M300" i="158"/>
  <c r="N300" i="158"/>
  <c r="H301" i="158"/>
  <c r="K301" i="158"/>
  <c r="L301" i="158"/>
  <c r="M301" i="158"/>
  <c r="N301" i="158"/>
  <c r="H302" i="158"/>
  <c r="K302" i="158"/>
  <c r="L302" i="158"/>
  <c r="M302" i="158"/>
  <c r="N302" i="158"/>
  <c r="H303" i="158"/>
  <c r="K303" i="158"/>
  <c r="L303" i="158"/>
  <c r="M303" i="158"/>
  <c r="N303" i="158"/>
  <c r="H304" i="158"/>
  <c r="K304" i="158"/>
  <c r="L304" i="158"/>
  <c r="M304" i="158"/>
  <c r="N304" i="158"/>
  <c r="H295" i="158"/>
  <c r="K295" i="158"/>
  <c r="L295" i="158"/>
  <c r="M295" i="158"/>
  <c r="N295" i="158"/>
  <c r="H296" i="158"/>
  <c r="K296" i="158"/>
  <c r="L296" i="158"/>
  <c r="M296" i="158"/>
  <c r="N296" i="158"/>
  <c r="H297" i="158"/>
  <c r="K297" i="158"/>
  <c r="L297" i="158"/>
  <c r="M297" i="158"/>
  <c r="N297" i="158"/>
  <c r="H298" i="158"/>
  <c r="K298" i="158"/>
  <c r="L298" i="158"/>
  <c r="M298" i="158"/>
  <c r="N298" i="158"/>
  <c r="H299" i="158"/>
  <c r="K299" i="158"/>
  <c r="L299" i="158"/>
  <c r="M299" i="158"/>
  <c r="N299" i="158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H285" i="158"/>
  <c r="K285" i="158"/>
  <c r="L285" i="158"/>
  <c r="M285" i="158"/>
  <c r="N285" i="158"/>
  <c r="H286" i="158"/>
  <c r="K286" i="158"/>
  <c r="L286" i="158"/>
  <c r="M286" i="158"/>
  <c r="N286" i="158"/>
  <c r="H287" i="158"/>
  <c r="K287" i="158"/>
  <c r="L287" i="158"/>
  <c r="M287" i="158"/>
  <c r="N287" i="158"/>
  <c r="H288" i="158"/>
  <c r="K288" i="158"/>
  <c r="L288" i="158"/>
  <c r="M288" i="158"/>
  <c r="N288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N283" i="158"/>
  <c r="M283" i="158"/>
  <c r="L283" i="158"/>
  <c r="K283" i="158"/>
  <c r="H283" i="158"/>
  <c r="N282" i="158"/>
  <c r="M282" i="158"/>
  <c r="L282" i="158"/>
  <c r="K282" i="158"/>
  <c r="H282" i="158"/>
  <c r="N281" i="158"/>
  <c r="M281" i="158"/>
  <c r="L281" i="158"/>
  <c r="K281" i="158"/>
  <c r="H281" i="158"/>
  <c r="N280" i="158"/>
  <c r="M280" i="158"/>
  <c r="L280" i="158"/>
  <c r="K280" i="158"/>
  <c r="H280" i="158"/>
  <c r="N279" i="158"/>
  <c r="M279" i="158"/>
  <c r="L279" i="158"/>
  <c r="K279" i="158"/>
  <c r="H279" i="158"/>
  <c r="N278" i="158"/>
  <c r="M278" i="158"/>
  <c r="L278" i="158"/>
  <c r="K278" i="158"/>
  <c r="H278" i="158"/>
  <c r="N277" i="158"/>
  <c r="M277" i="158"/>
  <c r="L277" i="158"/>
  <c r="K277" i="158"/>
  <c r="H277" i="158"/>
  <c r="N276" i="158"/>
  <c r="M276" i="158"/>
  <c r="L276" i="158"/>
  <c r="K276" i="158"/>
  <c r="H276" i="158"/>
  <c r="N275" i="158"/>
  <c r="M275" i="158"/>
  <c r="L275" i="158"/>
  <c r="K275" i="158"/>
  <c r="H275" i="158"/>
  <c r="N274" i="158"/>
  <c r="M274" i="158"/>
  <c r="L274" i="158"/>
  <c r="K274" i="158"/>
  <c r="H274" i="158"/>
  <c r="N273" i="158"/>
  <c r="M273" i="158"/>
  <c r="L273" i="158"/>
  <c r="K273" i="158"/>
  <c r="H273" i="158"/>
  <c r="N272" i="158"/>
  <c r="M272" i="158"/>
  <c r="L272" i="158"/>
  <c r="K272" i="158"/>
  <c r="H272" i="158"/>
  <c r="N271" i="158"/>
  <c r="M271" i="158"/>
  <c r="L271" i="158"/>
  <c r="K271" i="158"/>
  <c r="H271" i="158"/>
  <c r="N270" i="158"/>
  <c r="M270" i="158"/>
  <c r="L270" i="158"/>
  <c r="K270" i="158"/>
  <c r="H270" i="158"/>
  <c r="N269" i="158"/>
  <c r="M269" i="158"/>
  <c r="L269" i="158"/>
  <c r="K269" i="158"/>
  <c r="H269" i="158"/>
  <c r="N268" i="158"/>
  <c r="M268" i="158"/>
  <c r="L268" i="158"/>
  <c r="K268" i="158"/>
  <c r="H268" i="158"/>
  <c r="N267" i="158"/>
  <c r="M267" i="158"/>
  <c r="L267" i="158"/>
  <c r="K267" i="158"/>
  <c r="H267" i="158"/>
  <c r="N266" i="158"/>
  <c r="M266" i="158"/>
  <c r="L266" i="158"/>
  <c r="K266" i="158"/>
  <c r="H266" i="158"/>
  <c r="N265" i="158"/>
  <c r="M265" i="158"/>
  <c r="L265" i="158"/>
  <c r="K265" i="158"/>
  <c r="H265" i="158"/>
  <c r="N264" i="158"/>
  <c r="M264" i="158"/>
  <c r="L264" i="158"/>
  <c r="K264" i="158"/>
  <c r="H264" i="158"/>
  <c r="N263" i="158"/>
  <c r="M263" i="158"/>
  <c r="L263" i="158"/>
  <c r="K263" i="158"/>
  <c r="H263" i="158"/>
  <c r="N262" i="158"/>
  <c r="M262" i="158"/>
  <c r="L262" i="158"/>
  <c r="K262" i="158"/>
  <c r="H262" i="158"/>
  <c r="N261" i="158"/>
  <c r="M261" i="158"/>
  <c r="L261" i="158"/>
  <c r="K261" i="158"/>
  <c r="H261" i="158"/>
  <c r="N260" i="158"/>
  <c r="M260" i="158"/>
  <c r="L260" i="158"/>
  <c r="K260" i="158"/>
  <c r="H260" i="158"/>
  <c r="N259" i="158"/>
  <c r="M259" i="158"/>
  <c r="L259" i="158"/>
  <c r="K259" i="158"/>
  <c r="H259" i="158"/>
  <c r="N258" i="158"/>
  <c r="M258" i="158"/>
  <c r="L258" i="158"/>
  <c r="K258" i="158"/>
  <c r="H258" i="158"/>
  <c r="N257" i="158"/>
  <c r="M257" i="158"/>
  <c r="L257" i="158"/>
  <c r="K257" i="158"/>
  <c r="H257" i="158"/>
  <c r="N256" i="158"/>
  <c r="M256" i="158"/>
  <c r="L256" i="158"/>
  <c r="K256" i="158"/>
  <c r="H256" i="158"/>
  <c r="N255" i="158"/>
  <c r="M255" i="158"/>
  <c r="L255" i="158"/>
  <c r="K255" i="158"/>
  <c r="H255" i="158"/>
  <c r="N254" i="158"/>
  <c r="M254" i="158"/>
  <c r="L254" i="158"/>
  <c r="K254" i="158"/>
  <c r="H254" i="158"/>
  <c r="N253" i="158"/>
  <c r="M253" i="158"/>
  <c r="L253" i="158"/>
  <c r="K253" i="158"/>
  <c r="H253" i="158"/>
  <c r="N252" i="158"/>
  <c r="M252" i="158"/>
  <c r="L252" i="158"/>
  <c r="K252" i="158"/>
  <c r="H252" i="158"/>
  <c r="N251" i="158"/>
  <c r="M251" i="158"/>
  <c r="L251" i="158"/>
  <c r="K251" i="158"/>
  <c r="H251" i="158"/>
  <c r="N250" i="158"/>
  <c r="M250" i="158"/>
  <c r="L250" i="158"/>
  <c r="K250" i="158"/>
  <c r="H250" i="158"/>
  <c r="N249" i="158"/>
  <c r="M249" i="158"/>
  <c r="L249" i="158"/>
  <c r="K249" i="158"/>
  <c r="H249" i="158"/>
  <c r="N248" i="158"/>
  <c r="M248" i="158"/>
  <c r="L248" i="158"/>
  <c r="K248" i="158"/>
  <c r="H248" i="158"/>
  <c r="N247" i="158"/>
  <c r="M247" i="158"/>
  <c r="L247" i="158"/>
  <c r="K247" i="158"/>
  <c r="H247" i="158"/>
  <c r="N246" i="158"/>
  <c r="M246" i="158"/>
  <c r="L246" i="158"/>
  <c r="K246" i="158"/>
  <c r="H246" i="158"/>
  <c r="N245" i="158"/>
  <c r="M245" i="158"/>
  <c r="L245" i="158"/>
  <c r="K245" i="158"/>
  <c r="H245" i="158"/>
  <c r="N244" i="158"/>
  <c r="M244" i="158"/>
  <c r="L244" i="158"/>
  <c r="K244" i="158"/>
  <c r="H244" i="158"/>
  <c r="N243" i="158"/>
  <c r="M243" i="158"/>
  <c r="L243" i="158"/>
  <c r="K243" i="158"/>
  <c r="H243" i="158"/>
  <c r="N242" i="158"/>
  <c r="M242" i="158"/>
  <c r="L242" i="158"/>
  <c r="K242" i="158"/>
  <c r="H242" i="158"/>
  <c r="N241" i="158"/>
  <c r="M241" i="158"/>
  <c r="L241" i="158"/>
  <c r="K241" i="158"/>
  <c r="H241" i="158"/>
  <c r="N240" i="158"/>
  <c r="M240" i="158"/>
  <c r="L240" i="158"/>
  <c r="K240" i="158"/>
  <c r="H240" i="158"/>
  <c r="N239" i="158"/>
  <c r="M239" i="158"/>
  <c r="L239" i="158"/>
  <c r="K239" i="158"/>
  <c r="H239" i="158"/>
  <c r="N238" i="158"/>
  <c r="M238" i="158"/>
  <c r="L238" i="158"/>
  <c r="K238" i="158"/>
  <c r="H238" i="158"/>
  <c r="N237" i="158"/>
  <c r="M237" i="158"/>
  <c r="L237" i="158"/>
  <c r="K237" i="158"/>
  <c r="H237" i="158"/>
  <c r="N236" i="158"/>
  <c r="M236" i="158"/>
  <c r="L236" i="158"/>
  <c r="K236" i="158"/>
  <c r="H236" i="158"/>
  <c r="N235" i="158"/>
  <c r="M235" i="158"/>
  <c r="L235" i="158"/>
  <c r="K235" i="158"/>
  <c r="H235" i="158"/>
  <c r="N234" i="158"/>
  <c r="M234" i="158"/>
  <c r="L234" i="158"/>
  <c r="K234" i="158"/>
  <c r="H234" i="158"/>
  <c r="N233" i="158"/>
  <c r="M233" i="158"/>
  <c r="L233" i="158"/>
  <c r="K233" i="158"/>
  <c r="H233" i="158"/>
  <c r="N232" i="158"/>
  <c r="M232" i="158"/>
  <c r="L232" i="158"/>
  <c r="K232" i="158"/>
  <c r="H232" i="158"/>
  <c r="N231" i="158"/>
  <c r="M231" i="158"/>
  <c r="L231" i="158"/>
  <c r="K231" i="158"/>
  <c r="H231" i="158"/>
  <c r="N230" i="158"/>
  <c r="M230" i="158"/>
  <c r="L230" i="158"/>
  <c r="K230" i="158"/>
  <c r="H230" i="158"/>
  <c r="N229" i="158"/>
  <c r="M229" i="158"/>
  <c r="L229" i="158"/>
  <c r="K229" i="158"/>
  <c r="H229" i="158"/>
  <c r="N228" i="158"/>
  <c r="M228" i="158"/>
  <c r="L228" i="158"/>
  <c r="K228" i="158"/>
  <c r="H228" i="158"/>
  <c r="N227" i="158"/>
  <c r="M227" i="158"/>
  <c r="L227" i="158"/>
  <c r="K227" i="158"/>
  <c r="H227" i="158"/>
  <c r="N226" i="158"/>
  <c r="M226" i="158"/>
  <c r="L226" i="158"/>
  <c r="K226" i="158"/>
  <c r="H226" i="158"/>
  <c r="N225" i="158"/>
  <c r="M225" i="158"/>
  <c r="L225" i="158"/>
  <c r="K225" i="158"/>
  <c r="H225" i="158"/>
  <c r="N224" i="158"/>
  <c r="M224" i="158"/>
  <c r="L224" i="158"/>
  <c r="K224" i="158"/>
  <c r="H224" i="158"/>
  <c r="N223" i="158"/>
  <c r="M223" i="158"/>
  <c r="L223" i="158"/>
  <c r="K223" i="158"/>
  <c r="H223" i="158"/>
  <c r="N222" i="158"/>
  <c r="M222" i="158"/>
  <c r="L222" i="158"/>
  <c r="K222" i="158"/>
  <c r="H222" i="158"/>
  <c r="N221" i="158"/>
  <c r="M221" i="158"/>
  <c r="L221" i="158"/>
  <c r="K221" i="158"/>
  <c r="H221" i="158"/>
  <c r="N220" i="158"/>
  <c r="M220" i="158"/>
  <c r="L220" i="158"/>
  <c r="K220" i="158"/>
  <c r="H220" i="158"/>
  <c r="N219" i="158"/>
  <c r="M219" i="158"/>
  <c r="L219" i="158"/>
  <c r="K219" i="158"/>
  <c r="H219" i="158"/>
  <c r="N218" i="158"/>
  <c r="M218" i="158"/>
  <c r="L218" i="158"/>
  <c r="K218" i="158"/>
  <c r="H218" i="158"/>
  <c r="N217" i="158"/>
  <c r="M217" i="158"/>
  <c r="L217" i="158"/>
  <c r="K217" i="158"/>
  <c r="H217" i="158"/>
  <c r="N216" i="158"/>
  <c r="M216" i="158"/>
  <c r="L216" i="158"/>
  <c r="K216" i="158"/>
  <c r="H216" i="158"/>
  <c r="N215" i="158"/>
  <c r="M215" i="158"/>
  <c r="L215" i="158"/>
  <c r="K215" i="158"/>
  <c r="H215" i="158"/>
  <c r="N214" i="158"/>
  <c r="M214" i="158"/>
  <c r="L214" i="158"/>
  <c r="K214" i="158"/>
  <c r="H214" i="158"/>
  <c r="N213" i="158"/>
  <c r="M213" i="158"/>
  <c r="L213" i="158"/>
  <c r="K213" i="158"/>
  <c r="H213" i="158"/>
  <c r="N212" i="158"/>
  <c r="M212" i="158"/>
  <c r="L212" i="158"/>
  <c r="K212" i="158"/>
  <c r="H212" i="158"/>
  <c r="N211" i="158"/>
  <c r="M211" i="158"/>
  <c r="L211" i="158"/>
  <c r="K211" i="158"/>
  <c r="H211" i="158"/>
  <c r="N210" i="158"/>
  <c r="M210" i="158"/>
  <c r="L210" i="158"/>
  <c r="K210" i="158"/>
  <c r="H210" i="158"/>
  <c r="N209" i="158"/>
  <c r="M209" i="158"/>
  <c r="L209" i="158"/>
  <c r="K209" i="158"/>
  <c r="H209" i="158"/>
  <c r="N208" i="158"/>
  <c r="M208" i="158"/>
  <c r="L208" i="158"/>
  <c r="K208" i="158"/>
  <c r="H208" i="158"/>
  <c r="N207" i="158"/>
  <c r="M207" i="158"/>
  <c r="L207" i="158"/>
  <c r="K207" i="158"/>
  <c r="H207" i="158"/>
  <c r="N206" i="158"/>
  <c r="M206" i="158"/>
  <c r="L206" i="158"/>
  <c r="K206" i="158"/>
  <c r="H206" i="158"/>
  <c r="N205" i="158"/>
  <c r="M205" i="158"/>
  <c r="L205" i="158"/>
  <c r="K205" i="158"/>
  <c r="H205" i="158"/>
  <c r="N204" i="158"/>
  <c r="M204" i="158"/>
  <c r="L204" i="158"/>
  <c r="K204" i="158"/>
  <c r="H204" i="158"/>
  <c r="N203" i="158"/>
  <c r="M203" i="158"/>
  <c r="L203" i="158"/>
  <c r="K203" i="158"/>
  <c r="H203" i="158"/>
  <c r="N202" i="158"/>
  <c r="M202" i="158"/>
  <c r="L202" i="158"/>
  <c r="K202" i="158"/>
  <c r="H202" i="158"/>
  <c r="N201" i="158"/>
  <c r="M201" i="158"/>
  <c r="L201" i="158"/>
  <c r="K201" i="158"/>
  <c r="H201" i="158"/>
  <c r="N200" i="158"/>
  <c r="M200" i="158"/>
  <c r="L200" i="158"/>
  <c r="K200" i="158"/>
  <c r="H200" i="158"/>
  <c r="N199" i="158"/>
  <c r="M199" i="158"/>
  <c r="L199" i="158"/>
  <c r="K199" i="158"/>
  <c r="H199" i="158"/>
  <c r="N198" i="158"/>
  <c r="M198" i="158"/>
  <c r="L198" i="158"/>
  <c r="K198" i="158"/>
  <c r="H198" i="158"/>
  <c r="N197" i="158"/>
  <c r="M197" i="158"/>
  <c r="L197" i="158"/>
  <c r="K197" i="158"/>
  <c r="H197" i="158"/>
  <c r="N196" i="158"/>
  <c r="M196" i="158"/>
  <c r="L196" i="158"/>
  <c r="K196" i="158"/>
  <c r="H196" i="158"/>
  <c r="N195" i="158"/>
  <c r="M195" i="158"/>
  <c r="L195" i="158"/>
  <c r="K195" i="158"/>
  <c r="H195" i="158"/>
  <c r="N194" i="158"/>
  <c r="M194" i="158"/>
  <c r="L194" i="158"/>
  <c r="K194" i="158"/>
  <c r="H194" i="158"/>
  <c r="N193" i="158"/>
  <c r="M193" i="158"/>
  <c r="L193" i="158"/>
  <c r="K193" i="158"/>
  <c r="H193" i="158"/>
  <c r="N192" i="158"/>
  <c r="M192" i="158"/>
  <c r="L192" i="158"/>
  <c r="K192" i="158"/>
  <c r="H192" i="158"/>
  <c r="N191" i="158"/>
  <c r="M191" i="158"/>
  <c r="L191" i="158"/>
  <c r="K191" i="158"/>
  <c r="H191" i="158"/>
  <c r="N190" i="158"/>
  <c r="M190" i="158"/>
  <c r="L190" i="158"/>
  <c r="K190" i="158"/>
  <c r="H190" i="158"/>
  <c r="N189" i="158"/>
  <c r="M189" i="158"/>
  <c r="L189" i="158"/>
  <c r="K189" i="158"/>
  <c r="H189" i="158"/>
  <c r="N188" i="158"/>
  <c r="M188" i="158"/>
  <c r="L188" i="158"/>
  <c r="K188" i="158"/>
  <c r="H188" i="158"/>
  <c r="N187" i="158"/>
  <c r="M187" i="158"/>
  <c r="L187" i="158"/>
  <c r="K187" i="158"/>
  <c r="H187" i="158"/>
  <c r="N186" i="158"/>
  <c r="M186" i="158"/>
  <c r="L186" i="158"/>
  <c r="K186" i="158"/>
  <c r="H186" i="158"/>
  <c r="N185" i="158"/>
  <c r="M185" i="158"/>
  <c r="L185" i="158"/>
  <c r="K185" i="158"/>
  <c r="H185" i="158"/>
  <c r="N184" i="158"/>
  <c r="M184" i="158"/>
  <c r="L184" i="158"/>
  <c r="K184" i="158"/>
  <c r="H184" i="158"/>
  <c r="N183" i="158"/>
  <c r="M183" i="158"/>
  <c r="L183" i="158"/>
  <c r="K183" i="158"/>
  <c r="H183" i="158"/>
  <c r="N182" i="158"/>
  <c r="M182" i="158"/>
  <c r="L182" i="158"/>
  <c r="K182" i="158"/>
  <c r="H182" i="158"/>
  <c r="N181" i="158"/>
  <c r="M181" i="158"/>
  <c r="L181" i="158"/>
  <c r="K181" i="158"/>
  <c r="H181" i="158"/>
  <c r="N180" i="158"/>
  <c r="M180" i="158"/>
  <c r="L180" i="158"/>
  <c r="K180" i="158"/>
  <c r="H180" i="158"/>
  <c r="N179" i="158"/>
  <c r="M179" i="158"/>
  <c r="L179" i="158"/>
  <c r="K179" i="158"/>
  <c r="H179" i="158"/>
  <c r="N178" i="158"/>
  <c r="M178" i="158"/>
  <c r="L178" i="158"/>
  <c r="K178" i="158"/>
  <c r="H178" i="158"/>
  <c r="N177" i="158"/>
  <c r="M177" i="158"/>
  <c r="L177" i="158"/>
  <c r="K177" i="158"/>
  <c r="H177" i="158"/>
  <c r="N176" i="158"/>
  <c r="M176" i="158"/>
  <c r="L176" i="158"/>
  <c r="K176" i="158"/>
  <c r="H176" i="158"/>
  <c r="N175" i="158"/>
  <c r="M175" i="158"/>
  <c r="L175" i="158"/>
  <c r="K175" i="158"/>
  <c r="H175" i="158"/>
  <c r="N174" i="158"/>
  <c r="M174" i="158"/>
  <c r="L174" i="158"/>
  <c r="K174" i="158"/>
  <c r="H174" i="158"/>
  <c r="N173" i="158"/>
  <c r="M173" i="158"/>
  <c r="L173" i="158"/>
  <c r="K173" i="158"/>
  <c r="H173" i="158"/>
  <c r="N172" i="158"/>
  <c r="M172" i="158"/>
  <c r="L172" i="158"/>
  <c r="K172" i="158"/>
  <c r="H172" i="158"/>
  <c r="N171" i="158"/>
  <c r="M171" i="158"/>
  <c r="L171" i="158"/>
  <c r="K171" i="158"/>
  <c r="H171" i="158"/>
  <c r="N170" i="158"/>
  <c r="M170" i="158"/>
  <c r="L170" i="158"/>
  <c r="K170" i="158"/>
  <c r="H170" i="158"/>
  <c r="N169" i="158"/>
  <c r="M169" i="158"/>
  <c r="L169" i="158"/>
  <c r="K169" i="158"/>
  <c r="H169" i="158"/>
  <c r="N168" i="158"/>
  <c r="M168" i="158"/>
  <c r="L168" i="158"/>
  <c r="K168" i="158"/>
  <c r="H168" i="158"/>
  <c r="N167" i="158"/>
  <c r="M167" i="158"/>
  <c r="L167" i="158"/>
  <c r="K167" i="158"/>
  <c r="H167" i="158"/>
  <c r="N166" i="158"/>
  <c r="M166" i="158"/>
  <c r="L166" i="158"/>
  <c r="K166" i="158"/>
  <c r="H166" i="158"/>
  <c r="N165" i="158"/>
  <c r="M165" i="158"/>
  <c r="L165" i="158"/>
  <c r="K165" i="158"/>
  <c r="H165" i="158"/>
  <c r="N164" i="158"/>
  <c r="M164" i="158"/>
  <c r="L164" i="158"/>
  <c r="K164" i="158"/>
  <c r="H164" i="158"/>
  <c r="N163" i="158"/>
  <c r="M163" i="158"/>
  <c r="L163" i="158"/>
  <c r="K163" i="158"/>
  <c r="H163" i="158"/>
  <c r="N162" i="158"/>
  <c r="M162" i="158"/>
  <c r="L162" i="158"/>
  <c r="K162" i="158"/>
  <c r="H162" i="158"/>
  <c r="N161" i="158"/>
  <c r="M161" i="158"/>
  <c r="L161" i="158"/>
  <c r="K161" i="158"/>
  <c r="H161" i="158"/>
  <c r="N160" i="158"/>
  <c r="M160" i="158"/>
  <c r="L160" i="158"/>
  <c r="K160" i="158"/>
  <c r="H160" i="158"/>
  <c r="N159" i="158"/>
  <c r="M159" i="158"/>
  <c r="L159" i="158"/>
  <c r="K159" i="158"/>
  <c r="H159" i="158"/>
  <c r="N158" i="158"/>
  <c r="M158" i="158"/>
  <c r="L158" i="158"/>
  <c r="K158" i="158"/>
  <c r="H158" i="158"/>
  <c r="N157" i="158"/>
  <c r="M157" i="158"/>
  <c r="L157" i="158"/>
  <c r="K157" i="158"/>
  <c r="H157" i="158"/>
  <c r="N156" i="158"/>
  <c r="M156" i="158"/>
  <c r="L156" i="158"/>
  <c r="K156" i="158"/>
  <c r="H156" i="158"/>
  <c r="N155" i="158"/>
  <c r="M155" i="158"/>
  <c r="L155" i="158"/>
  <c r="K155" i="158"/>
  <c r="H155" i="158"/>
  <c r="N154" i="158"/>
  <c r="M154" i="158"/>
  <c r="L154" i="158"/>
  <c r="K154" i="158"/>
  <c r="H154" i="158"/>
  <c r="N153" i="158"/>
  <c r="M153" i="158"/>
  <c r="L153" i="158"/>
  <c r="K153" i="158"/>
  <c r="H153" i="158"/>
  <c r="N152" i="158"/>
  <c r="M152" i="158"/>
  <c r="L152" i="158"/>
  <c r="K152" i="158"/>
  <c r="H152" i="158"/>
  <c r="N151" i="158"/>
  <c r="M151" i="158"/>
  <c r="L151" i="158"/>
  <c r="K151" i="158"/>
  <c r="H151" i="158"/>
  <c r="N150" i="158"/>
  <c r="M150" i="158"/>
  <c r="L150" i="158"/>
  <c r="K150" i="158"/>
  <c r="H150" i="158"/>
  <c r="N149" i="158"/>
  <c r="M149" i="158"/>
  <c r="L149" i="158"/>
  <c r="K149" i="158"/>
  <c r="H149" i="158"/>
  <c r="N148" i="158"/>
  <c r="M148" i="158"/>
  <c r="L148" i="158"/>
  <c r="K148" i="158"/>
  <c r="H148" i="158"/>
  <c r="N147" i="158"/>
  <c r="M147" i="158"/>
  <c r="L147" i="158"/>
  <c r="K147" i="158"/>
  <c r="H147" i="158"/>
  <c r="N146" i="158"/>
  <c r="M146" i="158"/>
  <c r="L146" i="158"/>
  <c r="K146" i="158"/>
  <c r="H146" i="158"/>
  <c r="N145" i="158"/>
  <c r="M145" i="158"/>
  <c r="L145" i="158"/>
  <c r="K145" i="158"/>
  <c r="H145" i="158"/>
  <c r="N144" i="158"/>
  <c r="M144" i="158"/>
  <c r="L144" i="158"/>
  <c r="K144" i="158"/>
  <c r="H144" i="158"/>
  <c r="N143" i="158"/>
  <c r="M143" i="158"/>
  <c r="L143" i="158"/>
  <c r="K143" i="158"/>
  <c r="H143" i="158"/>
  <c r="N142" i="158"/>
  <c r="M142" i="158"/>
  <c r="L142" i="158"/>
  <c r="K142" i="158"/>
  <c r="H142" i="158"/>
  <c r="N141" i="158"/>
  <c r="M141" i="158"/>
  <c r="L141" i="158"/>
  <c r="K141" i="158"/>
  <c r="H141" i="158"/>
  <c r="N140" i="158"/>
  <c r="M140" i="158"/>
  <c r="L140" i="158"/>
  <c r="K140" i="158"/>
  <c r="H140" i="158"/>
  <c r="N139" i="158"/>
  <c r="M139" i="158"/>
  <c r="L139" i="158"/>
  <c r="K139" i="158"/>
  <c r="H139" i="158"/>
  <c r="N138" i="158"/>
  <c r="M138" i="158"/>
  <c r="L138" i="158"/>
  <c r="K138" i="158"/>
  <c r="H138" i="158"/>
  <c r="N137" i="158"/>
  <c r="M137" i="158"/>
  <c r="L137" i="158"/>
  <c r="K137" i="158"/>
  <c r="H137" i="158"/>
  <c r="N136" i="158"/>
  <c r="M136" i="158"/>
  <c r="L136" i="158"/>
  <c r="K136" i="158"/>
  <c r="H136" i="158"/>
  <c r="N135" i="158"/>
  <c r="M135" i="158"/>
  <c r="L135" i="158"/>
  <c r="K135" i="158"/>
  <c r="H135" i="158"/>
  <c r="N134" i="158"/>
  <c r="M134" i="158"/>
  <c r="L134" i="158"/>
  <c r="K134" i="158"/>
  <c r="H134" i="158"/>
  <c r="N133" i="158"/>
  <c r="M133" i="158"/>
  <c r="L133" i="158"/>
  <c r="K133" i="158"/>
  <c r="H133" i="158"/>
  <c r="N132" i="158"/>
  <c r="M132" i="158"/>
  <c r="L132" i="158"/>
  <c r="K132" i="158"/>
  <c r="H132" i="158"/>
  <c r="N131" i="158"/>
  <c r="M131" i="158"/>
  <c r="L131" i="158"/>
  <c r="K131" i="158"/>
  <c r="H131" i="158"/>
  <c r="N130" i="158"/>
  <c r="M130" i="158"/>
  <c r="L130" i="158"/>
  <c r="K130" i="158"/>
  <c r="H130" i="158"/>
  <c r="N129" i="158"/>
  <c r="M129" i="158"/>
  <c r="L129" i="158"/>
  <c r="K129" i="158"/>
  <c r="H129" i="158"/>
  <c r="N128" i="158"/>
  <c r="M128" i="158"/>
  <c r="L128" i="158"/>
  <c r="K128" i="158"/>
  <c r="H128" i="158"/>
  <c r="N127" i="158"/>
  <c r="M127" i="158"/>
  <c r="L127" i="158"/>
  <c r="K127" i="158"/>
  <c r="H127" i="158"/>
  <c r="N126" i="158"/>
  <c r="M126" i="158"/>
  <c r="L126" i="158"/>
  <c r="K126" i="158"/>
  <c r="H126" i="158"/>
  <c r="N125" i="158"/>
  <c r="M125" i="158"/>
  <c r="L125" i="158"/>
  <c r="K125" i="158"/>
  <c r="H125" i="158"/>
  <c r="N124" i="158"/>
  <c r="M124" i="158"/>
  <c r="L124" i="158"/>
  <c r="K124" i="158"/>
  <c r="H124" i="158"/>
  <c r="N123" i="158"/>
  <c r="M123" i="158"/>
  <c r="L123" i="158"/>
  <c r="K123" i="158"/>
  <c r="H123" i="158"/>
  <c r="N122" i="158"/>
  <c r="M122" i="158"/>
  <c r="L122" i="158"/>
  <c r="K122" i="158"/>
  <c r="H122" i="158"/>
  <c r="N121" i="158"/>
  <c r="M121" i="158"/>
  <c r="L121" i="158"/>
  <c r="K121" i="158"/>
  <c r="H121" i="158"/>
  <c r="N120" i="158"/>
  <c r="M120" i="158"/>
  <c r="L120" i="158"/>
  <c r="K120" i="158"/>
  <c r="H120" i="158"/>
  <c r="N119" i="158"/>
  <c r="M119" i="158"/>
  <c r="L119" i="158"/>
  <c r="K119" i="158"/>
  <c r="H119" i="158"/>
  <c r="N118" i="158"/>
  <c r="M118" i="158"/>
  <c r="L118" i="158"/>
  <c r="K118" i="158"/>
  <c r="H118" i="158"/>
  <c r="N117" i="158"/>
  <c r="M117" i="158"/>
  <c r="L117" i="158"/>
  <c r="K117" i="158"/>
  <c r="H117" i="158"/>
  <c r="N116" i="158"/>
  <c r="M116" i="158"/>
  <c r="L116" i="158"/>
  <c r="K116" i="158"/>
  <c r="H116" i="158"/>
  <c r="N115" i="158"/>
  <c r="M115" i="158"/>
  <c r="L115" i="158"/>
  <c r="K115" i="158"/>
  <c r="H115" i="158"/>
  <c r="N114" i="158"/>
  <c r="M114" i="158"/>
  <c r="L114" i="158"/>
  <c r="K114" i="158"/>
  <c r="H114" i="158"/>
  <c r="N113" i="158"/>
  <c r="M113" i="158"/>
  <c r="L113" i="158"/>
  <c r="K113" i="158"/>
  <c r="H113" i="158"/>
  <c r="N112" i="158"/>
  <c r="M112" i="158"/>
  <c r="L112" i="158"/>
  <c r="K112" i="158"/>
  <c r="H112" i="158"/>
  <c r="N111" i="158"/>
  <c r="M111" i="158"/>
  <c r="L111" i="158"/>
  <c r="K111" i="158"/>
  <c r="H111" i="158"/>
  <c r="N110" i="158"/>
  <c r="M110" i="158"/>
  <c r="L110" i="158"/>
  <c r="K110" i="158"/>
  <c r="H110" i="158"/>
  <c r="N109" i="158"/>
  <c r="M109" i="158"/>
  <c r="L109" i="158"/>
  <c r="K109" i="158"/>
  <c r="H109" i="158"/>
  <c r="N108" i="158"/>
  <c r="M108" i="158"/>
  <c r="L108" i="158"/>
  <c r="K108" i="158"/>
  <c r="H108" i="158"/>
  <c r="N107" i="158"/>
  <c r="M107" i="158"/>
  <c r="L107" i="158"/>
  <c r="K107" i="158"/>
  <c r="H107" i="158"/>
  <c r="N106" i="158"/>
  <c r="M106" i="158"/>
  <c r="L106" i="158"/>
  <c r="K106" i="158"/>
  <c r="H106" i="158"/>
  <c r="N105" i="158"/>
  <c r="M105" i="158"/>
  <c r="L105" i="158"/>
  <c r="K105" i="158"/>
  <c r="H105" i="158"/>
  <c r="N104" i="158"/>
  <c r="M104" i="158"/>
  <c r="L104" i="158"/>
  <c r="K104" i="158"/>
  <c r="H104" i="158"/>
  <c r="N103" i="158"/>
  <c r="M103" i="158"/>
  <c r="L103" i="158"/>
  <c r="K103" i="158"/>
  <c r="H103" i="158"/>
  <c r="N102" i="158"/>
  <c r="M102" i="158"/>
  <c r="L102" i="158"/>
  <c r="K102" i="158"/>
  <c r="H102" i="158"/>
  <c r="N101" i="158"/>
  <c r="M101" i="158"/>
  <c r="L101" i="158"/>
  <c r="K101" i="158"/>
  <c r="H101" i="158"/>
  <c r="N100" i="158"/>
  <c r="M100" i="158"/>
  <c r="L100" i="158"/>
  <c r="K100" i="158"/>
  <c r="H100" i="158"/>
  <c r="N99" i="158"/>
  <c r="M99" i="158"/>
  <c r="L99" i="158"/>
  <c r="K99" i="158"/>
  <c r="H99" i="158"/>
  <c r="N98" i="158"/>
  <c r="M98" i="158"/>
  <c r="L98" i="158"/>
  <c r="K98" i="158"/>
  <c r="H98" i="158"/>
  <c r="N97" i="158"/>
  <c r="M97" i="158"/>
  <c r="L97" i="158"/>
  <c r="K97" i="158"/>
  <c r="H97" i="158"/>
  <c r="N96" i="158"/>
  <c r="M96" i="158"/>
  <c r="L96" i="158"/>
  <c r="K96" i="158"/>
  <c r="H96" i="158"/>
  <c r="N95" i="158"/>
  <c r="M95" i="158"/>
  <c r="L95" i="158"/>
  <c r="K95" i="158"/>
  <c r="H95" i="158"/>
  <c r="N94" i="158"/>
  <c r="M94" i="158"/>
  <c r="L94" i="158"/>
  <c r="K94" i="158"/>
  <c r="H94" i="158"/>
  <c r="N93" i="158"/>
  <c r="M93" i="158"/>
  <c r="L93" i="158"/>
  <c r="K93" i="158"/>
  <c r="H93" i="158"/>
  <c r="N92" i="158"/>
  <c r="M92" i="158"/>
  <c r="L92" i="158"/>
  <c r="K92" i="158"/>
  <c r="H92" i="158"/>
  <c r="N91" i="158"/>
  <c r="M91" i="158"/>
  <c r="L91" i="158"/>
  <c r="K91" i="158"/>
  <c r="H91" i="158"/>
  <c r="N90" i="158"/>
  <c r="M90" i="158"/>
  <c r="L90" i="158"/>
  <c r="K90" i="158"/>
  <c r="H90" i="158"/>
  <c r="N89" i="158"/>
  <c r="M89" i="158"/>
  <c r="L89" i="158"/>
  <c r="K89" i="158"/>
  <c r="H89" i="158"/>
  <c r="N88" i="158"/>
  <c r="M88" i="158"/>
  <c r="L88" i="158"/>
  <c r="K88" i="158"/>
  <c r="H88" i="158"/>
  <c r="N87" i="158"/>
  <c r="M87" i="158"/>
  <c r="L87" i="158"/>
  <c r="K87" i="158"/>
  <c r="H87" i="158"/>
  <c r="N86" i="158"/>
  <c r="M86" i="158"/>
  <c r="L86" i="158"/>
  <c r="K86" i="158"/>
  <c r="H86" i="158"/>
  <c r="N85" i="158"/>
  <c r="M85" i="158"/>
  <c r="L85" i="158"/>
  <c r="K85" i="158"/>
  <c r="H85" i="158"/>
  <c r="N84" i="158"/>
  <c r="M84" i="158"/>
  <c r="L84" i="158"/>
  <c r="K84" i="158"/>
  <c r="H84" i="158"/>
  <c r="N83" i="158"/>
  <c r="M83" i="158"/>
  <c r="L83" i="158"/>
  <c r="K83" i="158"/>
  <c r="H83" i="158"/>
  <c r="N82" i="158"/>
  <c r="M82" i="158"/>
  <c r="L82" i="158"/>
  <c r="K82" i="158"/>
  <c r="H82" i="158"/>
  <c r="N81" i="158"/>
  <c r="M81" i="158"/>
  <c r="L81" i="158"/>
  <c r="K81" i="158"/>
  <c r="H81" i="158"/>
  <c r="N80" i="158"/>
  <c r="M80" i="158"/>
  <c r="L80" i="158"/>
  <c r="K80" i="158"/>
  <c r="H80" i="158"/>
  <c r="N79" i="158"/>
  <c r="M79" i="158"/>
  <c r="L79" i="158"/>
  <c r="K79" i="158"/>
  <c r="H79" i="158"/>
  <c r="N78" i="158"/>
  <c r="M78" i="158"/>
  <c r="L78" i="158"/>
  <c r="K78" i="158"/>
  <c r="H78" i="158"/>
  <c r="N77" i="158"/>
  <c r="M77" i="158"/>
  <c r="L77" i="158"/>
  <c r="K77" i="158"/>
  <c r="H77" i="158"/>
  <c r="N76" i="158"/>
  <c r="M76" i="158"/>
  <c r="L76" i="158"/>
  <c r="K76" i="158"/>
  <c r="H76" i="158"/>
  <c r="N75" i="158"/>
  <c r="M75" i="158"/>
  <c r="L75" i="158"/>
  <c r="K75" i="158"/>
  <c r="H75" i="158"/>
  <c r="N74" i="158"/>
  <c r="M74" i="158"/>
  <c r="L74" i="158"/>
  <c r="K74" i="158"/>
  <c r="H74" i="158"/>
  <c r="N73" i="158"/>
  <c r="M73" i="158"/>
  <c r="L73" i="158"/>
  <c r="K73" i="158"/>
  <c r="H73" i="158"/>
  <c r="N72" i="158"/>
  <c r="M72" i="158"/>
  <c r="L72" i="158"/>
  <c r="K72" i="158"/>
  <c r="H72" i="158"/>
  <c r="N71" i="158"/>
  <c r="M71" i="158"/>
  <c r="L71" i="158"/>
  <c r="K71" i="158"/>
  <c r="H71" i="158"/>
  <c r="N70" i="158"/>
  <c r="M70" i="158"/>
  <c r="L70" i="158"/>
  <c r="K70" i="158"/>
  <c r="H70" i="158"/>
  <c r="N69" i="158"/>
  <c r="M69" i="158"/>
  <c r="L69" i="158"/>
  <c r="K69" i="158"/>
  <c r="H69" i="158"/>
  <c r="N68" i="158"/>
  <c r="M68" i="158"/>
  <c r="L68" i="158"/>
  <c r="K68" i="158"/>
  <c r="H68" i="158"/>
  <c r="N67" i="158"/>
  <c r="M67" i="158"/>
  <c r="L67" i="158"/>
  <c r="K67" i="158"/>
  <c r="H67" i="158"/>
  <c r="N66" i="158"/>
  <c r="M66" i="158"/>
  <c r="L66" i="158"/>
  <c r="K66" i="158"/>
  <c r="H66" i="158"/>
  <c r="N65" i="158"/>
  <c r="M65" i="158"/>
  <c r="L65" i="158"/>
  <c r="K65" i="158"/>
  <c r="H65" i="158"/>
  <c r="N64" i="158"/>
  <c r="M64" i="158"/>
  <c r="L64" i="158"/>
  <c r="K64" i="158"/>
  <c r="H64" i="158"/>
  <c r="N63" i="158"/>
  <c r="M63" i="158"/>
  <c r="L63" i="158"/>
  <c r="K63" i="158"/>
  <c r="H63" i="158"/>
  <c r="N62" i="158"/>
  <c r="M62" i="158"/>
  <c r="L62" i="158"/>
  <c r="K62" i="158"/>
  <c r="H62" i="158"/>
  <c r="N61" i="158"/>
  <c r="M61" i="158"/>
  <c r="L61" i="158"/>
  <c r="K61" i="158"/>
  <c r="H61" i="158"/>
  <c r="N60" i="158"/>
  <c r="M60" i="158"/>
  <c r="L60" i="158"/>
  <c r="K60" i="158"/>
  <c r="H60" i="158"/>
  <c r="N59" i="158"/>
  <c r="M59" i="158"/>
  <c r="L59" i="158"/>
  <c r="K59" i="158"/>
  <c r="H59" i="158"/>
  <c r="N58" i="158"/>
  <c r="M58" i="158"/>
  <c r="L58" i="158"/>
  <c r="K58" i="158"/>
  <c r="H58" i="158"/>
  <c r="N57" i="158"/>
  <c r="M57" i="158"/>
  <c r="L57" i="158"/>
  <c r="K57" i="158"/>
  <c r="H57" i="158"/>
  <c r="N56" i="158"/>
  <c r="M56" i="158"/>
  <c r="L56" i="158"/>
  <c r="K56" i="158"/>
  <c r="H56" i="158"/>
  <c r="N55" i="158"/>
  <c r="M55" i="158"/>
  <c r="L55" i="158"/>
  <c r="K55" i="158"/>
  <c r="H55" i="158"/>
  <c r="N54" i="158"/>
  <c r="M54" i="158"/>
  <c r="L54" i="158"/>
  <c r="K54" i="158"/>
  <c r="H54" i="158"/>
  <c r="N53" i="158"/>
  <c r="M53" i="158"/>
  <c r="L53" i="158"/>
  <c r="K53" i="158"/>
  <c r="H53" i="158"/>
  <c r="N52" i="158"/>
  <c r="M52" i="158"/>
  <c r="L52" i="158"/>
  <c r="K52" i="158"/>
  <c r="H52" i="158"/>
  <c r="N51" i="158"/>
  <c r="M51" i="158"/>
  <c r="L51" i="158"/>
  <c r="K51" i="158"/>
  <c r="H51" i="158"/>
  <c r="N50" i="158"/>
  <c r="M50" i="158"/>
  <c r="L50" i="158"/>
  <c r="K50" i="158"/>
  <c r="H50" i="158"/>
  <c r="N49" i="158"/>
  <c r="M49" i="158"/>
  <c r="L49" i="158"/>
  <c r="K49" i="158"/>
  <c r="H49" i="158"/>
  <c r="N48" i="158"/>
  <c r="M48" i="158"/>
  <c r="L48" i="158"/>
  <c r="K48" i="158"/>
  <c r="H48" i="158"/>
  <c r="N47" i="158"/>
  <c r="M47" i="158"/>
  <c r="L47" i="158"/>
  <c r="K47" i="158"/>
  <c r="H47" i="158"/>
  <c r="N46" i="158"/>
  <c r="M46" i="158"/>
  <c r="L46" i="158"/>
  <c r="K46" i="158"/>
  <c r="H46" i="158"/>
  <c r="N45" i="158"/>
  <c r="M45" i="158"/>
  <c r="L45" i="158"/>
  <c r="K45" i="158"/>
  <c r="H45" i="158"/>
  <c r="N44" i="158"/>
  <c r="M44" i="158"/>
  <c r="L44" i="158"/>
  <c r="K44" i="158"/>
  <c r="H44" i="158"/>
  <c r="N43" i="158"/>
  <c r="M43" i="158"/>
  <c r="L43" i="158"/>
  <c r="K43" i="158"/>
  <c r="H43" i="158"/>
  <c r="N42" i="158"/>
  <c r="M42" i="158"/>
  <c r="L42" i="158"/>
  <c r="K42" i="158"/>
  <c r="H42" i="158"/>
  <c r="N41" i="158"/>
  <c r="M41" i="158"/>
  <c r="L41" i="158"/>
  <c r="K41" i="158"/>
  <c r="H41" i="158"/>
  <c r="N40" i="158"/>
  <c r="M40" i="158"/>
  <c r="L40" i="158"/>
  <c r="K40" i="158"/>
  <c r="H40" i="158"/>
  <c r="N39" i="158"/>
  <c r="M39" i="158"/>
  <c r="L39" i="158"/>
  <c r="K39" i="158"/>
  <c r="H39" i="158"/>
  <c r="N38" i="158"/>
  <c r="M38" i="158"/>
  <c r="L38" i="158"/>
  <c r="K38" i="158"/>
  <c r="H38" i="158"/>
  <c r="N37" i="158"/>
  <c r="M37" i="158"/>
  <c r="L37" i="158"/>
  <c r="K37" i="158"/>
  <c r="H37" i="158"/>
  <c r="N36" i="158"/>
  <c r="M36" i="158"/>
  <c r="L36" i="158"/>
  <c r="K36" i="158"/>
  <c r="H36" i="158"/>
  <c r="N35" i="158"/>
  <c r="M35" i="158"/>
  <c r="L35" i="158"/>
  <c r="K35" i="158"/>
  <c r="H35" i="158"/>
  <c r="N34" i="158"/>
  <c r="M34" i="158"/>
  <c r="L34" i="158"/>
  <c r="K34" i="158"/>
  <c r="H34" i="158"/>
  <c r="N33" i="158"/>
  <c r="M33" i="158"/>
  <c r="L33" i="158"/>
  <c r="K33" i="158"/>
  <c r="H33" i="158"/>
  <c r="N32" i="158"/>
  <c r="M32" i="158"/>
  <c r="L32" i="158"/>
  <c r="K32" i="158"/>
  <c r="H32" i="158"/>
  <c r="N31" i="158"/>
  <c r="M31" i="158"/>
  <c r="L31" i="158"/>
  <c r="K31" i="158"/>
  <c r="H31" i="158"/>
  <c r="N30" i="158"/>
  <c r="M30" i="158"/>
  <c r="L30" i="158"/>
  <c r="K30" i="158"/>
  <c r="H30" i="158"/>
  <c r="N29" i="158"/>
  <c r="M29" i="158"/>
  <c r="L29" i="158"/>
  <c r="K29" i="158"/>
  <c r="H29" i="158"/>
  <c r="N28" i="158"/>
  <c r="M28" i="158"/>
  <c r="L28" i="158"/>
  <c r="K28" i="158"/>
  <c r="H28" i="158"/>
  <c r="N27" i="158"/>
  <c r="M27" i="158"/>
  <c r="L27" i="158"/>
  <c r="K27" i="158"/>
  <c r="H27" i="158"/>
  <c r="N26" i="158"/>
  <c r="M26" i="158"/>
  <c r="L26" i="158"/>
  <c r="K26" i="158"/>
  <c r="H26" i="158"/>
  <c r="N25" i="158"/>
  <c r="M25" i="158"/>
  <c r="L25" i="158"/>
  <c r="K25" i="158"/>
  <c r="H25" i="158"/>
  <c r="N24" i="158"/>
  <c r="M24" i="158"/>
  <c r="L24" i="158"/>
  <c r="K24" i="158"/>
  <c r="H24" i="158"/>
  <c r="N23" i="158"/>
  <c r="M23" i="158"/>
  <c r="L23" i="158"/>
  <c r="K23" i="158"/>
  <c r="H23" i="158"/>
  <c r="N22" i="158"/>
  <c r="M22" i="158"/>
  <c r="L22" i="158"/>
  <c r="K22" i="158"/>
  <c r="H22" i="158"/>
  <c r="N21" i="158"/>
  <c r="M21" i="158"/>
  <c r="L21" i="158"/>
  <c r="K21" i="158"/>
  <c r="H21" i="158"/>
  <c r="N20" i="158"/>
  <c r="M20" i="158"/>
  <c r="L20" i="158"/>
  <c r="K20" i="158"/>
  <c r="H20" i="158"/>
  <c r="N19" i="158"/>
  <c r="M19" i="158"/>
  <c r="L19" i="158"/>
  <c r="K19" i="158"/>
  <c r="H19" i="158"/>
  <c r="N18" i="158"/>
  <c r="M18" i="158"/>
  <c r="L18" i="158"/>
  <c r="K18" i="158"/>
  <c r="H18" i="158"/>
  <c r="N17" i="158"/>
  <c r="M17" i="158"/>
  <c r="L17" i="158"/>
  <c r="K17" i="158"/>
  <c r="H17" i="158"/>
  <c r="N16" i="158"/>
  <c r="M16" i="158"/>
  <c r="L16" i="158"/>
  <c r="K16" i="158"/>
  <c r="H16" i="158"/>
  <c r="N15" i="158"/>
  <c r="M15" i="158"/>
  <c r="L15" i="158"/>
  <c r="K15" i="158"/>
  <c r="H15" i="158"/>
  <c r="N14" i="158"/>
  <c r="M14" i="158"/>
  <c r="L14" i="158"/>
  <c r="K14" i="158"/>
  <c r="H14" i="158"/>
  <c r="N13" i="158"/>
  <c r="M13" i="158"/>
  <c r="L13" i="158"/>
  <c r="K13" i="158"/>
  <c r="H13" i="158"/>
  <c r="N12" i="158"/>
  <c r="M12" i="158"/>
  <c r="L12" i="158"/>
  <c r="K12" i="158"/>
  <c r="H12" i="158"/>
  <c r="N11" i="158"/>
  <c r="M11" i="158"/>
  <c r="L11" i="158"/>
  <c r="K11" i="158"/>
  <c r="H11" i="158"/>
  <c r="N10" i="158"/>
  <c r="M10" i="158"/>
  <c r="L10" i="158"/>
  <c r="K10" i="158"/>
  <c r="H10" i="158"/>
  <c r="N9" i="158"/>
  <c r="M9" i="158"/>
  <c r="L9" i="158"/>
  <c r="K9" i="158"/>
  <c r="H9" i="158"/>
  <c r="N8" i="158"/>
  <c r="M8" i="158"/>
  <c r="L8" i="158"/>
  <c r="K8" i="158"/>
  <c r="H8" i="158"/>
  <c r="N7" i="158"/>
  <c r="M7" i="158"/>
  <c r="L7" i="158"/>
  <c r="K7" i="158"/>
  <c r="H7" i="158"/>
  <c r="N6" i="158"/>
  <c r="M6" i="158"/>
  <c r="L6" i="158"/>
  <c r="K6" i="158"/>
  <c r="H6" i="158"/>
  <c r="N5" i="158"/>
  <c r="M5" i="158"/>
  <c r="L5" i="158"/>
  <c r="K5" i="158"/>
  <c r="H5" i="158"/>
  <c r="N4" i="158"/>
  <c r="M4" i="158"/>
  <c r="L4" i="158"/>
  <c r="K4" i="158"/>
  <c r="H4" i="158"/>
  <c r="N3" i="158"/>
  <c r="M3" i="158"/>
  <c r="L3" i="158"/>
  <c r="K3" i="158"/>
  <c r="H3" i="158"/>
  <c r="N2" i="158"/>
  <c r="M2" i="158"/>
  <c r="L2" i="158"/>
  <c r="K2" i="158"/>
  <c r="H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6" i="103"/>
  <c r="E5" i="103"/>
  <c r="E4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<sst xmlns="http://schemas.openxmlformats.org/spreadsheetml/2006/main" count="347" uniqueCount="248">
  <si>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</si>
  <si>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</si>
  <si>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</si>
  <si>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</si>
  <si>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</si>
  <si>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</si>
  <si>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</si>
  <si>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</si>
  <si>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</si>
  <si>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</si>
  <si>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</si>
  <si>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</si>
  <si>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</si>
  <si>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</si>
  <si>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</si>
  <si>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</si>
  <si>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</si>
  <si>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</si>
  <si>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</si>
  <si>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</si>
  <si>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</si>
  <si>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</si>
  <si>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</si>
  <si>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</si>
  <si>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</si>
  <si>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</si>
  <si>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</si>
  <si>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</si>
  <si>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</si>
  <si>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</si>
  <si>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</si>
  <si>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</si>
  <si>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</si>
  <si>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</si>
  <si>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</si>
  <si>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</si>
  <si>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</si>
  <si>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</si>
  <si>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</si>
  <si>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</si>
  <si>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</si>
  <si>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</si>
  <si>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</si>
  <si>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</si>
  <si>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</si>
  <si>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</si>
  <si>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</si>
  <si>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</si>
  <si>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</si>
  <si>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</si>
  <si>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</si>
  <si>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</si>
  <si>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</si>
  <si>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</si>
  <si>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</si>
  <si>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</si>
  <si>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</si>
  <si>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</si>
  <si>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</si>
  <si>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</si>
  <si>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</si>
  <si>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</si>
  <si>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</si>
  <si>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</si>
  <si>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</si>
  <si>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</si>
  <si>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</si>
  <si>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</si>
  <si>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</si>
  <si>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</si>
  <si>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</si>
  <si>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</si>
  <si>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</si>
  <si>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</si>
  <si>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</si>
  <si>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</si>
  <si>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</si>
  <si>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</si>
  <si>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</si>
  <si>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</si>
  <si>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</si>
  <si>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</si>
  <si>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</si>
  <si>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</si>
  <si>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</si>
  <si>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</si>
  <si>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</si>
  <si>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</si>
  <si>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</si>
  <si>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</si>
  <si>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</si>
  <si>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</si>
  <si>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</si>
  <si>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</si>
  <si>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</si>
  <si>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</si>
  <si>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</si>
  <si>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</si>
  <si>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</si>
  <si>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</si>
  <si>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</si>
  <si>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</si>
  <si>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</si>
  <si>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</si>
  <si>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</si>
  <si>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</si>
  <si>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</si>
  <si>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</si>
  <si>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</si>
  <si>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</si>
  <si>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</si>
  <si>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</si>
  <si>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</si>
  <si>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</si>
  <si>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</si>
  <si>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</si>
  <si>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</si>
  <si>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</si>
  <si>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</si>
  <si>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</si>
  <si>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</si>
  <si>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</si>
  <si>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</si>
  <si>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</si>
  <si>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</si>
  <si>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</si>
  <si>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</si>
  <si>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</si>
  <si>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</si>
  <si>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</si>
  <si>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</si>
  <si>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</si>
  <si>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</si>
  <si>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</si>
  <si>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</si>
  <si>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</si>
  <si>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</si>
  <si>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</si>
  <si>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</si>
  <si>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</si>
  <si>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</si>
  <si>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</si>
  <si>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</si>
  <si>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</si>
  <si>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</si>
  <si>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</si>
  <si>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</si>
  <si>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</si>
  <si>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</si>
  <si>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</si>
  <si>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</si>
  <si>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</si>
  <si>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</si>
  <si>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</si>
  <si>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</si>
  <si>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</si>
  <si>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</si>
  <si>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</si>
  <si>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</si>
  <si>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</si>
  <si>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</si>
  <si>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</si>
  <si>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</si>
  <si>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</si>
  <si>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</si>
  <si>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</si>
  <si>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</si>
  <si>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</si>
  <si>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</si>
  <si>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</si>
  <si>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</si>
  <si>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</si>
  <si>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</si>
  <si>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</si>
  <si>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</si>
  <si>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</si>
  <si>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</si>
  <si>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</si>
  <si>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</si>
  <si>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</si>
  <si>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</si>
  <si>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</si>
  <si>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</si>
  <si>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</si>
  <si>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</si>
  <si>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</si>
  <si>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</si>
  <si>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</si>
  <si>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</si>
  <si>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</si>
  <si>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</si>
  <si>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</si>
  <si>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</si>
  <si>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</si>
  <si>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</si>
  <si>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</si>
  <si>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</si>
  <si>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</si>
  <si>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</si>
  <si>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</si>
  <si>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</si>
  <si>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</si>
  <si>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</si>
  <si>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</si>
  <si>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</si>
  <si>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</si>
  <si>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</si>
  <si>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</si>
  <si>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</si>
  <si>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</si>
  <si>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</si>
  <si>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</si>
  <si>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</si>
  <si>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</si>
  <si>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</si>
  <si>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</si>
  <si>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</si>
  <si>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</si>
  <si>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</si>
  <si>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</si>
  <si>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</si>
  <si>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</si>
  <si>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</si>
  <si>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</si>
  <si>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</si>
  <si>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</si>
  <si>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</si>
  <si>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</si>
  <si>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</si>
  <si>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</si>
  <si>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</si>
  <si>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</si>
  <si>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</si>
  <si>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</si>
  <si>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</si>
  <si>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</si>
  <si>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</si>
  <si>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</si>
  <si>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</si>
  <si>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</si>
  <si>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</si>
  <si>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</si>
  <si>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old</t>
    <phoneticPr fontId="21"/>
  </si>
  <si>
    <t>gacha_settle_tables_</t>
    <phoneticPr fontId="21"/>
  </si>
  <si>
    <t>PremiumSSw</t>
    <phoneticPr fontId="21"/>
  </si>
  <si>
    <t>skip</t>
    <phoneticPr fontId="21"/>
  </si>
  <si>
    <t>tables_settle_7324</t>
    <phoneticPr fontId="21"/>
  </si>
  <si>
    <t>tables_7327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</si>
</sst>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99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26" fillId="3" borderId="14" xfId="2" applyFont="1" applyFill="1" applyBorder="1" applyAlignment="1">
      <alignment vertical="center"/>
    </xf>
    <xf numFmtId="0" fontId="4" fillId="0" borderId="1" xfId="3036" applyFont="1" applyBorder="1"/>
    <xf numFmtId="0" fontId="3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光輝する美翼聖鳥 ガルーダ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深淵翠緑 ナーガ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荷咲く九天 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天真浪漫 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red</v>
          </cell>
          <cell r="I1789">
            <v>6</v>
          </cell>
          <cell r="J1789" t="str">
            <v>DropWizSS</v>
          </cell>
          <cell r="K1789" t="str">
            <v>hp</v>
          </cell>
          <cell r="L1789" t="str">
            <v>体力タイプ</v>
          </cell>
          <cell r="M1789" t="str">
            <v>hero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red</v>
          </cell>
          <cell r="I1790">
            <v>6</v>
          </cell>
          <cell r="J1790" t="str">
            <v>DropWizSS</v>
          </cell>
          <cell r="K1790" t="str">
            <v>hp</v>
          </cell>
          <cell r="L1790" t="str">
            <v>体力タイプ</v>
          </cell>
          <cell r="M1790" t="str">
            <v>hero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red</v>
          </cell>
          <cell r="I1791">
            <v>6</v>
          </cell>
          <cell r="J1791" t="str">
            <v>DropWizSS</v>
          </cell>
          <cell r="K1791" t="str">
            <v>hp</v>
          </cell>
          <cell r="L1791" t="str">
            <v>体力タイプ</v>
          </cell>
          <cell r="M1791" t="str">
            <v>hero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red</v>
          </cell>
          <cell r="I1792">
            <v>6</v>
          </cell>
          <cell r="J1792" t="str">
            <v>DropWizSS</v>
          </cell>
          <cell r="K1792" t="str">
            <v>hp</v>
          </cell>
          <cell r="L1792" t="str">
            <v>体力タイプ</v>
          </cell>
          <cell r="M1792" t="str">
            <v>hero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3" customWidth="1"/>
    <col min="2" max="16384" width="13" style="63"/>
  </cols>
  <sheetData>
    <row r="1" spans="1:13" x14ac:dyDescent="0.15">
      <c r="A1" s="63" t="s">
        <v>110</v>
      </c>
      <c r="B1" s="63" t="s">
        <v>111</v>
      </c>
    </row>
    <row r="2" spans="1:13" x14ac:dyDescent="0.15">
      <c r="A2" s="63" t="s">
        <v>112</v>
      </c>
      <c r="B2" s="63" t="s">
        <v>113</v>
      </c>
      <c r="C2" s="63" t="s">
        <v>114</v>
      </c>
      <c r="D2" s="63" t="s">
        <v>115</v>
      </c>
      <c r="E2" s="63" t="s">
        <v>116</v>
      </c>
      <c r="F2" s="63" t="s">
        <v>117</v>
      </c>
      <c r="G2" s="63" t="s">
        <v>118</v>
      </c>
      <c r="H2" s="63" t="s">
        <v>119</v>
      </c>
    </row>
    <row r="3" spans="1:13" x14ac:dyDescent="0.15">
      <c r="A3" s="63">
        <v>3</v>
      </c>
      <c r="B3" s="64" t="s">
        <v>120</v>
      </c>
      <c r="C3" s="64" t="s">
        <v>121</v>
      </c>
      <c r="D3" s="63">
        <v>0</v>
      </c>
      <c r="E3" s="64" t="s">
        <v>122</v>
      </c>
      <c r="F3" s="63">
        <v>0</v>
      </c>
      <c r="G3" s="63">
        <v>0</v>
      </c>
      <c r="H3" s="65">
        <v>0.5</v>
      </c>
    </row>
    <row r="4" spans="1:13" x14ac:dyDescent="0.15">
      <c r="A4" s="63">
        <v>4</v>
      </c>
      <c r="B4" s="64" t="s">
        <v>123</v>
      </c>
      <c r="C4" s="64" t="s">
        <v>124</v>
      </c>
      <c r="D4" s="64" t="s">
        <v>125</v>
      </c>
      <c r="E4" s="64" t="s">
        <v>126</v>
      </c>
      <c r="F4" s="64" t="s">
        <v>127</v>
      </c>
      <c r="G4" s="63">
        <v>0</v>
      </c>
      <c r="H4" s="65">
        <v>0.45</v>
      </c>
    </row>
    <row r="5" spans="1:13" x14ac:dyDescent="0.15">
      <c r="A5" s="63">
        <v>5</v>
      </c>
      <c r="B5" s="66">
        <v>0</v>
      </c>
      <c r="C5" s="64" t="s">
        <v>128</v>
      </c>
      <c r="D5" s="64" t="s">
        <v>129</v>
      </c>
      <c r="E5" s="64" t="s">
        <v>130</v>
      </c>
      <c r="F5" s="64" t="s">
        <v>131</v>
      </c>
      <c r="G5" s="64" t="s">
        <v>132</v>
      </c>
      <c r="H5" s="65">
        <v>0.05</v>
      </c>
    </row>
    <row r="6" spans="1:13" x14ac:dyDescent="0.15">
      <c r="B6" s="65" t="s">
        <v>133</v>
      </c>
      <c r="C6" s="65" t="s">
        <v>133</v>
      </c>
      <c r="D6" s="65" t="s">
        <v>134</v>
      </c>
      <c r="E6" s="65" t="s">
        <v>133</v>
      </c>
      <c r="F6" s="65" t="s">
        <v>133</v>
      </c>
      <c r="G6" s="67" t="s">
        <v>135</v>
      </c>
      <c r="H6" s="65">
        <v>1</v>
      </c>
    </row>
    <row r="7" spans="1:13" x14ac:dyDescent="0.15">
      <c r="B7" s="65"/>
      <c r="C7" s="65"/>
      <c r="D7" s="65"/>
      <c r="E7" s="65"/>
      <c r="F7" s="65"/>
      <c r="G7" s="67"/>
      <c r="H7" s="65"/>
    </row>
    <row r="8" spans="1:13" x14ac:dyDescent="0.15">
      <c r="A8" s="63" t="s">
        <v>136</v>
      </c>
      <c r="B8" s="65"/>
      <c r="C8" s="65"/>
      <c r="D8" s="65"/>
      <c r="E8" s="65"/>
      <c r="F8" s="65"/>
      <c r="G8" s="67"/>
      <c r="H8" s="65"/>
    </row>
    <row r="9" spans="1:13" x14ac:dyDescent="0.15">
      <c r="A9" s="63" t="s">
        <v>137</v>
      </c>
      <c r="B9" s="65"/>
      <c r="C9" s="65"/>
      <c r="D9" s="65"/>
      <c r="E9" s="65"/>
      <c r="F9" s="65"/>
      <c r="G9" s="67"/>
      <c r="H9" s="65"/>
    </row>
    <row r="10" spans="1:13" x14ac:dyDescent="0.15">
      <c r="A10" s="63" t="s">
        <v>138</v>
      </c>
      <c r="B10" s="65"/>
      <c r="C10" s="65"/>
      <c r="D10" s="65"/>
      <c r="E10" s="65"/>
      <c r="F10" s="65"/>
      <c r="G10" s="67"/>
      <c r="H10" s="65"/>
    </row>
    <row r="11" spans="1:13" x14ac:dyDescent="0.15">
      <c r="A11" s="63" t="s">
        <v>139</v>
      </c>
      <c r="B11" s="65"/>
      <c r="C11" s="65"/>
      <c r="D11" s="65"/>
      <c r="E11" s="65"/>
      <c r="F11" s="65"/>
      <c r="G11" s="67"/>
      <c r="H11" s="65"/>
    </row>
    <row r="12" spans="1:13" x14ac:dyDescent="0.15">
      <c r="A12" s="63" t="s">
        <v>132</v>
      </c>
      <c r="B12" s="65" t="s">
        <v>140</v>
      </c>
      <c r="C12" s="65" t="s">
        <v>141</v>
      </c>
      <c r="D12" s="65"/>
      <c r="E12" s="65"/>
      <c r="F12" s="65"/>
      <c r="G12" s="67"/>
      <c r="H12" s="65"/>
    </row>
    <row r="13" spans="1:13" x14ac:dyDescent="0.15">
      <c r="A13" s="63" t="s">
        <v>142</v>
      </c>
      <c r="B13" s="63" t="s">
        <v>143</v>
      </c>
      <c r="C13" s="63" t="s">
        <v>144</v>
      </c>
    </row>
    <row r="14" spans="1:13" x14ac:dyDescent="0.15">
      <c r="A14" s="63" t="s">
        <v>145</v>
      </c>
      <c r="B14" s="63" t="s">
        <v>140</v>
      </c>
      <c r="C14" s="66" t="s">
        <v>146</v>
      </c>
      <c r="E14" s="66"/>
      <c r="F14" s="66"/>
      <c r="M14" s="65"/>
    </row>
    <row r="15" spans="1:13" x14ac:dyDescent="0.15">
      <c r="A15" s="63" t="s">
        <v>122</v>
      </c>
      <c r="B15" s="65" t="s">
        <v>140</v>
      </c>
      <c r="C15" s="65" t="s">
        <v>147</v>
      </c>
      <c r="H15" s="68"/>
      <c r="M15" s="65"/>
    </row>
    <row r="16" spans="1:13" x14ac:dyDescent="0.15">
      <c r="A16" s="63" t="s">
        <v>126</v>
      </c>
      <c r="B16" s="65" t="s">
        <v>140</v>
      </c>
      <c r="C16" s="65" t="s">
        <v>148</v>
      </c>
      <c r="M16" s="65"/>
    </row>
    <row r="17" spans="1:13" x14ac:dyDescent="0.15">
      <c r="A17" s="63" t="s">
        <v>149</v>
      </c>
      <c r="B17" s="65" t="s">
        <v>140</v>
      </c>
      <c r="C17" s="65" t="s">
        <v>150</v>
      </c>
      <c r="M17" s="65"/>
    </row>
    <row r="18" spans="1:13" x14ac:dyDescent="0.15">
      <c r="B18" s="65"/>
      <c r="C18" s="65"/>
    </row>
    <row r="19" spans="1:13" x14ac:dyDescent="0.15">
      <c r="A19" s="63" t="s">
        <v>151</v>
      </c>
    </row>
    <row r="20" spans="1:13" x14ac:dyDescent="0.15">
      <c r="A20" s="63" t="s">
        <v>152</v>
      </c>
      <c r="B20" s="65"/>
      <c r="C20" s="65"/>
    </row>
    <row r="21" spans="1:13" x14ac:dyDescent="0.15">
      <c r="A21" s="63" t="s">
        <v>153</v>
      </c>
      <c r="B21" s="65" t="s">
        <v>154</v>
      </c>
      <c r="C21" s="65" t="s">
        <v>155</v>
      </c>
      <c r="D21" s="63" t="s">
        <v>156</v>
      </c>
    </row>
    <row r="22" spans="1:13" x14ac:dyDescent="0.15">
      <c r="A22" s="63" t="s">
        <v>157</v>
      </c>
      <c r="B22" s="65" t="s">
        <v>140</v>
      </c>
      <c r="C22" s="65" t="s">
        <v>158</v>
      </c>
      <c r="D22" s="63" t="s">
        <v>159</v>
      </c>
    </row>
    <row r="23" spans="1:13" x14ac:dyDescent="0.15">
      <c r="A23" s="63" t="s">
        <v>160</v>
      </c>
      <c r="B23" s="65" t="s">
        <v>140</v>
      </c>
      <c r="C23" s="63" t="s">
        <v>161</v>
      </c>
      <c r="D23" s="63" t="s">
        <v>162</v>
      </c>
    </row>
    <row r="24" spans="1:13" x14ac:dyDescent="0.15">
      <c r="A24" s="63" t="s">
        <v>163</v>
      </c>
      <c r="B24" s="65" t="s">
        <v>140</v>
      </c>
      <c r="C24" s="65" t="s">
        <v>164</v>
      </c>
      <c r="D24" s="63" t="s">
        <v>165</v>
      </c>
    </row>
    <row r="25" spans="1:13" x14ac:dyDescent="0.15">
      <c r="A25" s="63" t="s">
        <v>166</v>
      </c>
      <c r="B25" s="65" t="s">
        <v>140</v>
      </c>
      <c r="C25" s="65" t="s">
        <v>167</v>
      </c>
      <c r="D25" s="63" t="s">
        <v>168</v>
      </c>
    </row>
    <row r="26" spans="1:13" x14ac:dyDescent="0.15">
      <c r="A26" s="63" t="s">
        <v>169</v>
      </c>
      <c r="B26" s="65" t="s">
        <v>140</v>
      </c>
      <c r="C26" s="65" t="s">
        <v>170</v>
      </c>
      <c r="D26" s="63" t="s">
        <v>171</v>
      </c>
    </row>
    <row r="27" spans="1:13" x14ac:dyDescent="0.15">
      <c r="A27" s="63" t="s">
        <v>172</v>
      </c>
      <c r="B27" s="65" t="s">
        <v>140</v>
      </c>
      <c r="C27" s="65" t="s">
        <v>134</v>
      </c>
      <c r="D27" s="63" t="s">
        <v>173</v>
      </c>
      <c r="E27" s="63" t="s">
        <v>174</v>
      </c>
    </row>
    <row r="28" spans="1:13" x14ac:dyDescent="0.15">
      <c r="A28" s="63" t="s">
        <v>121</v>
      </c>
      <c r="B28" s="65" t="s">
        <v>140</v>
      </c>
      <c r="C28" s="65" t="s">
        <v>175</v>
      </c>
      <c r="E28" s="63" t="s">
        <v>176</v>
      </c>
    </row>
    <row r="29" spans="1:13" x14ac:dyDescent="0.15">
      <c r="A29" s="63" t="s">
        <v>124</v>
      </c>
      <c r="B29" s="65" t="s">
        <v>140</v>
      </c>
      <c r="C29" s="65" t="s">
        <v>177</v>
      </c>
    </row>
    <row r="30" spans="1:13" x14ac:dyDescent="0.15">
      <c r="B30" s="65"/>
    </row>
    <row r="31" spans="1:13" x14ac:dyDescent="0.15">
      <c r="A31" s="63" t="s">
        <v>178</v>
      </c>
    </row>
    <row r="32" spans="1:13" x14ac:dyDescent="0.15">
      <c r="A32" s="63" t="s">
        <v>179</v>
      </c>
      <c r="B32" s="65" t="s">
        <v>140</v>
      </c>
      <c r="C32" s="65" t="s">
        <v>180</v>
      </c>
    </row>
    <row r="33" spans="1:13" x14ac:dyDescent="0.15">
      <c r="A33" s="63" t="s">
        <v>124</v>
      </c>
      <c r="B33" s="65" t="s">
        <v>140</v>
      </c>
      <c r="C33" s="65" t="s">
        <v>181</v>
      </c>
    </row>
    <row r="34" spans="1:13" x14ac:dyDescent="0.15">
      <c r="A34" s="63" t="s">
        <v>121</v>
      </c>
      <c r="B34" s="65" t="s">
        <v>140</v>
      </c>
      <c r="C34" s="65" t="s">
        <v>182</v>
      </c>
    </row>
    <row r="35" spans="1:13" x14ac:dyDescent="0.15">
      <c r="A35" s="63" t="s">
        <v>120</v>
      </c>
      <c r="B35" s="65" t="s">
        <v>140</v>
      </c>
      <c r="C35" s="65" t="s">
        <v>183</v>
      </c>
    </row>
    <row r="36" spans="1:13" x14ac:dyDescent="0.15">
      <c r="A36" s="63" t="s">
        <v>123</v>
      </c>
      <c r="B36" s="65" t="s">
        <v>140</v>
      </c>
      <c r="C36" s="65" t="s">
        <v>184</v>
      </c>
    </row>
    <row r="37" spans="1:13" x14ac:dyDescent="0.15">
      <c r="A37" s="63" t="s">
        <v>129</v>
      </c>
      <c r="B37" s="65" t="s">
        <v>140</v>
      </c>
      <c r="C37" s="65" t="s">
        <v>185</v>
      </c>
    </row>
    <row r="38" spans="1:13" x14ac:dyDescent="0.15">
      <c r="A38" s="63" t="s">
        <v>125</v>
      </c>
      <c r="B38" s="65" t="s">
        <v>140</v>
      </c>
      <c r="C38" s="65" t="s">
        <v>186</v>
      </c>
    </row>
    <row r="40" spans="1:13" x14ac:dyDescent="0.15">
      <c r="J40" s="81" t="s">
        <v>212</v>
      </c>
      <c r="K40" s="81" t="s">
        <v>189</v>
      </c>
      <c r="M40" s="81" t="s">
        <v>237</v>
      </c>
    </row>
    <row r="41" spans="1:13" x14ac:dyDescent="0.15">
      <c r="J41" s="81" t="s">
        <v>213</v>
      </c>
      <c r="K41" s="81" t="s">
        <v>214</v>
      </c>
      <c r="M41" s="65" t="s">
        <v>184</v>
      </c>
    </row>
    <row r="42" spans="1:13" x14ac:dyDescent="0.15">
      <c r="J42" s="81" t="s">
        <v>215</v>
      </c>
      <c r="K42" s="81" t="s">
        <v>216</v>
      </c>
    </row>
    <row r="43" spans="1:13" x14ac:dyDescent="0.15">
      <c r="J43" s="81" t="s">
        <v>217</v>
      </c>
      <c r="K43" s="81" t="s">
        <v>218</v>
      </c>
    </row>
    <row r="44" spans="1:13" x14ac:dyDescent="0.15">
      <c r="J44" s="81" t="s">
        <v>219</v>
      </c>
      <c r="K44" s="81" t="s">
        <v>220</v>
      </c>
    </row>
    <row r="45" spans="1:13" x14ac:dyDescent="0.15">
      <c r="J45" s="81" t="s">
        <v>221</v>
      </c>
      <c r="K45" s="81" t="s">
        <v>222</v>
      </c>
    </row>
    <row r="46" spans="1:13" x14ac:dyDescent="0.15">
      <c r="J46" s="81" t="s">
        <v>223</v>
      </c>
      <c r="K46" s="81" t="s">
        <v>224</v>
      </c>
    </row>
    <row r="47" spans="1:13" x14ac:dyDescent="0.15">
      <c r="J47" s="81" t="s">
        <v>225</v>
      </c>
      <c r="K47" s="81" t="s">
        <v>229</v>
      </c>
    </row>
    <row r="48" spans="1:13" x14ac:dyDescent="0.15">
      <c r="J48" s="81" t="s">
        <v>226</v>
      </c>
      <c r="K48" s="81" t="s">
        <v>230</v>
      </c>
    </row>
    <row r="49" spans="10:11" x14ac:dyDescent="0.15">
      <c r="J49" s="81" t="s">
        <v>227</v>
      </c>
      <c r="K49" s="81" t="s">
        <v>231</v>
      </c>
    </row>
    <row r="50" spans="10:11" x14ac:dyDescent="0.15">
      <c r="J50" s="81" t="s">
        <v>228</v>
      </c>
      <c r="K50" s="81" t="s">
        <v>232</v>
      </c>
    </row>
    <row r="51" spans="10:11" x14ac:dyDescent="0.15">
      <c r="J51" s="81" t="s">
        <v>234</v>
      </c>
      <c r="K51" s="81" t="s">
        <v>233</v>
      </c>
    </row>
    <row r="52" spans="10:11" x14ac:dyDescent="0.15">
      <c r="J52" s="81" t="s">
        <v>235</v>
      </c>
      <c r="K52" s="81" t="s">
        <v>236</v>
      </c>
    </row>
    <row r="53" spans="10:11" x14ac:dyDescent="0.15">
      <c r="J53" s="81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77</v>
      </c>
    </row>
    <row r="2" spans="1:1" x14ac:dyDescent="0.15">
      <c r="A2" t="s">
        <v>78</v>
      </c>
    </row>
    <row r="3" spans="1:1" x14ac:dyDescent="0.15">
      <c r="A3" t="s">
        <v>79</v>
      </c>
    </row>
    <row r="4" spans="1:1" x14ac:dyDescent="0.15">
      <c r="A4" t="s">
        <v>80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A2" sqref="A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50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242</v>
      </c>
      <c r="B2" s="60" t="s">
        <v>109</v>
      </c>
      <c r="C2" s="93">
        <v>7327</v>
      </c>
      <c r="D2" s="19" t="s">
        <v>45</v>
      </c>
      <c r="E2" s="17" t="str">
        <f t="shared" ref="E2" si="0">B2&amp;C2&amp;D2</f>
        <v>gacha_select_tables_7327.tmp</v>
      </c>
      <c r="F2" s="95" t="s">
        <v>247</v>
      </c>
      <c r="G2" s="49" t="s">
        <v>84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245</v>
      </c>
      <c r="B3" s="90" t="s">
        <v>243</v>
      </c>
      <c r="C3" s="93">
        <v>7324</v>
      </c>
      <c r="D3" s="19" t="s">
        <v>45</v>
      </c>
      <c r="E3" s="17" t="str">
        <f>B3&amp;C3&amp;D3</f>
        <v>gacha_settle_tables_7324.tmp</v>
      </c>
      <c r="F3" s="95" t="s">
        <v>246</v>
      </c>
      <c r="G3" s="49" t="s">
        <v>84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5" t="s">
        <v>240</v>
      </c>
      <c r="B4" s="27" t="s">
        <v>49</v>
      </c>
      <c r="C4" s="32">
        <v>363</v>
      </c>
      <c r="D4" s="19" t="s">
        <v>45</v>
      </c>
      <c r="E4" s="17" t="str">
        <f t="shared" ref="E4:E6" si="1">B4&amp;C4&amp;D4</f>
        <v>gacha_bonus_tables_363.tmp</v>
      </c>
      <c r="F4" s="19" t="s">
        <v>46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5" t="s">
        <v>240</v>
      </c>
      <c r="B5" s="19" t="s">
        <v>47</v>
      </c>
      <c r="C5" s="32">
        <v>363</v>
      </c>
      <c r="D5" s="19" t="s">
        <v>45</v>
      </c>
      <c r="E5" s="17" t="str">
        <f t="shared" si="1"/>
        <v>gifts_tmp_363.tmp</v>
      </c>
      <c r="F5" s="19" t="s">
        <v>46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0" t="s">
        <v>7</v>
      </c>
      <c r="P5" s="50" t="s">
        <v>9</v>
      </c>
      <c r="Q5" s="50" t="s">
        <v>6</v>
      </c>
      <c r="R5" s="50" t="s">
        <v>85</v>
      </c>
      <c r="S5" s="50" t="s">
        <v>8</v>
      </c>
      <c r="T5" s="50" t="s">
        <v>86</v>
      </c>
      <c r="U5" s="50" t="s">
        <v>5</v>
      </c>
    </row>
    <row r="6" spans="1:21" x14ac:dyDescent="0.15">
      <c r="A6" s="85" t="s">
        <v>240</v>
      </c>
      <c r="B6" s="19" t="s">
        <v>48</v>
      </c>
      <c r="C6" s="32">
        <v>363</v>
      </c>
      <c r="D6" s="19" t="s">
        <v>45</v>
      </c>
      <c r="E6" s="17" t="str">
        <f t="shared" si="1"/>
        <v>gifts_i18n_363.tmp</v>
      </c>
      <c r="F6" s="19" t="s">
        <v>46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/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81</v>
      </c>
      <c r="B1" s="48"/>
      <c r="L1" s="38" t="s">
        <v>60</v>
      </c>
      <c r="M1" s="38"/>
      <c r="U1" t="s">
        <v>60</v>
      </c>
    </row>
    <row r="2" spans="1:22" x14ac:dyDescent="0.15">
      <c r="A2">
        <v>7327010</v>
      </c>
      <c r="L2" s="33" t="s">
        <v>1</v>
      </c>
      <c r="M2" s="37" t="s">
        <v>64</v>
      </c>
      <c r="N2" s="33" t="s">
        <v>62</v>
      </c>
      <c r="O2" s="37" t="s">
        <v>65</v>
      </c>
      <c r="P2" s="37" t="s">
        <v>66</v>
      </c>
      <c r="Q2" s="37" t="s">
        <v>63</v>
      </c>
      <c r="R2" s="44" t="s">
        <v>72</v>
      </c>
      <c r="U2" s="33" t="s">
        <v>189</v>
      </c>
      <c r="V2" s="53">
        <f t="shared" ref="V2:V16" si="0">SUMIF(Q:Q,U2,N:N)</f>
        <v>0</v>
      </c>
    </row>
    <row r="3" spans="1:22" x14ac:dyDescent="0.15">
      <c r="H3" s="72" t="s">
        <v>210</v>
      </c>
      <c r="L3" s="59"/>
      <c r="M3" s="37" t="e">
        <f>VLOOKUP(L3,[1]characters!$A:$C,3,FALSE)</f>
        <v>#N/A</v>
      </c>
      <c r="N3" s="62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VLOOKUP(L3,tables_7327!B:C,2,FALSE)</f>
        <v>#N/A</v>
      </c>
      <c r="R3" s="61">
        <f t="shared" ref="R3:R20" si="1">N3*A$36</f>
        <v>0</v>
      </c>
      <c r="S3">
        <v>190</v>
      </c>
      <c r="U3" s="33" t="s">
        <v>190</v>
      </c>
      <c r="V3" s="53">
        <f t="shared" si="0"/>
        <v>0</v>
      </c>
    </row>
    <row r="4" spans="1:22" x14ac:dyDescent="0.15">
      <c r="A4" s="34" t="s">
        <v>52</v>
      </c>
      <c r="B4" s="34"/>
      <c r="D4" t="s">
        <v>199</v>
      </c>
      <c r="F4" t="s">
        <v>202</v>
      </c>
      <c r="H4" t="s">
        <v>208</v>
      </c>
      <c r="I4" t="s">
        <v>209</v>
      </c>
      <c r="L4" s="59"/>
      <c r="M4" s="37" t="e">
        <f>VLOOKUP(L4,[1]characters!$A:$C,3,FALSE)</f>
        <v>#N/A</v>
      </c>
      <c r="N4" s="62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VLOOKUP(L4,tables_7327!B:C,2,FALSE)</f>
        <v>#N/A</v>
      </c>
      <c r="R4" s="61">
        <f t="shared" si="1"/>
        <v>0</v>
      </c>
      <c r="S4">
        <v>191</v>
      </c>
      <c r="U4" s="33" t="s">
        <v>96</v>
      </c>
      <c r="V4" s="53">
        <f t="shared" si="0"/>
        <v>0</v>
      </c>
    </row>
    <row r="5" spans="1:22" x14ac:dyDescent="0.15">
      <c r="A5" s="33" t="s">
        <v>67</v>
      </c>
      <c r="B5" s="71">
        <v>0</v>
      </c>
      <c r="D5" t="s">
        <v>200</v>
      </c>
      <c r="E5" s="43">
        <f>(B11-H5)/(F5-I5)</f>
        <v>1.3333333333333335E-3</v>
      </c>
      <c r="F5">
        <f>(COUNTIF(tables_7327!C:C,input_7327!A28)+COUNTIF(tables_7327!C:C,input_7327!A29))</f>
        <v>75</v>
      </c>
      <c r="H5" s="82">
        <v>0</v>
      </c>
      <c r="I5" s="31">
        <v>0</v>
      </c>
      <c r="L5" s="59"/>
      <c r="M5" s="37" t="e">
        <f>VLOOKUP(L5,[1]characters!$A:$C,3,FALSE)</f>
        <v>#N/A</v>
      </c>
      <c r="N5" s="62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VLOOKUP(L5,tables_7327!B:C,2,FALSE)</f>
        <v>#N/A</v>
      </c>
      <c r="R5" s="61">
        <f t="shared" si="1"/>
        <v>0</v>
      </c>
      <c r="S5">
        <v>192</v>
      </c>
      <c r="U5" s="33" t="s">
        <v>97</v>
      </c>
      <c r="V5" s="53">
        <f t="shared" si="0"/>
        <v>0</v>
      </c>
    </row>
    <row r="6" spans="1:22" x14ac:dyDescent="0.15">
      <c r="A6" s="33" t="s">
        <v>68</v>
      </c>
      <c r="B6" s="71">
        <v>0</v>
      </c>
      <c r="D6" t="s">
        <v>201</v>
      </c>
      <c r="E6" s="75">
        <f>(B10-H6)/(F6-I6)</f>
        <v>9.2783505154639175E-3</v>
      </c>
      <c r="F6">
        <f>(COUNTIF(tables_7327!C:C,input_7327!A25)+COUNTIF(tables_7327!C:C,input_7327!A18)+COUNTIF(tables_7327!C:C,input_7327!A20)+COUNTIF(tables_7327!C:C,input_7327!A22))</f>
        <v>97</v>
      </c>
      <c r="H6" s="87">
        <v>0</v>
      </c>
      <c r="I6" s="31">
        <v>0</v>
      </c>
      <c r="L6" s="88"/>
      <c r="M6" s="37" t="e">
        <f>VLOOKUP(L6,[1]characters!$A:$C,3,FALSE)</f>
        <v>#N/A</v>
      </c>
      <c r="N6" s="62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VLOOKUP(L6,tables_7327!B:C,2,FALSE)</f>
        <v>#N/A</v>
      </c>
      <c r="R6" s="61">
        <f t="shared" si="1"/>
        <v>0</v>
      </c>
      <c r="S6">
        <v>596</v>
      </c>
      <c r="U6" s="33" t="s">
        <v>98</v>
      </c>
      <c r="V6" s="53">
        <f t="shared" si="0"/>
        <v>0</v>
      </c>
    </row>
    <row r="7" spans="1:22" x14ac:dyDescent="0.15">
      <c r="A7" s="33" t="s">
        <v>69</v>
      </c>
      <c r="B7" s="71">
        <v>1</v>
      </c>
      <c r="L7" s="59"/>
      <c r="M7" s="37" t="e">
        <f>VLOOKUP(L7,[1]characters!$A:$C,3,FALSE)</f>
        <v>#N/A</v>
      </c>
      <c r="N7" s="62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VLOOKUP(L7,tables_7327!B:C,2,FALSE)</f>
        <v>#N/A</v>
      </c>
      <c r="R7" s="61">
        <f t="shared" si="1"/>
        <v>0</v>
      </c>
      <c r="S7">
        <v>597</v>
      </c>
      <c r="U7" s="33" t="s">
        <v>195</v>
      </c>
      <c r="V7" s="53">
        <f t="shared" si="0"/>
        <v>0</v>
      </c>
    </row>
    <row r="8" spans="1:22" x14ac:dyDescent="0.15">
      <c r="A8" s="56"/>
      <c r="B8" s="70"/>
      <c r="E8" s="75"/>
      <c r="L8" s="59"/>
      <c r="M8" s="37" t="e">
        <f>VLOOKUP(L8,[1]characters!$A:$C,3,FALSE)</f>
        <v>#N/A</v>
      </c>
      <c r="N8" s="62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VLOOKUP(L8,tables_7327!B:C,2,FALSE)</f>
        <v>#N/A</v>
      </c>
      <c r="R8" s="61">
        <f t="shared" si="1"/>
        <v>0</v>
      </c>
      <c r="S8">
        <v>598</v>
      </c>
      <c r="U8" s="33" t="s">
        <v>196</v>
      </c>
      <c r="V8" s="53">
        <f t="shared" si="0"/>
        <v>0</v>
      </c>
    </row>
    <row r="9" spans="1:22" x14ac:dyDescent="0.15">
      <c r="A9" s="35" t="s">
        <v>53</v>
      </c>
      <c r="B9" s="35"/>
      <c r="L9" s="86"/>
      <c r="M9" s="37" t="e">
        <f>VLOOKUP(L9,[1]characters!$A:$C,3,FALSE)</f>
        <v>#N/A</v>
      </c>
      <c r="N9" s="62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VLOOKUP(L9,tables_7327!B:C,2,FALSE)</f>
        <v>#N/A</v>
      </c>
      <c r="R9" s="61">
        <f t="shared" si="1"/>
        <v>0</v>
      </c>
      <c r="S9">
        <v>390</v>
      </c>
      <c r="U9" s="33" t="s">
        <v>192</v>
      </c>
      <c r="V9" s="53">
        <f t="shared" si="0"/>
        <v>0</v>
      </c>
    </row>
    <row r="10" spans="1:22" x14ac:dyDescent="0.15">
      <c r="A10" s="33" t="s">
        <v>95</v>
      </c>
      <c r="B10" s="71">
        <f>1-B11-B12</f>
        <v>0.9</v>
      </c>
      <c r="C10" t="s">
        <v>207</v>
      </c>
      <c r="L10" s="86"/>
      <c r="M10" s="37" t="e">
        <f>VLOOKUP(L10,[1]characters!$A:$C,3,FALSE)</f>
        <v>#N/A</v>
      </c>
      <c r="N10" s="62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VLOOKUP(L10,tables_7327!B:C,2,FALSE)</f>
        <v>#N/A</v>
      </c>
      <c r="R10" s="61">
        <f t="shared" si="1"/>
        <v>0</v>
      </c>
      <c r="S10">
        <v>391</v>
      </c>
      <c r="U10" s="33" t="s">
        <v>193</v>
      </c>
      <c r="V10" s="53">
        <f t="shared" si="0"/>
        <v>0</v>
      </c>
    </row>
    <row r="11" spans="1:22" x14ac:dyDescent="0.15">
      <c r="A11" s="33" t="s">
        <v>55</v>
      </c>
      <c r="B11" s="76">
        <v>0.1</v>
      </c>
      <c r="C11" t="s">
        <v>241</v>
      </c>
      <c r="L11" s="86"/>
      <c r="M11" s="37" t="e">
        <f>VLOOKUP(L11,[1]characters!$A:$C,3,FALSE)</f>
        <v>#N/A</v>
      </c>
      <c r="N11" s="62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VLOOKUP(L11,tables_7327!B:C,2,FALSE)</f>
        <v>#N/A</v>
      </c>
      <c r="R11" s="61">
        <f t="shared" si="1"/>
        <v>0</v>
      </c>
      <c r="S11">
        <v>811</v>
      </c>
      <c r="U11" s="33" t="s">
        <v>194</v>
      </c>
      <c r="V11" s="53">
        <f t="shared" si="0"/>
        <v>0</v>
      </c>
    </row>
    <row r="12" spans="1:22" x14ac:dyDescent="0.15">
      <c r="A12" s="33" t="s">
        <v>54</v>
      </c>
      <c r="B12" s="71">
        <v>0</v>
      </c>
      <c r="M12" s="37" t="e">
        <f>VLOOKUP(L12,[1]characters!$A:$C,3,FALSE)</f>
        <v>#N/A</v>
      </c>
      <c r="N12" s="62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VLOOKUP(L12,tables_7327!B:C,2,FALSE)</f>
        <v>#N/A</v>
      </c>
      <c r="R12" s="61">
        <f t="shared" si="1"/>
        <v>0</v>
      </c>
      <c r="S12">
        <v>496</v>
      </c>
      <c r="U12" s="33" t="s">
        <v>105</v>
      </c>
      <c r="V12" s="53">
        <f t="shared" si="0"/>
        <v>0</v>
      </c>
    </row>
    <row r="13" spans="1:22" x14ac:dyDescent="0.15">
      <c r="M13" s="37" t="e">
        <f>VLOOKUP(L13,[1]characters!$A:$C,3,FALSE)</f>
        <v>#N/A</v>
      </c>
      <c r="N13" s="62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VLOOKUP(L13,tables_7327!B:C,2,FALSE)</f>
        <v>#N/A</v>
      </c>
      <c r="R13" s="61">
        <f t="shared" si="1"/>
        <v>0</v>
      </c>
      <c r="S13">
        <v>497</v>
      </c>
      <c r="U13" s="33" t="s">
        <v>106</v>
      </c>
      <c r="V13" s="53">
        <f t="shared" si="0"/>
        <v>0</v>
      </c>
    </row>
    <row r="14" spans="1:22" x14ac:dyDescent="0.15">
      <c r="M14" s="37" t="e">
        <f>VLOOKUP(L14,[1]characters!$A:$C,3,FALSE)</f>
        <v>#N/A</v>
      </c>
      <c r="N14" s="62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VLOOKUP(L14,tables_7327!B:C,2,FALSE)</f>
        <v>#N/A</v>
      </c>
      <c r="R14" s="61">
        <f t="shared" si="1"/>
        <v>0</v>
      </c>
      <c r="S14">
        <v>498</v>
      </c>
      <c r="U14" s="33" t="s">
        <v>198</v>
      </c>
      <c r="V14" s="53">
        <f t="shared" si="0"/>
        <v>0</v>
      </c>
    </row>
    <row r="15" spans="1:22" x14ac:dyDescent="0.15">
      <c r="A15" s="36" t="s">
        <v>56</v>
      </c>
      <c r="B15" s="36"/>
      <c r="C15" t="s">
        <v>82</v>
      </c>
      <c r="M15" s="37" t="e">
        <f>VLOOKUP(L15,[1]characters!$A:$C,3,FALSE)</f>
        <v>#N/A</v>
      </c>
      <c r="N15" s="62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VLOOKUP(L15,tables_7327!B:C,2,FALSE)</f>
        <v>#N/A</v>
      </c>
      <c r="R15" s="61">
        <f t="shared" si="1"/>
        <v>0</v>
      </c>
      <c r="S15">
        <v>395</v>
      </c>
      <c r="U15" s="33" t="s">
        <v>197</v>
      </c>
      <c r="V15" s="53">
        <f t="shared" si="0"/>
        <v>0</v>
      </c>
    </row>
    <row r="16" spans="1:22" x14ac:dyDescent="0.15">
      <c r="A16" s="33" t="s">
        <v>59</v>
      </c>
      <c r="B16" s="33" t="s">
        <v>191</v>
      </c>
      <c r="C16" s="37" t="s">
        <v>60</v>
      </c>
      <c r="D16" s="37" t="s">
        <v>61</v>
      </c>
      <c r="E16" t="s">
        <v>71</v>
      </c>
      <c r="F16" t="s">
        <v>70</v>
      </c>
      <c r="G16" t="s">
        <v>73</v>
      </c>
      <c r="H16" t="s">
        <v>211</v>
      </c>
      <c r="I16" t="s">
        <v>74</v>
      </c>
      <c r="J16" t="s">
        <v>76</v>
      </c>
      <c r="M16" s="37" t="e">
        <f>VLOOKUP(L16,[1]characters!$A:$C,3,FALSE)</f>
        <v>#N/A</v>
      </c>
      <c r="N16" s="62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VLOOKUP(L16,tables_7327!B:C,2,FALSE)</f>
        <v>#N/A</v>
      </c>
      <c r="R16" s="61">
        <f t="shared" si="1"/>
        <v>0</v>
      </c>
      <c r="S16">
        <v>396</v>
      </c>
      <c r="U16" s="33" t="s">
        <v>107</v>
      </c>
      <c r="V16" s="53">
        <f t="shared" si="0"/>
        <v>0</v>
      </c>
    </row>
    <row r="17" spans="1:19" x14ac:dyDescent="0.15">
      <c r="A17" s="33" t="s">
        <v>189</v>
      </c>
      <c r="B17" s="80">
        <f>B$5-B19-B24</f>
        <v>0</v>
      </c>
      <c r="C17" s="83">
        <f t="shared" ref="C17:C31" si="2">SUMIF(Q:Q,A17,N:N)</f>
        <v>0</v>
      </c>
      <c r="D17" s="73">
        <f t="shared" ref="D17:D32" si="3">B17-C17</f>
        <v>0</v>
      </c>
      <c r="E17">
        <f>COUNTIF(tables_7327!C:C,input_7327!A17)-COUNTIF(Q:Q,A17)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2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VLOOKUP(L17,tables_7327!B:C,2,FALSE)</f>
        <v>#N/A</v>
      </c>
      <c r="R17" s="61">
        <f t="shared" si="1"/>
        <v>0</v>
      </c>
      <c r="S17">
        <v>397</v>
      </c>
    </row>
    <row r="18" spans="1:19" x14ac:dyDescent="0.15">
      <c r="A18" s="33" t="s">
        <v>190</v>
      </c>
      <c r="B18" s="55">
        <v>0</v>
      </c>
      <c r="C18" s="83">
        <f t="shared" si="2"/>
        <v>0</v>
      </c>
      <c r="D18" s="73">
        <f t="shared" si="3"/>
        <v>0</v>
      </c>
      <c r="E18">
        <f>COUNTIF(tables_7327!C:C,input_7327!A18)-COUNTIF(Q:Q,A18)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2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VLOOKUP(L18,tables_7327!B:C,2,FALSE)</f>
        <v>#N/A</v>
      </c>
      <c r="R18" s="61">
        <f t="shared" si="1"/>
        <v>0</v>
      </c>
      <c r="S18">
        <v>324</v>
      </c>
    </row>
    <row r="19" spans="1:19" x14ac:dyDescent="0.15">
      <c r="A19" s="33" t="s">
        <v>96</v>
      </c>
      <c r="B19" s="55">
        <f>E$6*E19*B$5</f>
        <v>0</v>
      </c>
      <c r="C19" s="83">
        <f t="shared" si="2"/>
        <v>0</v>
      </c>
      <c r="D19" s="73">
        <f t="shared" si="3"/>
        <v>0</v>
      </c>
      <c r="E19">
        <f>COUNTIF(tables_7327!C:C,input_7327!A19)-COUNTIF(Q:Q,A19)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2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VLOOKUP(L19,tables_7327!B:C,2,FALSE)</f>
        <v>#N/A</v>
      </c>
      <c r="R19" s="61">
        <f t="shared" si="1"/>
        <v>0</v>
      </c>
      <c r="S19">
        <v>325</v>
      </c>
    </row>
    <row r="20" spans="1:19" x14ac:dyDescent="0.15">
      <c r="A20" s="33" t="s">
        <v>97</v>
      </c>
      <c r="B20" s="89">
        <v>0</v>
      </c>
      <c r="C20" s="83">
        <f t="shared" si="2"/>
        <v>0</v>
      </c>
      <c r="D20" s="73">
        <f t="shared" si="3"/>
        <v>0</v>
      </c>
      <c r="E20">
        <f>COUNTIF(tables_7327!C:C,input_7327!A20)-COUNTIF(Q:Q,A20)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2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VLOOKUP(L20,tables_7327!B:C,2,FALSE)</f>
        <v>#N/A</v>
      </c>
      <c r="R20" s="61">
        <f t="shared" si="1"/>
        <v>0</v>
      </c>
      <c r="S20">
        <v>809</v>
      </c>
    </row>
    <row r="21" spans="1:19" x14ac:dyDescent="0.15">
      <c r="A21" s="33" t="s">
        <v>98</v>
      </c>
      <c r="B21" s="55">
        <f>B7-B23-B26-B28-B29</f>
        <v>0.58360824742268036</v>
      </c>
      <c r="C21" s="83">
        <f t="shared" si="2"/>
        <v>0</v>
      </c>
      <c r="D21" s="73">
        <f t="shared" si="3"/>
        <v>0.58360824742268036</v>
      </c>
      <c r="E21">
        <f>COUNTIF(tables_7327!C:C,input_7327!A21)-COUNTIF(Q:Q,A21)</f>
        <v>52</v>
      </c>
      <c r="F21" s="43">
        <f t="shared" si="8"/>
        <v>1.1223235527359238E-2</v>
      </c>
      <c r="G21">
        <f t="shared" si="4"/>
        <v>84914999.999999985</v>
      </c>
      <c r="H21">
        <f t="shared" si="5"/>
        <v>1632980.76923</v>
      </c>
      <c r="I21">
        <f t="shared" si="6"/>
        <v>0.76922999997623265</v>
      </c>
      <c r="J21">
        <f t="shared" si="7"/>
        <v>1.300001300041467</v>
      </c>
      <c r="L21" s="56"/>
      <c r="M21" s="56"/>
      <c r="N21" s="57"/>
      <c r="O21" s="56"/>
      <c r="P21" s="56"/>
      <c r="Q21" s="56"/>
      <c r="R21" s="58"/>
    </row>
    <row r="22" spans="1:19" x14ac:dyDescent="0.15">
      <c r="A22" s="33" t="s">
        <v>195</v>
      </c>
      <c r="B22" s="74">
        <v>0</v>
      </c>
      <c r="C22" s="83">
        <f t="shared" si="2"/>
        <v>0</v>
      </c>
      <c r="D22" s="73">
        <f t="shared" si="3"/>
        <v>0</v>
      </c>
      <c r="E22">
        <f>COUNTIF(tables_7327!C:C,input_7327!A22)-COUNTIF(Q:Q,A22)</f>
        <v>21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6"/>
      <c r="M22" s="56"/>
      <c r="N22" s="57"/>
      <c r="O22" s="56"/>
      <c r="P22" s="56"/>
      <c r="Q22" s="56"/>
      <c r="R22" s="58"/>
    </row>
    <row r="23" spans="1:19" x14ac:dyDescent="0.15">
      <c r="A23" s="33" t="s">
        <v>196</v>
      </c>
      <c r="B23" s="69">
        <f>E23*E6*B7*1.1</f>
        <v>0.27556701030927838</v>
      </c>
      <c r="C23" s="83">
        <f t="shared" si="2"/>
        <v>0</v>
      </c>
      <c r="D23" s="73">
        <f t="shared" si="3"/>
        <v>0.27556701030927838</v>
      </c>
      <c r="E23">
        <f>COUNTIF(tables_7327!C:C,input_7327!A23)-COUNTIF(Q:Q,A23)</f>
        <v>27</v>
      </c>
      <c r="F23" s="43">
        <f t="shared" si="8"/>
        <v>1.020618556701031E-2</v>
      </c>
      <c r="G23">
        <f t="shared" si="4"/>
        <v>40095000.000000007</v>
      </c>
      <c r="H23">
        <f t="shared" si="5"/>
        <v>1485000</v>
      </c>
      <c r="I23">
        <f t="shared" si="6"/>
        <v>0</v>
      </c>
      <c r="J23">
        <f t="shared" si="7"/>
        <v>1</v>
      </c>
      <c r="L23" s="56"/>
      <c r="M23" s="56"/>
      <c r="N23" s="57"/>
      <c r="O23" s="56"/>
      <c r="P23" s="56"/>
      <c r="Q23" s="56"/>
      <c r="R23" s="58"/>
    </row>
    <row r="24" spans="1:19" x14ac:dyDescent="0.15">
      <c r="A24" s="33" t="s">
        <v>192</v>
      </c>
      <c r="B24" s="55">
        <f>E$6*E24*B$5</f>
        <v>0</v>
      </c>
      <c r="C24" s="83">
        <f t="shared" si="2"/>
        <v>0</v>
      </c>
      <c r="D24" s="73">
        <f t="shared" si="3"/>
        <v>0</v>
      </c>
      <c r="E24">
        <f>COUNTIF(tables_7327!C:C,input_7327!A24)-COUNTIF(Q:Q,A24)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6"/>
      <c r="M24" s="56"/>
      <c r="N24" s="57"/>
      <c r="O24" s="56"/>
      <c r="P24" s="56"/>
      <c r="Q24" s="56"/>
      <c r="R24" s="58"/>
    </row>
    <row r="25" spans="1:19" x14ac:dyDescent="0.15">
      <c r="A25" s="33" t="s">
        <v>193</v>
      </c>
      <c r="B25" s="55">
        <f>E$6*B$6*E25</f>
        <v>0</v>
      </c>
      <c r="C25" s="83">
        <f t="shared" si="2"/>
        <v>0</v>
      </c>
      <c r="D25" s="73">
        <f t="shared" si="3"/>
        <v>0</v>
      </c>
      <c r="E25">
        <f>COUNTIF(tables_7327!C:C,input_7327!A25)-COUNTIF(Q:Q,A25)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6"/>
      <c r="M25" s="56"/>
      <c r="N25" s="57"/>
      <c r="O25" s="56"/>
      <c r="P25" s="56"/>
      <c r="Q25" s="56"/>
      <c r="R25" s="58"/>
    </row>
    <row r="26" spans="1:19" x14ac:dyDescent="0.15">
      <c r="A26" s="33" t="s">
        <v>194</v>
      </c>
      <c r="B26" s="55">
        <f>E$6*B$7*E26*1.1</f>
        <v>4.0824742268041239E-2</v>
      </c>
      <c r="C26" s="83">
        <f t="shared" si="2"/>
        <v>0</v>
      </c>
      <c r="D26" s="73">
        <f t="shared" si="3"/>
        <v>4.0824742268041239E-2</v>
      </c>
      <c r="E26">
        <f>COUNTIF(tables_7327!C:C,input_7327!A26)-COUNTIF(Q:Q,A26)</f>
        <v>4</v>
      </c>
      <c r="F26" s="43">
        <f t="shared" si="8"/>
        <v>1.020618556701031E-2</v>
      </c>
      <c r="G26">
        <f t="shared" si="4"/>
        <v>5940000</v>
      </c>
      <c r="H26">
        <f t="shared" si="5"/>
        <v>1485000</v>
      </c>
      <c r="I26">
        <f t="shared" si="6"/>
        <v>0</v>
      </c>
      <c r="J26">
        <f t="shared" si="7"/>
        <v>1</v>
      </c>
      <c r="L26" s="56"/>
      <c r="M26" s="56"/>
      <c r="N26" s="57"/>
      <c r="O26" s="56"/>
      <c r="P26" s="56"/>
      <c r="Q26" s="56"/>
      <c r="R26" s="58"/>
    </row>
    <row r="27" spans="1:19" x14ac:dyDescent="0.15">
      <c r="A27" s="33" t="s">
        <v>105</v>
      </c>
      <c r="B27" s="55">
        <f>E$5*E27*(B$5+B$6)</f>
        <v>0</v>
      </c>
      <c r="C27" s="83">
        <f t="shared" si="2"/>
        <v>0</v>
      </c>
      <c r="D27" s="73">
        <f t="shared" si="3"/>
        <v>0</v>
      </c>
      <c r="E27">
        <f>COUNTIF(tables_7327!C:C,input_7327!A27)-COUNTIF(Q:Q,A27)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6"/>
      <c r="M27" s="56"/>
      <c r="N27" s="57"/>
      <c r="O27" s="56"/>
      <c r="P27" s="56"/>
      <c r="Q27" s="56"/>
      <c r="R27" s="58"/>
    </row>
    <row r="28" spans="1:19" x14ac:dyDescent="0.15">
      <c r="A28" s="33" t="s">
        <v>106</v>
      </c>
      <c r="B28" s="55">
        <f>E$5*E28*B$7</f>
        <v>3.7333333333333336E-2</v>
      </c>
      <c r="C28" s="83">
        <f t="shared" si="2"/>
        <v>0</v>
      </c>
      <c r="D28" s="73">
        <f t="shared" si="3"/>
        <v>3.7333333333333336E-2</v>
      </c>
      <c r="E28">
        <f>COUNTIF(tables_7327!C:C,input_7327!A28)-COUNTIF(Q:Q,A28)</f>
        <v>28</v>
      </c>
      <c r="F28" s="43">
        <f t="shared" si="8"/>
        <v>1.3333333333333335E-3</v>
      </c>
      <c r="G28">
        <f t="shared" si="4"/>
        <v>5432000</v>
      </c>
      <c r="H28">
        <f t="shared" si="5"/>
        <v>194000</v>
      </c>
      <c r="I28">
        <f t="shared" si="6"/>
        <v>0</v>
      </c>
      <c r="J28">
        <f t="shared" si="7"/>
        <v>1</v>
      </c>
      <c r="L28" s="56"/>
      <c r="M28" s="56"/>
      <c r="N28" s="57"/>
      <c r="O28" s="56"/>
      <c r="P28" s="56"/>
      <c r="Q28" s="56"/>
      <c r="R28" s="58"/>
    </row>
    <row r="29" spans="1:19" x14ac:dyDescent="0.15">
      <c r="A29" s="33" t="s">
        <v>198</v>
      </c>
      <c r="B29" s="55">
        <f>E$5*E29</f>
        <v>6.2666666666666676E-2</v>
      </c>
      <c r="C29" s="83">
        <f t="shared" si="2"/>
        <v>0</v>
      </c>
      <c r="D29" s="73">
        <f t="shared" si="3"/>
        <v>6.2666666666666676E-2</v>
      </c>
      <c r="E29">
        <f>COUNTIF(tables_7327!C:C,input_7327!A29)-COUNTIF(Q:Q,A29)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6"/>
      <c r="M29" s="56"/>
      <c r="N29" s="57"/>
      <c r="O29" s="56"/>
      <c r="P29" s="56"/>
      <c r="Q29" s="56"/>
      <c r="R29" s="58"/>
    </row>
    <row r="30" spans="1:19" x14ac:dyDescent="0.15">
      <c r="A30" s="33" t="s">
        <v>238</v>
      </c>
      <c r="B30" s="55">
        <f>0</f>
        <v>0</v>
      </c>
      <c r="C30" s="83">
        <f t="shared" si="2"/>
        <v>0</v>
      </c>
      <c r="D30" s="73">
        <f t="shared" si="3"/>
        <v>0</v>
      </c>
      <c r="E30">
        <f>COUNTIF(tables_7327!C:C,input_7327!A30)-COUNTIF(Q:Q,A30)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6"/>
      <c r="M30" s="56"/>
      <c r="N30" s="57"/>
      <c r="O30" s="56"/>
      <c r="P30" s="56"/>
      <c r="Q30" s="56"/>
      <c r="R30" s="58"/>
    </row>
    <row r="31" spans="1:19" x14ac:dyDescent="0.15">
      <c r="A31" s="33" t="s">
        <v>239</v>
      </c>
      <c r="B31" s="55">
        <v>0</v>
      </c>
      <c r="C31" s="83">
        <f t="shared" si="2"/>
        <v>0</v>
      </c>
      <c r="D31" s="73">
        <f t="shared" si="3"/>
        <v>0</v>
      </c>
      <c r="E31">
        <f>COUNTIF(tables_7327!C:C,input_7327!A31)-COUNTIF(Q:Q,A31)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6"/>
      <c r="M31" s="56"/>
      <c r="N31" s="57"/>
      <c r="O31" s="56"/>
      <c r="P31" s="56"/>
      <c r="Q31" s="56"/>
      <c r="R31" s="58"/>
    </row>
    <row r="32" spans="1:19" x14ac:dyDescent="0.15">
      <c r="A32" s="39" t="s">
        <v>58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6"/>
      <c r="M32" s="56"/>
      <c r="N32" s="56"/>
      <c r="O32" s="56"/>
      <c r="P32" s="56"/>
      <c r="Q32" s="56"/>
      <c r="R32" s="58"/>
    </row>
    <row r="34" spans="1:7" x14ac:dyDescent="0.15">
      <c r="E34" s="54"/>
      <c r="F34" s="54"/>
    </row>
    <row r="35" spans="1:7" x14ac:dyDescent="0.15">
      <c r="A35" t="s">
        <v>72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75</v>
      </c>
    </row>
    <row r="39" spans="1:7" x14ac:dyDescent="0.15">
      <c r="A39" s="33" t="s">
        <v>59</v>
      </c>
      <c r="B39" t="s">
        <v>73</v>
      </c>
      <c r="C39" t="s">
        <v>99</v>
      </c>
      <c r="E39" t="s">
        <v>100</v>
      </c>
      <c r="F39" t="s">
        <v>2</v>
      </c>
      <c r="G39" t="s">
        <v>62</v>
      </c>
    </row>
    <row r="40" spans="1:7" x14ac:dyDescent="0.15">
      <c r="A40" s="33" t="s">
        <v>102</v>
      </c>
      <c r="B40">
        <f>SUMIF(tables_7327!C:C,input_7327!A40,tables_7327!O:O)</f>
        <v>0</v>
      </c>
      <c r="C40" s="53">
        <f t="shared" ref="C40:C46" si="9">B40/B$47</f>
        <v>0</v>
      </c>
      <c r="E40">
        <v>3</v>
      </c>
      <c r="F40">
        <f>SUMIF(tables_7327!J:J,input_7327!E40,tables_7327!O:O)</f>
        <v>0</v>
      </c>
      <c r="G40">
        <f>F40/A36</f>
        <v>0</v>
      </c>
    </row>
    <row r="41" spans="1:7" x14ac:dyDescent="0.15">
      <c r="A41" s="33" t="s">
        <v>103</v>
      </c>
      <c r="B41">
        <f>SUMIF(tables_7327!C:C,input_7327!A41,tables_7327!O:O)</f>
        <v>0</v>
      </c>
      <c r="C41" s="53">
        <f t="shared" si="9"/>
        <v>0</v>
      </c>
      <c r="E41">
        <v>4</v>
      </c>
      <c r="F41">
        <f>SUMIF(tables_7327!J:J,input_7327!E41,tables_7327!O:O)</f>
        <v>0</v>
      </c>
      <c r="G41">
        <f>F41/A36</f>
        <v>0</v>
      </c>
    </row>
    <row r="42" spans="1:7" x14ac:dyDescent="0.15">
      <c r="A42" s="33" t="s">
        <v>105</v>
      </c>
      <c r="B42">
        <f>SUMIF(tables_7327!C:C,input_7327!A42,tables_7327!O:O)</f>
        <v>0</v>
      </c>
      <c r="C42" s="53">
        <f t="shared" si="9"/>
        <v>0</v>
      </c>
      <c r="E42">
        <v>5</v>
      </c>
      <c r="F42">
        <f>SUMIF(tables_7327!J:J,input_7327!E42,tables_7327!O:O)</f>
        <v>145499999.99995992</v>
      </c>
      <c r="G42">
        <f>F42/A36</f>
        <v>0.99999999999972455</v>
      </c>
    </row>
    <row r="43" spans="1:7" x14ac:dyDescent="0.15">
      <c r="A43" s="33" t="s">
        <v>108</v>
      </c>
      <c r="B43">
        <f>SUMIF(tables_7327!C:C,input_7327!A43,tables_7327!O:O)</f>
        <v>0</v>
      </c>
      <c r="C43" s="53">
        <f t="shared" si="9"/>
        <v>0</v>
      </c>
      <c r="F43" s="54"/>
    </row>
    <row r="44" spans="1:7" x14ac:dyDescent="0.15">
      <c r="A44" s="33" t="s">
        <v>104</v>
      </c>
      <c r="B44">
        <f>SUMIF(tables_7327!C:C,input_7327!A44,tables_7327!O:O)</f>
        <v>84914999.999959946</v>
      </c>
      <c r="C44" s="53">
        <f t="shared" si="9"/>
        <v>0.93987625488392079</v>
      </c>
      <c r="E44" t="s">
        <v>53</v>
      </c>
      <c r="F44" s="54"/>
    </row>
    <row r="45" spans="1:7" x14ac:dyDescent="0.15">
      <c r="A45" s="33" t="s">
        <v>106</v>
      </c>
      <c r="B45">
        <f>SUMIF(tables_7327!C:C,input_7327!A45,tables_7327!O:O)</f>
        <v>5432000</v>
      </c>
      <c r="C45" s="53">
        <f t="shared" si="9"/>
        <v>6.0123745116079208E-2</v>
      </c>
      <c r="E45" t="s">
        <v>203</v>
      </c>
      <c r="F45" s="54">
        <f>SUMIF(tables_7327!I:I,input_7327!E45,tables_7327!P:P)</f>
        <v>6.1237113402078734E-2</v>
      </c>
    </row>
    <row r="46" spans="1:7" x14ac:dyDescent="0.15">
      <c r="A46" s="33" t="s">
        <v>107</v>
      </c>
      <c r="B46">
        <f>SUMIF(tables_7327!C:C,input_7327!A46,tables_7327!O:O)</f>
        <v>0</v>
      </c>
      <c r="C46" s="53">
        <f t="shared" si="9"/>
        <v>0</v>
      </c>
      <c r="E46" t="s">
        <v>204</v>
      </c>
      <c r="F46" s="54">
        <f>SUMIF(tables_7327!I:I,input_7327!E46,tables_7327!P:P)</f>
        <v>0.22141356066610912</v>
      </c>
    </row>
    <row r="47" spans="1:7" x14ac:dyDescent="0.15">
      <c r="A47" s="39" t="s">
        <v>58</v>
      </c>
      <c r="B47">
        <f>SUM(B40:B46)</f>
        <v>90346999.999959946</v>
      </c>
      <c r="C47" s="54">
        <f>SUM(C40:C46)</f>
        <v>1</v>
      </c>
      <c r="E47" t="s">
        <v>205</v>
      </c>
      <c r="F47" s="54">
        <f>SUMIF(tables_7327!I:I,input_7327!E47,tables_7327!P:P)</f>
        <v>0.61734932593178549</v>
      </c>
    </row>
    <row r="48" spans="1:7" x14ac:dyDescent="0.15">
      <c r="E48" t="s">
        <v>206</v>
      </c>
      <c r="F48" s="54">
        <f>SUMIF(tables_7327!I:I,input_7327!E48,tables_7327!P:P)</f>
        <v>8.6666666666690512E-2</v>
      </c>
      <c r="G48" s="54"/>
    </row>
    <row r="49" spans="5:6" x14ac:dyDescent="0.15">
      <c r="E49" t="s">
        <v>244</v>
      </c>
      <c r="F49" s="54">
        <f>SUMIF(tables_7327!I:I,input_7327!E49,tables_7327!P:P)</f>
        <v>1.3333333333337003E-2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333" activePane="bottomLeft" state="frozen"/>
      <selection activeCell="H276" sqref="H276"/>
      <selection pane="bottomLeft" activeCell="B360" sqref="B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83</v>
      </c>
      <c r="B1" s="15" t="s">
        <v>1</v>
      </c>
      <c r="C1" s="3" t="s">
        <v>31</v>
      </c>
      <c r="D1" s="3" t="s">
        <v>94</v>
      </c>
      <c r="E1" s="3" t="s">
        <v>187</v>
      </c>
      <c r="F1" s="3" t="s">
        <v>188</v>
      </c>
      <c r="G1" s="3" t="s">
        <v>101</v>
      </c>
      <c r="H1" s="3" t="s">
        <v>33</v>
      </c>
      <c r="I1" s="3" t="s">
        <v>34</v>
      </c>
      <c r="J1" s="3" t="s">
        <v>35</v>
      </c>
      <c r="K1" s="3" t="s">
        <v>51</v>
      </c>
      <c r="L1" s="3" t="s">
        <v>36</v>
      </c>
      <c r="M1" s="3" t="s">
        <v>37</v>
      </c>
      <c r="N1" s="3" t="s">
        <v>57</v>
      </c>
      <c r="O1" s="15" t="s">
        <v>2</v>
      </c>
      <c r="P1" s="3" t="s">
        <v>62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f>input_7327!A$2</f>
        <v>7327010</v>
      </c>
      <c r="B2" s="9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>IFERROR(VLOOKUP(B2,input_7327!L:R,7,FALSE),VLOOKUP(tables_7327!C2,input_7327!A:H,8,FALSE))</f>
        <v>0</v>
      </c>
      <c r="P2" s="46">
        <f t="shared" ref="P2:P65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f>input_7327!A$2</f>
        <v>7327010</v>
      </c>
      <c r="B3" s="9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>IFERROR(VLOOKUP(B3,input_7327!L:R,7,FALSE),VLOOKUP(tables_7327!C3,input_7327!A:H,8,FALSE))</f>
        <v>0</v>
      </c>
      <c r="P3" s="46">
        <f t="shared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f>input_7327!A$2</f>
        <v>7327010</v>
      </c>
      <c r="B4" s="9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>IFERROR(VLOOKUP(B4,input_7327!L:R,7,FALSE),VLOOKUP(tables_7327!C4,input_7327!A:H,8,FALSE))</f>
        <v>0</v>
      </c>
      <c r="P4" s="46">
        <f t="shared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f>input_7327!A$2</f>
        <v>7327010</v>
      </c>
      <c r="B5" s="9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>IFERROR(VLOOKUP(B5,input_7327!L:R,7,FALSE),VLOOKUP(tables_7327!C5,input_7327!A:H,8,FALSE))</f>
        <v>0</v>
      </c>
      <c r="P5" s="46">
        <f t="shared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f>input_7327!A$2</f>
        <v>7327010</v>
      </c>
      <c r="B6" s="9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>IFERROR(VLOOKUP(B6,input_7327!L:R,7,FALSE),VLOOKUP(tables_7327!C6,input_7327!A:H,8,FALSE))</f>
        <v>0</v>
      </c>
      <c r="P6" s="46">
        <f t="shared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f>input_7327!A$2</f>
        <v>7327010</v>
      </c>
      <c r="B7" s="9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>IFERROR(VLOOKUP(B7,input_7327!L:R,7,FALSE),VLOOKUP(tables_7327!C7,input_7327!A:H,8,FALSE))</f>
        <v>0</v>
      </c>
      <c r="P7" s="46">
        <f t="shared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f>input_7327!A$2</f>
        <v>7327010</v>
      </c>
      <c r="B8" s="9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>IFERROR(VLOOKUP(B8,input_7327!L:R,7,FALSE),VLOOKUP(tables_7327!C8,input_7327!A:H,8,FALSE))</f>
        <v>0</v>
      </c>
      <c r="P8" s="46">
        <f t="shared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f>input_7327!A$2</f>
        <v>7327010</v>
      </c>
      <c r="B9" s="9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>IFERROR(VLOOKUP(B9,input_7327!L:R,7,FALSE),VLOOKUP(tables_7327!C9,input_7327!A:H,8,FALSE))</f>
        <v>0</v>
      </c>
      <c r="P9" s="46">
        <f t="shared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f>input_7327!A$2</f>
        <v>7327010</v>
      </c>
      <c r="B10" s="9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>IFERROR(VLOOKUP(B10,input_7327!L:R,7,FALSE),VLOOKUP(tables_7327!C10,input_7327!A:H,8,FALSE))</f>
        <v>0</v>
      </c>
      <c r="P10" s="46">
        <f t="shared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f>input_7327!A$2</f>
        <v>7327010</v>
      </c>
      <c r="B11" s="9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>IFERROR(VLOOKUP(B11,input_7327!L:R,7,FALSE),VLOOKUP(tables_7327!C11,input_7327!A:H,8,FALSE))</f>
        <v>0</v>
      </c>
      <c r="P11" s="46">
        <f t="shared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f>input_7327!A$2</f>
        <v>7327010</v>
      </c>
      <c r="B12" s="97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>IFERROR(VLOOKUP(B12,input_7327!L:R,7,FALSE),VLOOKUP(tables_7327!C12,input_7327!A:H,8,FALSE))</f>
        <v>0</v>
      </c>
      <c r="P12" s="46">
        <f t="shared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f>input_7327!A$2</f>
        <v>7327010</v>
      </c>
      <c r="B13" s="97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>IFERROR(VLOOKUP(B13,input_7327!L:R,7,FALSE),VLOOKUP(tables_7327!C13,input_7327!A:H,8,FALSE))</f>
        <v>0</v>
      </c>
      <c r="P13" s="46">
        <f t="shared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f>input_7327!A$2</f>
        <v>7327010</v>
      </c>
      <c r="B14" s="9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>IFERROR(VLOOKUP(B14,input_7327!L:R,7,FALSE),VLOOKUP(tables_7327!C14,input_7327!A:H,8,FALSE))</f>
        <v>0</v>
      </c>
      <c r="P14" s="46">
        <f t="shared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f>input_7327!A$2</f>
        <v>7327010</v>
      </c>
      <c r="B15" s="9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>IFERROR(VLOOKUP(B15,input_7327!L:R,7,FALSE),VLOOKUP(tables_7327!C15,input_7327!A:H,8,FALSE))</f>
        <v>0</v>
      </c>
      <c r="P15" s="46">
        <f t="shared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f>input_7327!A$2</f>
        <v>7327010</v>
      </c>
      <c r="B16" s="96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>IFERROR(VLOOKUP(B16,input_7327!L:R,7,FALSE),VLOOKUP(tables_7327!C16,input_7327!A:H,8,FALSE))</f>
        <v>0</v>
      </c>
      <c r="P16" s="46">
        <f t="shared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f>input_7327!A$2</f>
        <v>7327010</v>
      </c>
      <c r="B17" s="9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>IFERROR(VLOOKUP(B17,input_7327!L:R,7,FALSE),VLOOKUP(tables_7327!C17,input_7327!A:H,8,FALSE))</f>
        <v>0</v>
      </c>
      <c r="P17" s="46">
        <f t="shared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f>input_7327!A$2</f>
        <v>7327010</v>
      </c>
      <c r="B18" s="9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>IFERROR(VLOOKUP(B18,input_7327!L:R,7,FALSE),VLOOKUP(tables_7327!C18,input_7327!A:H,8,FALSE))</f>
        <v>0</v>
      </c>
      <c r="P18" s="46">
        <f t="shared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>
        <f>input_7327!A$2</f>
        <v>7327010</v>
      </c>
      <c r="B19" s="9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>IFERROR(VLOOKUP(B19,input_7327!L:R,7,FALSE),VLOOKUP(tables_7327!C19,input_7327!A:H,8,FALSE))</f>
        <v>0</v>
      </c>
      <c r="P19" s="46">
        <f t="shared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f>input_7327!A$2</f>
        <v>7327010</v>
      </c>
      <c r="B20" s="9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>IFERROR(VLOOKUP(B20,input_7327!L:R,7,FALSE),VLOOKUP(tables_7327!C20,input_7327!A:H,8,FALSE))</f>
        <v>0</v>
      </c>
      <c r="P20" s="46">
        <f t="shared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f>input_7327!A$2</f>
        <v>7327010</v>
      </c>
      <c r="B21" s="9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>IFERROR(VLOOKUP(B21,input_7327!L:R,7,FALSE),VLOOKUP(tables_7327!C21,input_7327!A:H,8,FALSE))</f>
        <v>0</v>
      </c>
      <c r="P21" s="46">
        <f t="shared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f>input_7327!A$2</f>
        <v>7327010</v>
      </c>
      <c r="B22" s="9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>IFERROR(VLOOKUP(B22,input_7327!L:R,7,FALSE),VLOOKUP(tables_7327!C22,input_7327!A:H,8,FALSE))</f>
        <v>0</v>
      </c>
      <c r="P22" s="46">
        <f t="shared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f>input_7327!A$2</f>
        <v>7327010</v>
      </c>
      <c r="B23" s="9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>IFERROR(VLOOKUP(B23,input_7327!L:R,7,FALSE),VLOOKUP(tables_7327!C23,input_7327!A:H,8,FALSE))</f>
        <v>0</v>
      </c>
      <c r="P23" s="46">
        <f t="shared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f>input_7327!A$2</f>
        <v>7327010</v>
      </c>
      <c r="B24" s="9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>IFERROR(VLOOKUP(B24,input_7327!L:R,7,FALSE),VLOOKUP(tables_7327!C24,input_7327!A:H,8,FALSE))</f>
        <v>0</v>
      </c>
      <c r="P24" s="46">
        <f t="shared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f>input_7327!A$2</f>
        <v>7327010</v>
      </c>
      <c r="B25" s="9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>IFERROR(VLOOKUP(B25,input_7327!L:R,7,FALSE),VLOOKUP(tables_7327!C25,input_7327!A:H,8,FALSE))</f>
        <v>0</v>
      </c>
      <c r="P25" s="46">
        <f t="shared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2" customHeight="1" x14ac:dyDescent="0.15">
      <c r="A26" s="2">
        <f>input_7327!A$2</f>
        <v>7327010</v>
      </c>
      <c r="B26" s="9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>IFERROR(VLOOKUP(B26,input_7327!L:R,7,FALSE),VLOOKUP(tables_7327!C26,input_7327!A:H,8,FALSE))</f>
        <v>0</v>
      </c>
      <c r="P26" s="46">
        <f t="shared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f>input_7327!A$2</f>
        <v>7327010</v>
      </c>
      <c r="B27" s="9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>IFERROR(VLOOKUP(B27,input_7327!L:R,7,FALSE),VLOOKUP(tables_7327!C27,input_7327!A:H,8,FALSE))</f>
        <v>0</v>
      </c>
      <c r="P27" s="46">
        <f t="shared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f>input_7327!A$2</f>
        <v>7327010</v>
      </c>
      <c r="B28" s="9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>IFERROR(VLOOKUP(B28,input_7327!L:R,7,FALSE),VLOOKUP(tables_7327!C28,input_7327!A:H,8,FALSE))</f>
        <v>0</v>
      </c>
      <c r="P28" s="46">
        <f t="shared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f>input_7327!A$2</f>
        <v>7327010</v>
      </c>
      <c r="B29" s="9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>IFERROR(VLOOKUP(B29,input_7327!L:R,7,FALSE),VLOOKUP(tables_7327!C29,input_7327!A:H,8,FALSE))</f>
        <v>0</v>
      </c>
      <c r="P29" s="46">
        <f t="shared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f>input_7327!A$2</f>
        <v>7327010</v>
      </c>
      <c r="B30" s="9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>IFERROR(VLOOKUP(B30,input_7327!L:R,7,FALSE),VLOOKUP(tables_7327!C30,input_7327!A:H,8,FALSE))</f>
        <v>0</v>
      </c>
      <c r="P30" s="46">
        <f t="shared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f>input_7327!A$2</f>
        <v>7327010</v>
      </c>
      <c r="B31" s="9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>IFERROR(VLOOKUP(B31,input_7327!L:R,7,FALSE),VLOOKUP(tables_7327!C31,input_7327!A:H,8,FALSE))</f>
        <v>0</v>
      </c>
      <c r="P31" s="46">
        <f t="shared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f>input_7327!A$2</f>
        <v>7327010</v>
      </c>
      <c r="B32" s="9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>IFERROR(VLOOKUP(B32,input_7327!L:R,7,FALSE),VLOOKUP(tables_7327!C32,input_7327!A:H,8,FALSE))</f>
        <v>0</v>
      </c>
      <c r="P32" s="46">
        <f t="shared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f>input_7327!A$2</f>
        <v>7327010</v>
      </c>
      <c r="B33" s="9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>IFERROR(VLOOKUP(B33,input_7327!L:R,7,FALSE),VLOOKUP(tables_7327!C33,input_7327!A:H,8,FALSE))</f>
        <v>0</v>
      </c>
      <c r="P33" s="46">
        <f t="shared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f>input_7327!A$2</f>
        <v>7327010</v>
      </c>
      <c r="B34" s="9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>IFERROR(VLOOKUP(B34,input_7327!L:R,7,FALSE),VLOOKUP(tables_7327!C34,input_7327!A:H,8,FALSE))</f>
        <v>0</v>
      </c>
      <c r="P34" s="46">
        <f t="shared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f>input_7327!A$2</f>
        <v>7327010</v>
      </c>
      <c r="B35" s="9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>IFERROR(VLOOKUP(B35,input_7327!L:R,7,FALSE),VLOOKUP(tables_7327!C35,input_7327!A:H,8,FALSE))</f>
        <v>0</v>
      </c>
      <c r="P35" s="46">
        <f t="shared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f>input_7327!A$2</f>
        <v>7327010</v>
      </c>
      <c r="B36" s="9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>IFERROR(VLOOKUP(B36,input_7327!L:R,7,FALSE),VLOOKUP(tables_7327!C36,input_7327!A:H,8,FALSE))</f>
        <v>0</v>
      </c>
      <c r="P36" s="46">
        <f t="shared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f>input_7327!A$2</f>
        <v>7327010</v>
      </c>
      <c r="B37" s="9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>IFERROR(VLOOKUP(B37,input_7327!L:R,7,FALSE),VLOOKUP(tables_7327!C37,input_7327!A:H,8,FALSE))</f>
        <v>0</v>
      </c>
      <c r="P37" s="46">
        <f t="shared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f>input_7327!A$2</f>
        <v>7327010</v>
      </c>
      <c r="B38" s="9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>IFERROR(VLOOKUP(B38,input_7327!L:R,7,FALSE),VLOOKUP(tables_7327!C38,input_7327!A:H,8,FALSE))</f>
        <v>0</v>
      </c>
      <c r="P38" s="46">
        <f t="shared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f>input_7327!A$2</f>
        <v>7327010</v>
      </c>
      <c r="B39" s="9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>IFERROR(VLOOKUP(B39,input_7327!L:R,7,FALSE),VLOOKUP(tables_7327!C39,input_7327!A:H,8,FALSE))</f>
        <v>0</v>
      </c>
      <c r="P39" s="46">
        <f t="shared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f>input_7327!A$2</f>
        <v>7327010</v>
      </c>
      <c r="B40" s="9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>IFERROR(VLOOKUP(B40,input_7327!L:R,7,FALSE),VLOOKUP(tables_7327!C40,input_7327!A:H,8,FALSE))</f>
        <v>0</v>
      </c>
      <c r="P40" s="46">
        <f t="shared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f>input_7327!A$2</f>
        <v>7327010</v>
      </c>
      <c r="B41" s="9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>IFERROR(VLOOKUP(B41,input_7327!L:R,7,FALSE),VLOOKUP(tables_7327!C41,input_7327!A:H,8,FALSE))</f>
        <v>0</v>
      </c>
      <c r="P41" s="46">
        <f t="shared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f>input_7327!A$2</f>
        <v>7327010</v>
      </c>
      <c r="B42" s="9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>IFERROR(VLOOKUP(B42,input_7327!L:R,7,FALSE),VLOOKUP(tables_7327!C42,input_7327!A:H,8,FALSE))</f>
        <v>0</v>
      </c>
      <c r="P42" s="46">
        <f t="shared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f>input_7327!A$2</f>
        <v>7327010</v>
      </c>
      <c r="B43" s="9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>IFERROR(VLOOKUP(B43,input_7327!L:R,7,FALSE),VLOOKUP(tables_7327!C43,input_7327!A:H,8,FALSE))</f>
        <v>0</v>
      </c>
      <c r="P43" s="46">
        <f t="shared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>
        <f>input_7327!A$2</f>
        <v>7327010</v>
      </c>
      <c r="B44" s="9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>IFERROR(VLOOKUP(B44,input_7327!L:R,7,FALSE),VLOOKUP(tables_7327!C44,input_7327!A:H,8,FALSE))</f>
        <v>1485000</v>
      </c>
      <c r="P44" s="46">
        <f t="shared" si="1"/>
        <v>1.0206185567013122E-2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f>input_7327!A$2</f>
        <v>7327010</v>
      </c>
      <c r="B45" s="9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>IFERROR(VLOOKUP(B45,input_7327!L:R,7,FALSE),VLOOKUP(tables_7327!C45,input_7327!A:H,8,FALSE))</f>
        <v>0</v>
      </c>
      <c r="P45" s="46">
        <f t="shared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f>input_7327!A$2</f>
        <v>7327010</v>
      </c>
      <c r="B46" s="9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>IFERROR(VLOOKUP(B46,input_7327!L:R,7,FALSE),VLOOKUP(tables_7327!C46,input_7327!A:H,8,FALSE))</f>
        <v>0</v>
      </c>
      <c r="P46" s="46">
        <f t="shared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f>input_7327!A$2</f>
        <v>7327010</v>
      </c>
      <c r="B47" s="9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>IFERROR(VLOOKUP(B47,input_7327!L:R,7,FALSE),VLOOKUP(tables_7327!C47,input_7327!A:H,8,FALSE))</f>
        <v>1485000</v>
      </c>
      <c r="P47" s="46">
        <f t="shared" si="1"/>
        <v>1.0206185567013122E-2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f>input_7327!A$2</f>
        <v>7327010</v>
      </c>
      <c r="B48" s="9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>IFERROR(VLOOKUP(B48,input_7327!L:R,7,FALSE),VLOOKUP(tables_7327!C48,input_7327!A:H,8,FALSE))</f>
        <v>0</v>
      </c>
      <c r="P48" s="46">
        <f t="shared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f>input_7327!A$2</f>
        <v>7327010</v>
      </c>
      <c r="B49" s="9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>IFERROR(VLOOKUP(B49,input_7327!L:R,7,FALSE),VLOOKUP(tables_7327!C49,input_7327!A:H,8,FALSE))</f>
        <v>0</v>
      </c>
      <c r="P49" s="46">
        <f t="shared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f>input_7327!A$2</f>
        <v>7327010</v>
      </c>
      <c r="B50" s="9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>IFERROR(VLOOKUP(B50,input_7327!L:R,7,FALSE),VLOOKUP(tables_7327!C50,input_7327!A:H,8,FALSE))</f>
        <v>1485000</v>
      </c>
      <c r="P50" s="46">
        <f t="shared" si="1"/>
        <v>1.0206185567013122E-2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f>input_7327!A$2</f>
        <v>7327010</v>
      </c>
      <c r="B51" s="9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>IFERROR(VLOOKUP(B51,input_7327!L:R,7,FALSE),VLOOKUP(tables_7327!C51,input_7327!A:H,8,FALSE))</f>
        <v>0</v>
      </c>
      <c r="P51" s="46">
        <f t="shared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f>input_7327!A$2</f>
        <v>7327010</v>
      </c>
      <c r="B52" s="9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>IFERROR(VLOOKUP(B52,input_7327!L:R,7,FALSE),VLOOKUP(tables_7327!C52,input_7327!A:H,8,FALSE))</f>
        <v>0</v>
      </c>
      <c r="P52" s="46">
        <f t="shared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f>input_7327!A$2</f>
        <v>7327010</v>
      </c>
      <c r="B53" s="9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>IFERROR(VLOOKUP(B53,input_7327!L:R,7,FALSE),VLOOKUP(tables_7327!C53,input_7327!A:H,8,FALSE))</f>
        <v>1632980.76923</v>
      </c>
      <c r="P53" s="46">
        <f t="shared" si="1"/>
        <v>1.1223235527357043E-2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f>input_7327!A$2</f>
        <v>7327010</v>
      </c>
      <c r="B54" s="9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>IFERROR(VLOOKUP(B54,input_7327!L:R,7,FALSE),VLOOKUP(tables_7327!C54,input_7327!A:H,8,FALSE))</f>
        <v>0</v>
      </c>
      <c r="P54" s="46">
        <f t="shared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f>input_7327!A$2</f>
        <v>7327010</v>
      </c>
      <c r="B55" s="9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>IFERROR(VLOOKUP(B55,input_7327!L:R,7,FALSE),VLOOKUP(tables_7327!C55,input_7327!A:H,8,FALSE))</f>
        <v>0</v>
      </c>
      <c r="P55" s="46">
        <f t="shared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f>input_7327!A$2</f>
        <v>7327010</v>
      </c>
      <c r="B56" s="9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>IFERROR(VLOOKUP(B56,input_7327!L:R,7,FALSE),VLOOKUP(tables_7327!C56,input_7327!A:H,8,FALSE))</f>
        <v>1632980.76923</v>
      </c>
      <c r="P56" s="46">
        <f t="shared" si="1"/>
        <v>1.1223235527357043E-2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f>input_7327!A$2</f>
        <v>7327010</v>
      </c>
      <c r="B57" s="9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>IFERROR(VLOOKUP(B57,input_7327!L:R,7,FALSE),VLOOKUP(tables_7327!C57,input_7327!A:H,8,FALSE))</f>
        <v>0</v>
      </c>
      <c r="P57" s="46">
        <f t="shared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f>input_7327!A$2</f>
        <v>7327010</v>
      </c>
      <c r="B58" s="9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>IFERROR(VLOOKUP(B58,input_7327!L:R,7,FALSE),VLOOKUP(tables_7327!C58,input_7327!A:H,8,FALSE))</f>
        <v>0</v>
      </c>
      <c r="P58" s="46">
        <f t="shared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f>input_7327!A$2</f>
        <v>7327010</v>
      </c>
      <c r="B59" s="9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>IFERROR(VLOOKUP(B59,input_7327!L:R,7,FALSE),VLOOKUP(tables_7327!C59,input_7327!A:H,8,FALSE))</f>
        <v>1632980.76923</v>
      </c>
      <c r="P59" s="46">
        <f t="shared" si="1"/>
        <v>1.1223235527357043E-2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f>input_7327!A$2</f>
        <v>7327010</v>
      </c>
      <c r="B60" s="9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>IFERROR(VLOOKUP(B60,input_7327!L:R,7,FALSE),VLOOKUP(tables_7327!C60,input_7327!A:H,8,FALSE))</f>
        <v>0</v>
      </c>
      <c r="P60" s="46">
        <f t="shared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f>input_7327!A$2</f>
        <v>7327010</v>
      </c>
      <c r="B61" s="9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>IFERROR(VLOOKUP(B61,input_7327!L:R,7,FALSE),VLOOKUP(tables_7327!C61,input_7327!A:H,8,FALSE))</f>
        <v>0</v>
      </c>
      <c r="P61" s="46">
        <f t="shared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f>input_7327!A$2</f>
        <v>7327010</v>
      </c>
      <c r="B62" s="97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>IFERROR(VLOOKUP(B62,input_7327!L:R,7,FALSE),VLOOKUP(tables_7327!C62,input_7327!A:H,8,FALSE))</f>
        <v>1632980.76923</v>
      </c>
      <c r="P62" s="46">
        <f t="shared" si="1"/>
        <v>1.1223235527357043E-2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f>input_7327!A$2</f>
        <v>7327010</v>
      </c>
      <c r="B63" s="97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>IFERROR(VLOOKUP(B63,input_7327!L:R,7,FALSE),VLOOKUP(tables_7327!C63,input_7327!A:H,8,FALSE))</f>
        <v>0</v>
      </c>
      <c r="P63" s="46">
        <f t="shared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f>input_7327!A$2</f>
        <v>7327010</v>
      </c>
      <c r="B64" s="97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>IFERROR(VLOOKUP(B64,input_7327!L:R,7,FALSE),VLOOKUP(tables_7327!C64,input_7327!A:H,8,FALSE))</f>
        <v>0</v>
      </c>
      <c r="P64" s="46">
        <f t="shared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f>input_7327!A$2</f>
        <v>7327010</v>
      </c>
      <c r="B65" s="97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>IFERROR(VLOOKUP(B65,input_7327!L:R,7,FALSE),VLOOKUP(tables_7327!C65,input_7327!A:H,8,FALSE))</f>
        <v>1632980.76923</v>
      </c>
      <c r="P65" s="46">
        <f t="shared" si="1"/>
        <v>1.1223235527357043E-2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>
        <f>input_7327!A$2</f>
        <v>7327010</v>
      </c>
      <c r="B66" s="9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>IFERROR(VLOOKUP(B66,input_7327!L:R,7,FALSE),VLOOKUP(tables_7327!C66,input_7327!A:H,8,FALSE))</f>
        <v>0</v>
      </c>
      <c r="P66" s="46">
        <f t="shared" ref="P66:P129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f>input_7327!A$2</f>
        <v>7327010</v>
      </c>
      <c r="B67" s="9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>IFERROR(VLOOKUP(B67,input_7327!L:R,7,FALSE),VLOOKUP(tables_7327!C67,input_7327!A:H,8,FALSE))</f>
        <v>0</v>
      </c>
      <c r="P67" s="46">
        <f t="shared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f>input_7327!A$2</f>
        <v>7327010</v>
      </c>
      <c r="B68" s="9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>IFERROR(VLOOKUP(B68,input_7327!L:R,7,FALSE),VLOOKUP(tables_7327!C68,input_7327!A:H,8,FALSE))</f>
        <v>1632980.76923</v>
      </c>
      <c r="P68" s="46">
        <f t="shared" si="4"/>
        <v>1.1223235527357043E-2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f>input_7327!A$2</f>
        <v>7327010</v>
      </c>
      <c r="B69" s="9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>IFERROR(VLOOKUP(B69,input_7327!L:R,7,FALSE),VLOOKUP(tables_7327!C69,input_7327!A:H,8,FALSE))</f>
        <v>0</v>
      </c>
      <c r="P69" s="46">
        <f t="shared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f>input_7327!A$2</f>
        <v>7327010</v>
      </c>
      <c r="B70" s="9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>IFERROR(VLOOKUP(B70,input_7327!L:R,7,FALSE),VLOOKUP(tables_7327!C70,input_7327!A:H,8,FALSE))</f>
        <v>0</v>
      </c>
      <c r="P70" s="46">
        <f t="shared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f>input_7327!A$2</f>
        <v>7327010</v>
      </c>
      <c r="B71" s="9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>IFERROR(VLOOKUP(B71,input_7327!L:R,7,FALSE),VLOOKUP(tables_7327!C71,input_7327!A:H,8,FALSE))</f>
        <v>1632980.76923</v>
      </c>
      <c r="P71" s="46">
        <f t="shared" si="4"/>
        <v>1.1223235527357043E-2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f>input_7327!A$2</f>
        <v>7327010</v>
      </c>
      <c r="B72" s="96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>IFERROR(VLOOKUP(B72,input_7327!L:R,7,FALSE),VLOOKUP(tables_7327!C72,input_7327!A:H,8,FALSE))</f>
        <v>0</v>
      </c>
      <c r="P72" s="46">
        <f t="shared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f>input_7327!A$2</f>
        <v>7327010</v>
      </c>
      <c r="B73" s="9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>IFERROR(VLOOKUP(B73,input_7327!L:R,7,FALSE),VLOOKUP(tables_7327!C73,input_7327!A:H,8,FALSE))</f>
        <v>0</v>
      </c>
      <c r="P73" s="46">
        <f t="shared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f>input_7327!A$2</f>
        <v>7327010</v>
      </c>
      <c r="B74" s="9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>IFERROR(VLOOKUP(B74,input_7327!L:R,7,FALSE),VLOOKUP(tables_7327!C74,input_7327!A:H,8,FALSE))</f>
        <v>1632980.76923</v>
      </c>
      <c r="P74" s="46">
        <f t="shared" si="4"/>
        <v>1.1223235527357043E-2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f>input_7327!A$2</f>
        <v>7327010</v>
      </c>
      <c r="B75" s="9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>IFERROR(VLOOKUP(B75,input_7327!L:R,7,FALSE),VLOOKUP(tables_7327!C75,input_7327!A:H,8,FALSE))</f>
        <v>0</v>
      </c>
      <c r="P75" s="46">
        <f t="shared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f>input_7327!A$2</f>
        <v>7327010</v>
      </c>
      <c r="B76" s="9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>IFERROR(VLOOKUP(B76,input_7327!L:R,7,FALSE),VLOOKUP(tables_7327!C76,input_7327!A:H,8,FALSE))</f>
        <v>0</v>
      </c>
      <c r="P76" s="46">
        <f t="shared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f>input_7327!A$2</f>
        <v>7327010</v>
      </c>
      <c r="B77" s="98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>IFERROR(VLOOKUP(B77,input_7327!L:R,7,FALSE),VLOOKUP(tables_7327!C77,input_7327!A:H,8,FALSE))</f>
        <v>1632980.76923</v>
      </c>
      <c r="P77" s="46">
        <f t="shared" si="4"/>
        <v>1.1223235527357043E-2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>
        <f>input_7327!A$2</f>
        <v>7327010</v>
      </c>
      <c r="B78" s="98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>IFERROR(VLOOKUP(B78,input_7327!L:R,7,FALSE),VLOOKUP(tables_7327!C78,input_7327!A:H,8,FALSE))</f>
        <v>0</v>
      </c>
      <c r="P78" s="46">
        <f t="shared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>
        <f>input_7327!A$2</f>
        <v>7327010</v>
      </c>
      <c r="B79" s="98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>IFERROR(VLOOKUP(B79,input_7327!L:R,7,FALSE),VLOOKUP(tables_7327!C79,input_7327!A:H,8,FALSE))</f>
        <v>0</v>
      </c>
      <c r="P79" s="46">
        <f t="shared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f>input_7327!A$2</f>
        <v>7327010</v>
      </c>
      <c r="B80" s="98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>IFERROR(VLOOKUP(B80,input_7327!L:R,7,FALSE),VLOOKUP(tables_7327!C80,input_7327!A:H,8,FALSE))</f>
        <v>1632980.76923</v>
      </c>
      <c r="P80" s="46">
        <f t="shared" si="4"/>
        <v>1.1223235527357043E-2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>
        <f>input_7327!A$2</f>
        <v>7327010</v>
      </c>
      <c r="B81" s="98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>IFERROR(VLOOKUP(B81,input_7327!L:R,7,FALSE),VLOOKUP(tables_7327!C81,input_7327!A:H,8,FALSE))</f>
        <v>0</v>
      </c>
      <c r="P81" s="46">
        <f t="shared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>
        <f>input_7327!A$2</f>
        <v>7327010</v>
      </c>
      <c r="B82" s="98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>IFERROR(VLOOKUP(B82,input_7327!L:R,7,FALSE),VLOOKUP(tables_7327!C82,input_7327!A:H,8,FALSE))</f>
        <v>0</v>
      </c>
      <c r="P82" s="46">
        <f t="shared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>
        <f>input_7327!A$2</f>
        <v>7327010</v>
      </c>
      <c r="B83" s="98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>IFERROR(VLOOKUP(B83,input_7327!L:R,7,FALSE),VLOOKUP(tables_7327!C83,input_7327!A:H,8,FALSE))</f>
        <v>1632980.76923</v>
      </c>
      <c r="P83" s="46">
        <f t="shared" si="4"/>
        <v>1.1223235527357043E-2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>
        <f>input_7327!A$2</f>
        <v>7327010</v>
      </c>
      <c r="B84" s="98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>IFERROR(VLOOKUP(B84,input_7327!L:R,7,FALSE),VLOOKUP(tables_7327!C84,input_7327!A:H,8,FALSE))</f>
        <v>0</v>
      </c>
      <c r="P84" s="46">
        <f t="shared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>
        <f>input_7327!A$2</f>
        <v>7327010</v>
      </c>
      <c r="B85" s="98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>IFERROR(VLOOKUP(B85,input_7327!L:R,7,FALSE),VLOOKUP(tables_7327!C85,input_7327!A:H,8,FALSE))</f>
        <v>0</v>
      </c>
      <c r="P85" s="46">
        <f t="shared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>
        <f>input_7327!A$2</f>
        <v>7327010</v>
      </c>
      <c r="B86" s="98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>IFERROR(VLOOKUP(B86,input_7327!L:R,7,FALSE),VLOOKUP(tables_7327!C86,input_7327!A:H,8,FALSE))</f>
        <v>1632980.76923</v>
      </c>
      <c r="P86" s="46">
        <f t="shared" si="4"/>
        <v>1.1223235527357043E-2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>
        <f>input_7327!A$2</f>
        <v>7327010</v>
      </c>
      <c r="B87" s="98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>IFERROR(VLOOKUP(B87,input_7327!L:R,7,FALSE),VLOOKUP(tables_7327!C87,input_7327!A:H,8,FALSE))</f>
        <v>0</v>
      </c>
      <c r="P87" s="46">
        <f t="shared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>
        <f>input_7327!A$2</f>
        <v>7327010</v>
      </c>
      <c r="B88" s="98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>IFERROR(VLOOKUP(B88,input_7327!L:R,7,FALSE),VLOOKUP(tables_7327!C88,input_7327!A:H,8,FALSE))</f>
        <v>0</v>
      </c>
      <c r="P88" s="46">
        <f t="shared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>
        <f>input_7327!A$2</f>
        <v>7327010</v>
      </c>
      <c r="B89" s="98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>IFERROR(VLOOKUP(B89,input_7327!L:R,7,FALSE),VLOOKUP(tables_7327!C89,input_7327!A:H,8,FALSE))</f>
        <v>1632980.76923</v>
      </c>
      <c r="P89" s="46">
        <f t="shared" si="4"/>
        <v>1.1223235527357043E-2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>
        <f>input_7327!A$2</f>
        <v>7327010</v>
      </c>
      <c r="B90" s="98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>IFERROR(VLOOKUP(B90,input_7327!L:R,7,FALSE),VLOOKUP(tables_7327!C90,input_7327!A:H,8,FALSE))</f>
        <v>0</v>
      </c>
      <c r="P90" s="46">
        <f t="shared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>
        <f>input_7327!A$2</f>
        <v>7327010</v>
      </c>
      <c r="B91" s="98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>IFERROR(VLOOKUP(B91,input_7327!L:R,7,FALSE),VLOOKUP(tables_7327!C91,input_7327!A:H,8,FALSE))</f>
        <v>0</v>
      </c>
      <c r="P91" s="46">
        <f t="shared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>
        <f>input_7327!A$2</f>
        <v>7327010</v>
      </c>
      <c r="B92" s="98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>IFERROR(VLOOKUP(B92,input_7327!L:R,7,FALSE),VLOOKUP(tables_7327!C92,input_7327!A:H,8,FALSE))</f>
        <v>1632980.76923</v>
      </c>
      <c r="P92" s="46">
        <f t="shared" si="4"/>
        <v>1.1223235527357043E-2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>
        <f>input_7327!A$2</f>
        <v>7327010</v>
      </c>
      <c r="B93" s="98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>IFERROR(VLOOKUP(B93,input_7327!L:R,7,FALSE),VLOOKUP(tables_7327!C93,input_7327!A:H,8,FALSE))</f>
        <v>0</v>
      </c>
      <c r="P93" s="46">
        <f t="shared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>
        <f>input_7327!A$2</f>
        <v>7327010</v>
      </c>
      <c r="B94" s="98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>IFERROR(VLOOKUP(B94,input_7327!L:R,7,FALSE),VLOOKUP(tables_7327!C94,input_7327!A:H,8,FALSE))</f>
        <v>0</v>
      </c>
      <c r="P94" s="46">
        <f t="shared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>
        <f>input_7327!A$2</f>
        <v>7327010</v>
      </c>
      <c r="B95" s="98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>IFERROR(VLOOKUP(B95,input_7327!L:R,7,FALSE),VLOOKUP(tables_7327!C95,input_7327!A:H,8,FALSE))</f>
        <v>1632980.76923</v>
      </c>
      <c r="P95" s="46">
        <f t="shared" si="4"/>
        <v>1.1223235527357043E-2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>
        <f>input_7327!A$2</f>
        <v>7327010</v>
      </c>
      <c r="B96" s="98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>IFERROR(VLOOKUP(B96,input_7327!L:R,7,FALSE),VLOOKUP(tables_7327!C96,input_7327!A:H,8,FALSE))</f>
        <v>0</v>
      </c>
      <c r="P96" s="46">
        <f t="shared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>
        <f>input_7327!A$2</f>
        <v>7327010</v>
      </c>
      <c r="B97" s="98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>IFERROR(VLOOKUP(B97,input_7327!L:R,7,FALSE),VLOOKUP(tables_7327!C97,input_7327!A:H,8,FALSE))</f>
        <v>0</v>
      </c>
      <c r="P97" s="46">
        <f t="shared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>
        <f>input_7327!A$2</f>
        <v>7327010</v>
      </c>
      <c r="B98" s="98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>IFERROR(VLOOKUP(B98,input_7327!L:R,7,FALSE),VLOOKUP(tables_7327!C98,input_7327!A:H,8,FALSE))</f>
        <v>1632980.76923</v>
      </c>
      <c r="P98" s="46">
        <f t="shared" si="4"/>
        <v>1.1223235527357043E-2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>
        <f>input_7327!A$2</f>
        <v>7327010</v>
      </c>
      <c r="B99" s="98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>IFERROR(VLOOKUP(B99,input_7327!L:R,7,FALSE),VLOOKUP(tables_7327!C99,input_7327!A:H,8,FALSE))</f>
        <v>0</v>
      </c>
      <c r="P99" s="46">
        <f t="shared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>
        <f>input_7327!A$2</f>
        <v>7327010</v>
      </c>
      <c r="B100" s="98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>IFERROR(VLOOKUP(B100,input_7327!L:R,7,FALSE),VLOOKUP(tables_7327!C100,input_7327!A:H,8,FALSE))</f>
        <v>0</v>
      </c>
      <c r="P100" s="46">
        <f t="shared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>
        <f>input_7327!A$2</f>
        <v>7327010</v>
      </c>
      <c r="B101" s="98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>IFERROR(VLOOKUP(B101,input_7327!L:R,7,FALSE),VLOOKUP(tables_7327!C101,input_7327!A:H,8,FALSE))</f>
        <v>1632980.76923</v>
      </c>
      <c r="P101" s="46">
        <f t="shared" si="4"/>
        <v>1.1223235527357043E-2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>
        <f>input_7327!A$2</f>
        <v>7327010</v>
      </c>
      <c r="B102" s="98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>IFERROR(VLOOKUP(B102,input_7327!L:R,7,FALSE),VLOOKUP(tables_7327!C102,input_7327!A:H,8,FALSE))</f>
        <v>0</v>
      </c>
      <c r="P102" s="46">
        <f t="shared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>
        <f>input_7327!A$2</f>
        <v>7327010</v>
      </c>
      <c r="B103" s="98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>IFERROR(VLOOKUP(B103,input_7327!L:R,7,FALSE),VLOOKUP(tables_7327!C103,input_7327!A:H,8,FALSE))</f>
        <v>0</v>
      </c>
      <c r="P103" s="46">
        <f t="shared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>
        <f>input_7327!A$2</f>
        <v>7327010</v>
      </c>
      <c r="B104" s="98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>IFERROR(VLOOKUP(B104,input_7327!L:R,7,FALSE),VLOOKUP(tables_7327!C104,input_7327!A:H,8,FALSE))</f>
        <v>1632980.76923</v>
      </c>
      <c r="P104" s="46">
        <f t="shared" si="4"/>
        <v>1.1223235527357043E-2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>
        <f>input_7327!A$2</f>
        <v>7327010</v>
      </c>
      <c r="B105" s="98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>IFERROR(VLOOKUP(B105,input_7327!L:R,7,FALSE),VLOOKUP(tables_7327!C105,input_7327!A:H,8,FALSE))</f>
        <v>0</v>
      </c>
      <c r="P105" s="46">
        <f t="shared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>
        <f>input_7327!A$2</f>
        <v>7327010</v>
      </c>
      <c r="B106" s="98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>IFERROR(VLOOKUP(B106,input_7327!L:R,7,FALSE),VLOOKUP(tables_7327!C106,input_7327!A:H,8,FALSE))</f>
        <v>0</v>
      </c>
      <c r="P106" s="46">
        <f t="shared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>
        <f>input_7327!A$2</f>
        <v>7327010</v>
      </c>
      <c r="B107" s="98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>IFERROR(VLOOKUP(B107,input_7327!L:R,7,FALSE),VLOOKUP(tables_7327!C107,input_7327!A:H,8,FALSE))</f>
        <v>1632980.76923</v>
      </c>
      <c r="P107" s="46">
        <f t="shared" si="4"/>
        <v>1.1223235527357043E-2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>
        <f>input_7327!A$2</f>
        <v>7327010</v>
      </c>
      <c r="B108" s="98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>IFERROR(VLOOKUP(B108,input_7327!L:R,7,FALSE),VLOOKUP(tables_7327!C108,input_7327!A:H,8,FALSE))</f>
        <v>0</v>
      </c>
      <c r="P108" s="46">
        <f t="shared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>
        <f>input_7327!A$2</f>
        <v>7327010</v>
      </c>
      <c r="B109" s="98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>IFERROR(VLOOKUP(B109,input_7327!L:R,7,FALSE),VLOOKUP(tables_7327!C109,input_7327!A:H,8,FALSE))</f>
        <v>0</v>
      </c>
      <c r="P109" s="46">
        <f t="shared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>
        <f>input_7327!A$2</f>
        <v>7327010</v>
      </c>
      <c r="B110" s="98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>IFERROR(VLOOKUP(B110,input_7327!L:R,7,FALSE),VLOOKUP(tables_7327!C110,input_7327!A:H,8,FALSE))</f>
        <v>1632980.76923</v>
      </c>
      <c r="P110" s="46">
        <f t="shared" si="4"/>
        <v>1.1223235527357043E-2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>
        <f>input_7327!A$2</f>
        <v>7327010</v>
      </c>
      <c r="B111" s="98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>IFERROR(VLOOKUP(B111,input_7327!L:R,7,FALSE),VLOOKUP(tables_7327!C111,input_7327!A:H,8,FALSE))</f>
        <v>0</v>
      </c>
      <c r="P111" s="46">
        <f t="shared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>
        <f>input_7327!A$2</f>
        <v>7327010</v>
      </c>
      <c r="B112" s="98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>IFERROR(VLOOKUP(B112,input_7327!L:R,7,FALSE),VLOOKUP(tables_7327!C112,input_7327!A:H,8,FALSE))</f>
        <v>0</v>
      </c>
      <c r="P112" s="46">
        <f t="shared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>
        <f>input_7327!A$2</f>
        <v>7327010</v>
      </c>
      <c r="B113" s="98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>IFERROR(VLOOKUP(B113,input_7327!L:R,7,FALSE),VLOOKUP(tables_7327!C113,input_7327!A:H,8,FALSE))</f>
        <v>1485000</v>
      </c>
      <c r="P113" s="46">
        <f t="shared" si="4"/>
        <v>1.0206185567013122E-2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>
        <f>input_7327!A$2</f>
        <v>7327010</v>
      </c>
      <c r="B114" s="98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>IFERROR(VLOOKUP(B114,input_7327!L:R,7,FALSE),VLOOKUP(tables_7327!C114,input_7327!A:H,8,FALSE))</f>
        <v>0</v>
      </c>
      <c r="P114" s="46">
        <f t="shared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>
        <f>input_7327!A$2</f>
        <v>7327010</v>
      </c>
      <c r="B115" s="98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>IFERROR(VLOOKUP(B115,input_7327!L:R,7,FALSE),VLOOKUP(tables_7327!C115,input_7327!A:H,8,FALSE))</f>
        <v>0</v>
      </c>
      <c r="P115" s="46">
        <f t="shared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>
        <f>input_7327!A$2</f>
        <v>7327010</v>
      </c>
      <c r="B116" s="98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>IFERROR(VLOOKUP(B116,input_7327!L:R,7,FALSE),VLOOKUP(tables_7327!C116,input_7327!A:H,8,FALSE))</f>
        <v>1632980.76923</v>
      </c>
      <c r="P116" s="46">
        <f t="shared" si="4"/>
        <v>1.1223235527357043E-2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>
        <f>input_7327!A$2</f>
        <v>7327010</v>
      </c>
      <c r="B117" s="98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>IFERROR(VLOOKUP(B117,input_7327!L:R,7,FALSE),VLOOKUP(tables_7327!C117,input_7327!A:H,8,FALSE))</f>
        <v>0</v>
      </c>
      <c r="P117" s="46">
        <f t="shared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>
        <f>input_7327!A$2</f>
        <v>7327010</v>
      </c>
      <c r="B118" s="98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>IFERROR(VLOOKUP(B118,input_7327!L:R,7,FALSE),VLOOKUP(tables_7327!C118,input_7327!A:H,8,FALSE))</f>
        <v>0</v>
      </c>
      <c r="P118" s="46">
        <f t="shared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>
        <f>input_7327!A$2</f>
        <v>7327010</v>
      </c>
      <c r="B119" s="98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>IFERROR(VLOOKUP(B119,input_7327!L:R,7,FALSE),VLOOKUP(tables_7327!C119,input_7327!A:H,8,FALSE))</f>
        <v>1632980.76923</v>
      </c>
      <c r="P119" s="46">
        <f t="shared" si="4"/>
        <v>1.1223235527357043E-2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>
        <f>input_7327!A$2</f>
        <v>7327010</v>
      </c>
      <c r="B120" s="98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>IFERROR(VLOOKUP(B120,input_7327!L:R,7,FALSE),VLOOKUP(tables_7327!C120,input_7327!A:H,8,FALSE))</f>
        <v>0</v>
      </c>
      <c r="P120" s="46">
        <f t="shared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>
        <f>input_7327!A$2</f>
        <v>7327010</v>
      </c>
      <c r="B121" s="98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>IFERROR(VLOOKUP(B121,input_7327!L:R,7,FALSE),VLOOKUP(tables_7327!C121,input_7327!A:H,8,FALSE))</f>
        <v>0</v>
      </c>
      <c r="P121" s="46">
        <f t="shared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>
        <f>input_7327!A$2</f>
        <v>7327010</v>
      </c>
      <c r="B122" s="98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>IFERROR(VLOOKUP(B122,input_7327!L:R,7,FALSE),VLOOKUP(tables_7327!C122,input_7327!A:H,8,FALSE))</f>
        <v>1632980.76923</v>
      </c>
      <c r="P122" s="46">
        <f t="shared" si="4"/>
        <v>1.1223235527357043E-2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>
        <f>input_7327!A$2</f>
        <v>7327010</v>
      </c>
      <c r="B123" s="98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>IFERROR(VLOOKUP(B123,input_7327!L:R,7,FALSE),VLOOKUP(tables_7327!C123,input_7327!A:H,8,FALSE))</f>
        <v>0</v>
      </c>
      <c r="P123" s="46">
        <f t="shared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>
        <f>input_7327!A$2</f>
        <v>7327010</v>
      </c>
      <c r="B124" s="98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>IFERROR(VLOOKUP(B124,input_7327!L:R,7,FALSE),VLOOKUP(tables_7327!C124,input_7327!A:H,8,FALSE))</f>
        <v>0</v>
      </c>
      <c r="P124" s="46">
        <f t="shared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>
        <f>input_7327!A$2</f>
        <v>7327010</v>
      </c>
      <c r="B125" s="9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>IFERROR(VLOOKUP(B125,input_7327!L:R,7,FALSE),VLOOKUP(tables_7327!C125,input_7327!A:H,8,FALSE))</f>
        <v>1632980.76923</v>
      </c>
      <c r="P125" s="46">
        <f t="shared" si="4"/>
        <v>1.1223235527357043E-2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>
        <f>input_7327!A$2</f>
        <v>7327010</v>
      </c>
      <c r="B126" s="9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>IFERROR(VLOOKUP(B126,input_7327!L:R,7,FALSE),VLOOKUP(tables_7327!C126,input_7327!A:H,8,FALSE))</f>
        <v>0</v>
      </c>
      <c r="P126" s="46">
        <f t="shared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>
        <f>input_7327!A$2</f>
        <v>7327010</v>
      </c>
      <c r="B127" s="9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>IFERROR(VLOOKUP(B127,input_7327!L:R,7,FALSE),VLOOKUP(tables_7327!C127,input_7327!A:H,8,FALSE))</f>
        <v>0</v>
      </c>
      <c r="P127" s="46">
        <f t="shared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>
        <f>input_7327!A$2</f>
        <v>7327010</v>
      </c>
      <c r="B128" s="9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>IFERROR(VLOOKUP(B128,input_7327!L:R,7,FALSE),VLOOKUP(tables_7327!C128,input_7327!A:H,8,FALSE))</f>
        <v>1632980.76923</v>
      </c>
      <c r="P128" s="46">
        <f t="shared" si="4"/>
        <v>1.1223235527357043E-2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>
        <f>input_7327!A$2</f>
        <v>7327010</v>
      </c>
      <c r="B129" s="9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>IFERROR(VLOOKUP(B129,input_7327!L:R,7,FALSE),VLOOKUP(tables_7327!C129,input_7327!A:H,8,FALSE))</f>
        <v>0</v>
      </c>
      <c r="P129" s="46">
        <f t="shared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>
        <f>input_7327!A$2</f>
        <v>7327010</v>
      </c>
      <c r="B130" s="9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>IFERROR(VLOOKUP(B130,input_7327!L:R,7,FALSE),VLOOKUP(tables_7327!C130,input_7327!A:H,8,FALSE))</f>
        <v>0</v>
      </c>
      <c r="P130" s="46">
        <f t="shared" ref="P130:P193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>
        <f>input_7327!A$2</f>
        <v>7327010</v>
      </c>
      <c r="B131" s="9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>IFERROR(VLOOKUP(B131,input_7327!L:R,7,FALSE),VLOOKUP(tables_7327!C131,input_7327!A:H,8,FALSE))</f>
        <v>1632980.76923</v>
      </c>
      <c r="P131" s="46">
        <f t="shared" si="7"/>
        <v>1.1223235527357043E-2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>
        <f>input_7327!A$2</f>
        <v>7327010</v>
      </c>
      <c r="B132" s="9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>IFERROR(VLOOKUP(B132,input_7327!L:R,7,FALSE),VLOOKUP(tables_7327!C132,input_7327!A:H,8,FALSE))</f>
        <v>0</v>
      </c>
      <c r="P132" s="46">
        <f t="shared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>
        <f>input_7327!A$2</f>
        <v>7327010</v>
      </c>
      <c r="B133" s="9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>IFERROR(VLOOKUP(B133,input_7327!L:R,7,FALSE),VLOOKUP(tables_7327!C133,input_7327!A:H,8,FALSE))</f>
        <v>0</v>
      </c>
      <c r="P133" s="46">
        <f t="shared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>
        <f>input_7327!A$2</f>
        <v>7327010</v>
      </c>
      <c r="B134" s="9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>IFERROR(VLOOKUP(B134,input_7327!L:R,7,FALSE),VLOOKUP(tables_7327!C134,input_7327!A:H,8,FALSE))</f>
        <v>1632980.76923</v>
      </c>
      <c r="P134" s="46">
        <f t="shared" si="7"/>
        <v>1.1223235527357043E-2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>
        <f>input_7327!A$2</f>
        <v>7327010</v>
      </c>
      <c r="B135" s="9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>IFERROR(VLOOKUP(B135,input_7327!L:R,7,FALSE),VLOOKUP(tables_7327!C135,input_7327!A:H,8,FALSE))</f>
        <v>0</v>
      </c>
      <c r="P135" s="46">
        <f t="shared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>
        <f>input_7327!A$2</f>
        <v>7327010</v>
      </c>
      <c r="B136" s="97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>IFERROR(VLOOKUP(B136,input_7327!L:R,7,FALSE),VLOOKUP(tables_7327!C136,input_7327!A:H,8,FALSE))</f>
        <v>0</v>
      </c>
      <c r="P136" s="46">
        <f t="shared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>
        <f>input_7327!A$2</f>
        <v>7327010</v>
      </c>
      <c r="B137" s="97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>IFERROR(VLOOKUP(B137,input_7327!L:R,7,FALSE),VLOOKUP(tables_7327!C137,input_7327!A:H,8,FALSE))</f>
        <v>1632980.76923</v>
      </c>
      <c r="P137" s="46">
        <f t="shared" si="7"/>
        <v>1.1223235527357043E-2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>
        <f>input_7327!A$2</f>
        <v>7327010</v>
      </c>
      <c r="B138" s="9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>IFERROR(VLOOKUP(B138,input_7327!L:R,7,FALSE),VLOOKUP(tables_7327!C138,input_7327!A:H,8,FALSE))</f>
        <v>0</v>
      </c>
      <c r="P138" s="46">
        <f t="shared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>
        <f>input_7327!A$2</f>
        <v>7327010</v>
      </c>
      <c r="B139" s="9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>IFERROR(VLOOKUP(B139,input_7327!L:R,7,FALSE),VLOOKUP(tables_7327!C139,input_7327!A:H,8,FALSE))</f>
        <v>194000</v>
      </c>
      <c r="P139" s="46">
        <f t="shared" si="7"/>
        <v>1.3333333333337006E-3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>
        <f>input_7327!A$2</f>
        <v>7327010</v>
      </c>
      <c r="B140" s="9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>IFERROR(VLOOKUP(B140,input_7327!L:R,7,FALSE),VLOOKUP(tables_7327!C140,input_7327!A:H,8,FALSE))</f>
        <v>0</v>
      </c>
      <c r="P140" s="46">
        <f t="shared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>
        <f>input_7327!A$2</f>
        <v>7327010</v>
      </c>
      <c r="B141" s="9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>IFERROR(VLOOKUP(B141,input_7327!L:R,7,FALSE),VLOOKUP(tables_7327!C141,input_7327!A:H,8,FALSE))</f>
        <v>194000</v>
      </c>
      <c r="P141" s="46">
        <f t="shared" si="7"/>
        <v>1.3333333333337006E-3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>
        <f>input_7327!A$2</f>
        <v>7327010</v>
      </c>
      <c r="B142" s="9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>IFERROR(VLOOKUP(B142,input_7327!L:R,7,FALSE),VLOOKUP(tables_7327!C142,input_7327!A:H,8,FALSE))</f>
        <v>0</v>
      </c>
      <c r="P142" s="46">
        <f t="shared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>
        <f>input_7327!A$2</f>
        <v>7327010</v>
      </c>
      <c r="B143" s="9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>IFERROR(VLOOKUP(B143,input_7327!L:R,7,FALSE),VLOOKUP(tables_7327!C143,input_7327!A:H,8,FALSE))</f>
        <v>194000</v>
      </c>
      <c r="P143" s="46">
        <f t="shared" si="7"/>
        <v>1.3333333333337006E-3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>
        <f>input_7327!A$2</f>
        <v>7327010</v>
      </c>
      <c r="B144" s="9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>IFERROR(VLOOKUP(B144,input_7327!L:R,7,FALSE),VLOOKUP(tables_7327!C144,input_7327!A:H,8,FALSE))</f>
        <v>0</v>
      </c>
      <c r="P144" s="46">
        <f t="shared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>
        <f>input_7327!A$2</f>
        <v>7327010</v>
      </c>
      <c r="B145" s="9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>IFERROR(VLOOKUP(B145,input_7327!L:R,7,FALSE),VLOOKUP(tables_7327!C145,input_7327!A:H,8,FALSE))</f>
        <v>194000</v>
      </c>
      <c r="P145" s="46">
        <f t="shared" si="7"/>
        <v>1.3333333333337006E-3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>
        <f>input_7327!A$2</f>
        <v>7327010</v>
      </c>
      <c r="B146" s="9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>IFERROR(VLOOKUP(B146,input_7327!L:R,7,FALSE),VLOOKUP(tables_7327!C146,input_7327!A:H,8,FALSE))</f>
        <v>0</v>
      </c>
      <c r="P146" s="46">
        <f t="shared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>
        <f>input_7327!A$2</f>
        <v>7327010</v>
      </c>
      <c r="B147" s="9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>IFERROR(VLOOKUP(B147,input_7327!L:R,7,FALSE),VLOOKUP(tables_7327!C147,input_7327!A:H,8,FALSE))</f>
        <v>0</v>
      </c>
      <c r="P147" s="46">
        <f t="shared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>
        <f>input_7327!A$2</f>
        <v>7327010</v>
      </c>
      <c r="B148" s="9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>IFERROR(VLOOKUP(B148,input_7327!L:R,7,FALSE),VLOOKUP(tables_7327!C148,input_7327!A:H,8,FALSE))</f>
        <v>1632980.76923</v>
      </c>
      <c r="P148" s="46">
        <f t="shared" si="7"/>
        <v>1.1223235527357043E-2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>
        <f>input_7327!A$2</f>
        <v>7327010</v>
      </c>
      <c r="B149" s="9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>IFERROR(VLOOKUP(B149,input_7327!L:R,7,FALSE),VLOOKUP(tables_7327!C149,input_7327!A:H,8,FALSE))</f>
        <v>0</v>
      </c>
      <c r="P149" s="46">
        <f t="shared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>
        <f>input_7327!A$2</f>
        <v>7327010</v>
      </c>
      <c r="B150" s="9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>IFERROR(VLOOKUP(B150,input_7327!L:R,7,FALSE),VLOOKUP(tables_7327!C150,input_7327!A:H,8,FALSE))</f>
        <v>194000</v>
      </c>
      <c r="P150" s="46">
        <f t="shared" si="7"/>
        <v>1.3333333333337006E-3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>
        <f>input_7327!A$2</f>
        <v>7327010</v>
      </c>
      <c r="B151" s="9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>IFERROR(VLOOKUP(B151,input_7327!L:R,7,FALSE),VLOOKUP(tables_7327!C151,input_7327!A:H,8,FALSE))</f>
        <v>0</v>
      </c>
      <c r="P151" s="46">
        <f t="shared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>
        <f>input_7327!A$2</f>
        <v>7327010</v>
      </c>
      <c r="B152" s="9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>IFERROR(VLOOKUP(B152,input_7327!L:R,7,FALSE),VLOOKUP(tables_7327!C152,input_7327!A:H,8,FALSE))</f>
        <v>194000</v>
      </c>
      <c r="P152" s="46">
        <f t="shared" si="7"/>
        <v>1.3333333333337006E-3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>
        <f>input_7327!A$2</f>
        <v>7327010</v>
      </c>
      <c r="B153" s="9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>IFERROR(VLOOKUP(B153,input_7327!L:R,7,FALSE),VLOOKUP(tables_7327!C153,input_7327!A:H,8,FALSE))</f>
        <v>0</v>
      </c>
      <c r="P153" s="46">
        <f t="shared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>
        <f>input_7327!A$2</f>
        <v>7327010</v>
      </c>
      <c r="B154" s="9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>IFERROR(VLOOKUP(B154,input_7327!L:R,7,FALSE),VLOOKUP(tables_7327!C154,input_7327!A:H,8,FALSE))</f>
        <v>0</v>
      </c>
      <c r="P154" s="46">
        <f t="shared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>
        <f>input_7327!A$2</f>
        <v>7327010</v>
      </c>
      <c r="B155" s="9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>IFERROR(VLOOKUP(B155,input_7327!L:R,7,FALSE),VLOOKUP(tables_7327!C155,input_7327!A:H,8,FALSE))</f>
        <v>1632980.76923</v>
      </c>
      <c r="P155" s="46">
        <f t="shared" si="7"/>
        <v>1.1223235527357043E-2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>
        <f>input_7327!A$2</f>
        <v>7327010</v>
      </c>
      <c r="B156" s="9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>IFERROR(VLOOKUP(B156,input_7327!L:R,7,FALSE),VLOOKUP(tables_7327!C156,input_7327!A:H,8,FALSE))</f>
        <v>0</v>
      </c>
      <c r="P156" s="46">
        <f t="shared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>
        <f>input_7327!A$2</f>
        <v>7327010</v>
      </c>
      <c r="B157" s="9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>IFERROR(VLOOKUP(B157,input_7327!L:R,7,FALSE),VLOOKUP(tables_7327!C157,input_7327!A:H,8,FALSE))</f>
        <v>194000</v>
      </c>
      <c r="P157" s="46">
        <f t="shared" si="7"/>
        <v>1.3333333333337006E-3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>
        <f>input_7327!A$2</f>
        <v>7327010</v>
      </c>
      <c r="B158" s="9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>IFERROR(VLOOKUP(B158,input_7327!L:R,7,FALSE),VLOOKUP(tables_7327!C158,input_7327!A:H,8,FALSE))</f>
        <v>0</v>
      </c>
      <c r="P158" s="46">
        <f t="shared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>
        <f>input_7327!A$2</f>
        <v>7327010</v>
      </c>
      <c r="B159" s="9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>IFERROR(VLOOKUP(B159,input_7327!L:R,7,FALSE),VLOOKUP(tables_7327!C159,input_7327!A:H,8,FALSE))</f>
        <v>0</v>
      </c>
      <c r="P159" s="46">
        <f t="shared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>
        <f>input_7327!A$2</f>
        <v>7327010</v>
      </c>
      <c r="B160" s="9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>IFERROR(VLOOKUP(B160,input_7327!L:R,7,FALSE),VLOOKUP(tables_7327!C160,input_7327!A:H,8,FALSE))</f>
        <v>1632980.76923</v>
      </c>
      <c r="P160" s="46">
        <f t="shared" si="7"/>
        <v>1.1223235527357043E-2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>
        <f>input_7327!A$2</f>
        <v>7327010</v>
      </c>
      <c r="B161" s="9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>IFERROR(VLOOKUP(B161,input_7327!L:R,7,FALSE),VLOOKUP(tables_7327!C161,input_7327!A:H,8,FALSE))</f>
        <v>0</v>
      </c>
      <c r="P161" s="46">
        <f t="shared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>
        <f>input_7327!A$2</f>
        <v>7327010</v>
      </c>
      <c r="B162" s="9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>IFERROR(VLOOKUP(B162,input_7327!L:R,7,FALSE),VLOOKUP(tables_7327!C162,input_7327!A:H,8,FALSE))</f>
        <v>0</v>
      </c>
      <c r="P162" s="46">
        <f t="shared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>
        <f>input_7327!A$2</f>
        <v>7327010</v>
      </c>
      <c r="B163" s="9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>IFERROR(VLOOKUP(B163,input_7327!L:R,7,FALSE),VLOOKUP(tables_7327!C163,input_7327!A:H,8,FALSE))</f>
        <v>1632980.76923</v>
      </c>
      <c r="P163" s="46">
        <f t="shared" si="7"/>
        <v>1.1223235527357043E-2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>
        <f>input_7327!A$2</f>
        <v>7327010</v>
      </c>
      <c r="B164" s="9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>IFERROR(VLOOKUP(B164,input_7327!L:R,7,FALSE),VLOOKUP(tables_7327!C164,input_7327!A:H,8,FALSE))</f>
        <v>0</v>
      </c>
      <c r="P164" s="46">
        <f t="shared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>
        <f>input_7327!A$2</f>
        <v>7327010</v>
      </c>
      <c r="B165" s="9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>IFERROR(VLOOKUP(B165,input_7327!L:R,7,FALSE),VLOOKUP(tables_7327!C165,input_7327!A:H,8,FALSE))</f>
        <v>194000</v>
      </c>
      <c r="P165" s="46">
        <f t="shared" si="7"/>
        <v>1.3333333333337006E-3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>
        <f>input_7327!A$2</f>
        <v>7327010</v>
      </c>
      <c r="B166" s="9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>IFERROR(VLOOKUP(B166,input_7327!L:R,7,FALSE),VLOOKUP(tables_7327!C166,input_7327!A:H,8,FALSE))</f>
        <v>0</v>
      </c>
      <c r="P166" s="46">
        <f t="shared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>
        <f>input_7327!A$2</f>
        <v>7327010</v>
      </c>
      <c r="B167" s="9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>IFERROR(VLOOKUP(B167,input_7327!L:R,7,FALSE),VLOOKUP(tables_7327!C167,input_7327!A:H,8,FALSE))</f>
        <v>0</v>
      </c>
      <c r="P167" s="46">
        <f t="shared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>
        <f>input_7327!A$2</f>
        <v>7327010</v>
      </c>
      <c r="B168" s="9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>IFERROR(VLOOKUP(B168,input_7327!L:R,7,FALSE),VLOOKUP(tables_7327!C168,input_7327!A:H,8,FALSE))</f>
        <v>1632980.76923</v>
      </c>
      <c r="P168" s="46">
        <f t="shared" si="7"/>
        <v>1.1223235527357043E-2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>
        <f>input_7327!A$2</f>
        <v>7327010</v>
      </c>
      <c r="B169" s="9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>IFERROR(VLOOKUP(B169,input_7327!L:R,7,FALSE),VLOOKUP(tables_7327!C169,input_7327!A:H,8,FALSE))</f>
        <v>0</v>
      </c>
      <c r="P169" s="46">
        <f t="shared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>
        <f>input_7327!A$2</f>
        <v>7327010</v>
      </c>
      <c r="B170" s="9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>IFERROR(VLOOKUP(B170,input_7327!L:R,7,FALSE),VLOOKUP(tables_7327!C170,input_7327!A:H,8,FALSE))</f>
        <v>194000</v>
      </c>
      <c r="P170" s="46">
        <f t="shared" si="7"/>
        <v>1.3333333333337006E-3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>
        <f>input_7327!A$2</f>
        <v>7327010</v>
      </c>
      <c r="B171" s="9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>IFERROR(VLOOKUP(B171,input_7327!L:R,7,FALSE),VLOOKUP(tables_7327!C171,input_7327!A:H,8,FALSE))</f>
        <v>0</v>
      </c>
      <c r="P171" s="46">
        <f t="shared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>
        <f>input_7327!A$2</f>
        <v>7327010</v>
      </c>
      <c r="B172" s="9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>IFERROR(VLOOKUP(B172,input_7327!L:R,7,FALSE),VLOOKUP(tables_7327!C172,input_7327!A:H,8,FALSE))</f>
        <v>0</v>
      </c>
      <c r="P172" s="46">
        <f t="shared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>
        <f>input_7327!A$2</f>
        <v>7327010</v>
      </c>
      <c r="B173" s="9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>IFERROR(VLOOKUP(B173,input_7327!L:R,7,FALSE),VLOOKUP(tables_7327!C173,input_7327!A:H,8,FALSE))</f>
        <v>1632980.76923</v>
      </c>
      <c r="P173" s="46">
        <f t="shared" si="7"/>
        <v>1.1223235527357043E-2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>
        <f>input_7327!A$2</f>
        <v>7327010</v>
      </c>
      <c r="B174" s="9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>IFERROR(VLOOKUP(B174,input_7327!L:R,7,FALSE),VLOOKUP(tables_7327!C174,input_7327!A:H,8,FALSE))</f>
        <v>0</v>
      </c>
      <c r="P174" s="46">
        <f t="shared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>
        <f>input_7327!A$2</f>
        <v>7327010</v>
      </c>
      <c r="B175" s="9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>IFERROR(VLOOKUP(B175,input_7327!L:R,7,FALSE),VLOOKUP(tables_7327!C175,input_7327!A:H,8,FALSE))</f>
        <v>194000</v>
      </c>
      <c r="P175" s="46">
        <f t="shared" si="7"/>
        <v>1.3333333333337006E-3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>
        <f>input_7327!A$2</f>
        <v>7327010</v>
      </c>
      <c r="B176" s="9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>IFERROR(VLOOKUP(B176,input_7327!L:R,7,FALSE),VLOOKUP(tables_7327!C176,input_7327!A:H,8,FALSE))</f>
        <v>0</v>
      </c>
      <c r="P176" s="46">
        <f t="shared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>
        <f>input_7327!A$2</f>
        <v>7327010</v>
      </c>
      <c r="B177" s="9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>IFERROR(VLOOKUP(B177,input_7327!L:R,7,FALSE),VLOOKUP(tables_7327!C177,input_7327!A:H,8,FALSE))</f>
        <v>194000</v>
      </c>
      <c r="P177" s="46">
        <f t="shared" si="7"/>
        <v>1.3333333333337006E-3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>
        <f>input_7327!A$2</f>
        <v>7327010</v>
      </c>
      <c r="B178" s="9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>IFERROR(VLOOKUP(B178,input_7327!L:R,7,FALSE),VLOOKUP(tables_7327!C178,input_7327!A:H,8,FALSE))</f>
        <v>0</v>
      </c>
      <c r="P178" s="46">
        <f t="shared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>
        <f>input_7327!A$2</f>
        <v>7327010</v>
      </c>
      <c r="B179" s="9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>IFERROR(VLOOKUP(B179,input_7327!L:R,7,FALSE),VLOOKUP(tables_7327!C179,input_7327!A:H,8,FALSE))</f>
        <v>0</v>
      </c>
      <c r="P179" s="46">
        <f t="shared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>
        <f>input_7327!A$2</f>
        <v>7327010</v>
      </c>
      <c r="B180" s="9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>IFERROR(VLOOKUP(B180,input_7327!L:R,7,FALSE),VLOOKUP(tables_7327!C180,input_7327!A:H,8,FALSE))</f>
        <v>1632980.76923</v>
      </c>
      <c r="P180" s="46">
        <f t="shared" si="7"/>
        <v>1.1223235527357043E-2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>
        <f>input_7327!A$2</f>
        <v>7327010</v>
      </c>
      <c r="B181" s="9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>IFERROR(VLOOKUP(B181,input_7327!L:R,7,FALSE),VLOOKUP(tables_7327!C181,input_7327!A:H,8,FALSE))</f>
        <v>0</v>
      </c>
      <c r="P181" s="46">
        <f t="shared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>
        <f>input_7327!A$2</f>
        <v>7327010</v>
      </c>
      <c r="B182" s="9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>IFERROR(VLOOKUP(B182,input_7327!L:R,7,FALSE),VLOOKUP(tables_7327!C182,input_7327!A:H,8,FALSE))</f>
        <v>0</v>
      </c>
      <c r="P182" s="46">
        <f t="shared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>
        <f>input_7327!A$2</f>
        <v>7327010</v>
      </c>
      <c r="B183" s="9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>IFERROR(VLOOKUP(B183,input_7327!L:R,7,FALSE),VLOOKUP(tables_7327!C183,input_7327!A:H,8,FALSE))</f>
        <v>1632980.76923</v>
      </c>
      <c r="P183" s="46">
        <f t="shared" si="7"/>
        <v>1.1223235527357043E-2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>
        <f>input_7327!A$2</f>
        <v>7327010</v>
      </c>
      <c r="B184" s="9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>IFERROR(VLOOKUP(B184,input_7327!L:R,7,FALSE),VLOOKUP(tables_7327!C184,input_7327!A:H,8,FALSE))</f>
        <v>0</v>
      </c>
      <c r="P184" s="46">
        <f t="shared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>
        <f>input_7327!A$2</f>
        <v>7327010</v>
      </c>
      <c r="B185" s="9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>IFERROR(VLOOKUP(B185,input_7327!L:R,7,FALSE),VLOOKUP(tables_7327!C185,input_7327!A:H,8,FALSE))</f>
        <v>194000</v>
      </c>
      <c r="P185" s="46">
        <f t="shared" si="7"/>
        <v>1.3333333333337006E-3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>
        <f>input_7327!A$2</f>
        <v>7327010</v>
      </c>
      <c r="B186" s="97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>IFERROR(VLOOKUP(B186,input_7327!L:R,7,FALSE),VLOOKUP(tables_7327!C186,input_7327!A:H,8,FALSE))</f>
        <v>0</v>
      </c>
      <c r="P186" s="46">
        <f t="shared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>
        <f>input_7327!A$2</f>
        <v>7327010</v>
      </c>
      <c r="B187" s="97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>IFERROR(VLOOKUP(B187,input_7327!L:R,7,FALSE),VLOOKUP(tables_7327!C187,input_7327!A:H,8,FALSE))</f>
        <v>0</v>
      </c>
      <c r="P187" s="46">
        <f t="shared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>
        <f>input_7327!A$2</f>
        <v>7327010</v>
      </c>
      <c r="B188" s="97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>IFERROR(VLOOKUP(B188,input_7327!L:R,7,FALSE),VLOOKUP(tables_7327!C188,input_7327!A:H,8,FALSE))</f>
        <v>1632980.76923</v>
      </c>
      <c r="P188" s="46">
        <f t="shared" si="7"/>
        <v>1.1223235527357043E-2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>
        <f>input_7327!A$2</f>
        <v>7327010</v>
      </c>
      <c r="B189" s="97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IFERROR(VLOOKUP(B189,input_7327!L:R,7,FALSE),VLOOKUP(tables_7327!C189,input_7327!A:H,8,FALSE))</f>
        <v>0</v>
      </c>
      <c r="P189" s="46">
        <f t="shared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>
        <f>input_7327!A$2</f>
        <v>7327010</v>
      </c>
      <c r="B190" s="9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IFERROR(VLOOKUP(B190,input_7327!L:R,7,FALSE),VLOOKUP(tables_7327!C190,input_7327!A:H,8,FALSE))</f>
        <v>194000</v>
      </c>
      <c r="P190" s="46">
        <f t="shared" si="7"/>
        <v>1.3333333333337006E-3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>
        <f>input_7327!A$2</f>
        <v>7327010</v>
      </c>
      <c r="B191" s="9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>IFERROR(VLOOKUP(B191,input_7327!L:R,7,FALSE),VLOOKUP(tables_7327!C191,input_7327!A:H,8,FALSE))</f>
        <v>0</v>
      </c>
      <c r="P191" s="46">
        <f t="shared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>
        <f>input_7327!A$2</f>
        <v>7327010</v>
      </c>
      <c r="B192" s="9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>IFERROR(VLOOKUP(B192,input_7327!L:R,7,FALSE),VLOOKUP(tables_7327!C192,input_7327!A:H,8,FALSE))</f>
        <v>194000</v>
      </c>
      <c r="P192" s="46">
        <f t="shared" si="7"/>
        <v>1.3333333333337006E-3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>
        <f>input_7327!A$2</f>
        <v>7327010</v>
      </c>
      <c r="B193" s="9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>IFERROR(VLOOKUP(B193,input_7327!L:R,7,FALSE),VLOOKUP(tables_7327!C193,input_7327!A:H,8,FALSE))</f>
        <v>0</v>
      </c>
      <c r="P193" s="46">
        <f t="shared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>
        <f>input_7327!A$2</f>
        <v>7327010</v>
      </c>
      <c r="B194" s="9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>IFERROR(VLOOKUP(B194,input_7327!L:R,7,FALSE),VLOOKUP(tables_7327!C194,input_7327!A:H,8,FALSE))</f>
        <v>0</v>
      </c>
      <c r="P194" s="46">
        <f t="shared" ref="P194:P257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>
        <f>input_7327!A$2</f>
        <v>7327010</v>
      </c>
      <c r="B195" s="9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>IFERROR(VLOOKUP(B195,input_7327!L:R,7,FALSE),VLOOKUP(tables_7327!C195,input_7327!A:H,8,FALSE))</f>
        <v>1632980.76923</v>
      </c>
      <c r="P195" s="46">
        <f t="shared" si="10"/>
        <v>1.1223235527357043E-2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>
        <f>input_7327!A$2</f>
        <v>7327010</v>
      </c>
      <c r="B196" s="9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>IFERROR(VLOOKUP(B196,input_7327!L:R,7,FALSE),VLOOKUP(tables_7327!C196,input_7327!A:H,8,FALSE))</f>
        <v>0</v>
      </c>
      <c r="P196" s="46">
        <f t="shared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>
        <f>input_7327!A$2</f>
        <v>7327010</v>
      </c>
      <c r="B197" s="9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>IFERROR(VLOOKUP(B197,input_7327!L:R,7,FALSE),VLOOKUP(tables_7327!C197,input_7327!A:H,8,FALSE))</f>
        <v>194000</v>
      </c>
      <c r="P197" s="46">
        <f t="shared" si="10"/>
        <v>1.3333333333337006E-3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>
        <f>input_7327!A$2</f>
        <v>7327010</v>
      </c>
      <c r="B198" s="9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>IFERROR(VLOOKUP(B198,input_7327!L:R,7,FALSE),VLOOKUP(tables_7327!C198,input_7327!A:H,8,FALSE))</f>
        <v>0</v>
      </c>
      <c r="P198" s="46">
        <f t="shared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>
        <f>input_7327!A$2</f>
        <v>7327010</v>
      </c>
      <c r="B199" s="9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>IFERROR(VLOOKUP(B199,input_7327!L:R,7,FALSE),VLOOKUP(tables_7327!C199,input_7327!A:H,8,FALSE))</f>
        <v>0</v>
      </c>
      <c r="P199" s="46">
        <f t="shared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>
        <f>input_7327!A$2</f>
        <v>7327010</v>
      </c>
      <c r="B200" s="9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>IFERROR(VLOOKUP(B200,input_7327!L:R,7,FALSE),VLOOKUP(tables_7327!C200,input_7327!A:H,8,FALSE))</f>
        <v>1632980.76923</v>
      </c>
      <c r="P200" s="46">
        <f t="shared" si="10"/>
        <v>1.1223235527357043E-2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>
        <f>input_7327!A$2</f>
        <v>7327010</v>
      </c>
      <c r="B201" s="9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>IFERROR(VLOOKUP(B201,input_7327!L:R,7,FALSE),VLOOKUP(tables_7327!C201,input_7327!A:H,8,FALSE))</f>
        <v>0</v>
      </c>
      <c r="P201" s="46">
        <f t="shared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>
        <f>input_7327!A$2</f>
        <v>7327010</v>
      </c>
      <c r="B202" s="9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>IFERROR(VLOOKUP(B202,input_7327!L:R,7,FALSE),VLOOKUP(tables_7327!C202,input_7327!A:H,8,FALSE))</f>
        <v>194000</v>
      </c>
      <c r="P202" s="46">
        <f t="shared" si="10"/>
        <v>1.3333333333337006E-3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>
        <f>input_7327!A$2</f>
        <v>7327010</v>
      </c>
      <c r="B203" s="9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>IFERROR(VLOOKUP(B203,input_7327!L:R,7,FALSE),VLOOKUP(tables_7327!C203,input_7327!A:H,8,FALSE))</f>
        <v>0</v>
      </c>
      <c r="P203" s="46">
        <f t="shared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>
        <f>input_7327!A$2</f>
        <v>7327010</v>
      </c>
      <c r="B204" s="9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>IFERROR(VLOOKUP(B204,input_7327!L:R,7,FALSE),VLOOKUP(tables_7327!C204,input_7327!A:H,8,FALSE))</f>
        <v>0</v>
      </c>
      <c r="P204" s="46">
        <f t="shared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>
        <f>input_7327!A$2</f>
        <v>7327010</v>
      </c>
      <c r="B205" s="9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>IFERROR(VLOOKUP(B205,input_7327!L:R,7,FALSE),VLOOKUP(tables_7327!C205,input_7327!A:H,8,FALSE))</f>
        <v>1632980.76923</v>
      </c>
      <c r="P205" s="46">
        <f t="shared" si="10"/>
        <v>1.1223235527357043E-2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>
        <f>input_7327!A$2</f>
        <v>7327010</v>
      </c>
      <c r="B206" s="9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>IFERROR(VLOOKUP(B206,input_7327!L:R,7,FALSE),VLOOKUP(tables_7327!C206,input_7327!A:H,8,FALSE))</f>
        <v>0</v>
      </c>
      <c r="P206" s="46">
        <f t="shared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>
        <f>input_7327!A$2</f>
        <v>7327010</v>
      </c>
      <c r="B207" s="9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>IFERROR(VLOOKUP(B207,input_7327!L:R,7,FALSE),VLOOKUP(tables_7327!C207,input_7327!A:H,8,FALSE))</f>
        <v>194000</v>
      </c>
      <c r="P207" s="46">
        <f t="shared" si="10"/>
        <v>1.3333333333337006E-3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>
        <f>input_7327!A$2</f>
        <v>7327010</v>
      </c>
      <c r="B208" s="9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>IFERROR(VLOOKUP(B208,input_7327!L:R,7,FALSE),VLOOKUP(tables_7327!C208,input_7327!A:H,8,FALSE))</f>
        <v>0</v>
      </c>
      <c r="P208" s="46">
        <f t="shared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>
        <f>input_7327!A$2</f>
        <v>7327010</v>
      </c>
      <c r="B209" s="9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>IFERROR(VLOOKUP(B209,input_7327!L:R,7,FALSE),VLOOKUP(tables_7327!C209,input_7327!A:H,8,FALSE))</f>
        <v>194000</v>
      </c>
      <c r="P209" s="46">
        <f t="shared" si="10"/>
        <v>1.3333333333337006E-3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>
        <f>input_7327!A$2</f>
        <v>7327010</v>
      </c>
      <c r="B210" s="9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>IFERROR(VLOOKUP(B210,input_7327!L:R,7,FALSE),VLOOKUP(tables_7327!C210,input_7327!A:H,8,FALSE))</f>
        <v>0</v>
      </c>
      <c r="P210" s="46">
        <f t="shared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>
        <f>input_7327!A$2</f>
        <v>7327010</v>
      </c>
      <c r="B211" s="9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>IFERROR(VLOOKUP(B211,input_7327!L:R,7,FALSE),VLOOKUP(tables_7327!C211,input_7327!A:H,8,FALSE))</f>
        <v>0</v>
      </c>
      <c r="P211" s="46">
        <f t="shared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>
        <f>input_7327!A$2</f>
        <v>7327010</v>
      </c>
      <c r="B212" s="9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>IFERROR(VLOOKUP(B212,input_7327!L:R,7,FALSE),VLOOKUP(tables_7327!C212,input_7327!A:H,8,FALSE))</f>
        <v>1632980.76923</v>
      </c>
      <c r="P212" s="46">
        <f t="shared" si="10"/>
        <v>1.1223235527357043E-2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>
        <f>input_7327!A$2</f>
        <v>7327010</v>
      </c>
      <c r="B213" s="9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IFERROR(VLOOKUP(B213,input_7327!L:R,7,FALSE),VLOOKUP(tables_7327!C213,input_7327!A:H,8,FALSE))</f>
        <v>0</v>
      </c>
      <c r="P213" s="46">
        <f t="shared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>
        <f>input_7327!A$2</f>
        <v>7327010</v>
      </c>
      <c r="B214" s="9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IFERROR(VLOOKUP(B214,input_7327!L:R,7,FALSE),VLOOKUP(tables_7327!C214,input_7327!A:H,8,FALSE))</f>
        <v>194000</v>
      </c>
      <c r="P214" s="46">
        <f t="shared" si="10"/>
        <v>1.3333333333337006E-3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>
        <f>input_7327!A$2</f>
        <v>7327010</v>
      </c>
      <c r="B215" s="9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>IFERROR(VLOOKUP(B215,input_7327!L:R,7,FALSE),VLOOKUP(tables_7327!C215,input_7327!A:H,8,FALSE))</f>
        <v>1485000</v>
      </c>
      <c r="P215" s="46">
        <f t="shared" si="10"/>
        <v>1.0206185567013122E-2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>
        <f>input_7327!A$2</f>
        <v>7327010</v>
      </c>
      <c r="B216" s="9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>IFERROR(VLOOKUP(B216,input_7327!L:R,7,FALSE),VLOOKUP(tables_7327!C216,input_7327!A:H,8,FALSE))</f>
        <v>1485000</v>
      </c>
      <c r="P216" s="46">
        <f t="shared" si="10"/>
        <v>1.0206185567013122E-2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>
        <f>input_7327!A$2</f>
        <v>7327010</v>
      </c>
      <c r="B217" s="9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>IFERROR(VLOOKUP(B217,input_7327!L:R,7,FALSE),VLOOKUP(tables_7327!C217,input_7327!A:H,8,FALSE))</f>
        <v>1485000</v>
      </c>
      <c r="P217" s="46">
        <f t="shared" si="10"/>
        <v>1.0206185567013122E-2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>
        <f>input_7327!A$2</f>
        <v>7327010</v>
      </c>
      <c r="B218" s="9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>IFERROR(VLOOKUP(B218,input_7327!L:R,7,FALSE),VLOOKUP(tables_7327!C218,input_7327!A:H,8,FALSE))</f>
        <v>1485000</v>
      </c>
      <c r="P218" s="46">
        <f t="shared" si="10"/>
        <v>1.0206185567013122E-2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>
        <f>input_7327!A$2</f>
        <v>7327010</v>
      </c>
      <c r="B219" s="9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>IFERROR(VLOOKUP(B219,input_7327!L:R,7,FALSE),VLOOKUP(tables_7327!C219,input_7327!A:H,8,FALSE))</f>
        <v>1485000</v>
      </c>
      <c r="P219" s="46">
        <f t="shared" si="10"/>
        <v>1.0206185567013122E-2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>
        <f>input_7327!A$2</f>
        <v>7327010</v>
      </c>
      <c r="B220" s="9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>IFERROR(VLOOKUP(B220,input_7327!L:R,7,FALSE),VLOOKUP(tables_7327!C220,input_7327!A:H,8,FALSE))</f>
        <v>1485000</v>
      </c>
      <c r="P220" s="46">
        <f t="shared" si="10"/>
        <v>1.0206185567013122E-2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>
        <f>input_7327!A$2</f>
        <v>7327010</v>
      </c>
      <c r="B221" s="9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>IFERROR(VLOOKUP(B221,input_7327!L:R,7,FALSE),VLOOKUP(tables_7327!C221,input_7327!A:H,8,FALSE))</f>
        <v>0</v>
      </c>
      <c r="P221" s="46">
        <f t="shared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>
        <f>input_7327!A$2</f>
        <v>7327010</v>
      </c>
      <c r="B222" s="9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>IFERROR(VLOOKUP(B222,input_7327!L:R,7,FALSE),VLOOKUP(tables_7327!C222,input_7327!A:H,8,FALSE))</f>
        <v>194000</v>
      </c>
      <c r="P222" s="46">
        <f t="shared" si="10"/>
        <v>1.3333333333337006E-3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>
        <f>input_7327!A$2</f>
        <v>7327010</v>
      </c>
      <c r="B223" s="9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>IFERROR(VLOOKUP(B223,input_7327!L:R,7,FALSE),VLOOKUP(tables_7327!C223,input_7327!A:H,8,FALSE))</f>
        <v>0</v>
      </c>
      <c r="P223" s="46">
        <f t="shared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>
        <f>input_7327!A$2</f>
        <v>7327010</v>
      </c>
      <c r="B224" s="9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>IFERROR(VLOOKUP(B224,input_7327!L:R,7,FALSE),VLOOKUP(tables_7327!C224,input_7327!A:H,8,FALSE))</f>
        <v>0</v>
      </c>
      <c r="P224" s="46">
        <f t="shared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>
        <f>input_7327!A$2</f>
        <v>7327010</v>
      </c>
      <c r="B225" s="9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>IFERROR(VLOOKUP(B225,input_7327!L:R,7,FALSE),VLOOKUP(tables_7327!C225,input_7327!A:H,8,FALSE))</f>
        <v>1632980.76923</v>
      </c>
      <c r="P225" s="46">
        <f t="shared" si="10"/>
        <v>1.1223235527357043E-2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>
        <f>input_7327!A$2</f>
        <v>7327010</v>
      </c>
      <c r="B226" s="9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>IFERROR(VLOOKUP(B226,input_7327!L:R,7,FALSE),VLOOKUP(tables_7327!C226,input_7327!A:H,8,FALSE))</f>
        <v>0</v>
      </c>
      <c r="P226" s="46">
        <f t="shared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>
        <f>input_7327!A$2</f>
        <v>7327010</v>
      </c>
      <c r="B227" s="9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>IFERROR(VLOOKUP(B227,input_7327!L:R,7,FALSE),VLOOKUP(tables_7327!C227,input_7327!A:H,8,FALSE))</f>
        <v>0</v>
      </c>
      <c r="P227" s="46">
        <f t="shared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>
        <f>input_7327!A$2</f>
        <v>7327010</v>
      </c>
      <c r="B228" s="9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>IFERROR(VLOOKUP(B228,input_7327!L:R,7,FALSE),VLOOKUP(tables_7327!C228,input_7327!A:H,8,FALSE))</f>
        <v>1632980.76923</v>
      </c>
      <c r="P228" s="46">
        <f t="shared" si="10"/>
        <v>1.1223235527357043E-2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>
        <f>input_7327!A$2</f>
        <v>7327010</v>
      </c>
      <c r="B229" s="9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>IFERROR(VLOOKUP(B229,input_7327!L:R,7,FALSE),VLOOKUP(tables_7327!C229,input_7327!A:H,8,FALSE))</f>
        <v>0</v>
      </c>
      <c r="P229" s="46">
        <f t="shared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>
        <f>input_7327!A$2</f>
        <v>7327010</v>
      </c>
      <c r="B230" s="9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>IFERROR(VLOOKUP(B230,input_7327!L:R,7,FALSE),VLOOKUP(tables_7327!C230,input_7327!A:H,8,FALSE))</f>
        <v>194000</v>
      </c>
      <c r="P230" s="46">
        <f t="shared" si="10"/>
        <v>1.3333333333337006E-3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>
        <f>input_7327!A$2</f>
        <v>7327010</v>
      </c>
      <c r="B231" s="9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>IFERROR(VLOOKUP(B231,input_7327!L:R,7,FALSE),VLOOKUP(tables_7327!C231,input_7327!A:H,8,FALSE))</f>
        <v>0</v>
      </c>
      <c r="P231" s="46">
        <f t="shared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>
        <f>input_7327!A$2</f>
        <v>7327010</v>
      </c>
      <c r="B232" s="9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>IFERROR(VLOOKUP(B232,input_7327!L:R,7,FALSE),VLOOKUP(tables_7327!C232,input_7327!A:H,8,FALSE))</f>
        <v>0</v>
      </c>
      <c r="P232" s="46">
        <f t="shared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>
        <f>input_7327!A$2</f>
        <v>7327010</v>
      </c>
      <c r="B233" s="9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>IFERROR(VLOOKUP(B233,input_7327!L:R,7,FALSE),VLOOKUP(tables_7327!C233,input_7327!A:H,8,FALSE))</f>
        <v>1632980.76923</v>
      </c>
      <c r="P233" s="46">
        <f t="shared" si="10"/>
        <v>1.1223235527357043E-2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>
        <f>input_7327!A$2</f>
        <v>7327010</v>
      </c>
      <c r="B234" s="9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>IFERROR(VLOOKUP(B234,input_7327!L:R,7,FALSE),VLOOKUP(tables_7327!C234,input_7327!A:H,8,FALSE))</f>
        <v>0</v>
      </c>
      <c r="P234" s="46">
        <f t="shared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>
        <f>input_7327!A$2</f>
        <v>7327010</v>
      </c>
      <c r="B235" s="9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>IFERROR(VLOOKUP(B235,input_7327!L:R,7,FALSE),VLOOKUP(tables_7327!C235,input_7327!A:H,8,FALSE))</f>
        <v>0</v>
      </c>
      <c r="P235" s="46">
        <f t="shared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>
        <f>input_7327!A$2</f>
        <v>7327010</v>
      </c>
      <c r="B236" s="9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>IFERROR(VLOOKUP(B236,input_7327!L:R,7,FALSE),VLOOKUP(tables_7327!C236,input_7327!A:H,8,FALSE))</f>
        <v>1632980.76923</v>
      </c>
      <c r="P236" s="46">
        <f t="shared" si="10"/>
        <v>1.1223235527357043E-2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>
        <f>input_7327!A$2</f>
        <v>7327010</v>
      </c>
      <c r="B237" s="9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>IFERROR(VLOOKUP(B237,input_7327!L:R,7,FALSE),VLOOKUP(tables_7327!C237,input_7327!A:H,8,FALSE))</f>
        <v>0</v>
      </c>
      <c r="P237" s="46">
        <f t="shared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>
        <f>input_7327!A$2</f>
        <v>7327010</v>
      </c>
      <c r="B238" s="9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>IFERROR(VLOOKUP(B238,input_7327!L:R,7,FALSE),VLOOKUP(tables_7327!C238,input_7327!A:H,8,FALSE))</f>
        <v>194000</v>
      </c>
      <c r="P238" s="46">
        <f t="shared" si="10"/>
        <v>1.3333333333337006E-3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>
        <f>input_7327!A$2</f>
        <v>7327010</v>
      </c>
      <c r="B239" s="9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>IFERROR(VLOOKUP(B239,input_7327!L:R,7,FALSE),VLOOKUP(tables_7327!C239,input_7327!A:H,8,FALSE))</f>
        <v>0</v>
      </c>
      <c r="P239" s="46">
        <f t="shared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>
        <f>input_7327!A$2</f>
        <v>7327010</v>
      </c>
      <c r="B240" s="9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>IFERROR(VLOOKUP(B240,input_7327!L:R,7,FALSE),VLOOKUP(tables_7327!C240,input_7327!A:H,8,FALSE))</f>
        <v>0</v>
      </c>
      <c r="P240" s="46">
        <f t="shared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>
        <f>input_7327!A$2</f>
        <v>7327010</v>
      </c>
      <c r="B241" s="9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>IFERROR(VLOOKUP(B241,input_7327!L:R,7,FALSE),VLOOKUP(tables_7327!C241,input_7327!A:H,8,FALSE))</f>
        <v>1632980.76923</v>
      </c>
      <c r="P241" s="46">
        <f t="shared" si="10"/>
        <v>1.1223235527357043E-2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>
        <f>input_7327!A$2</f>
        <v>7327010</v>
      </c>
      <c r="B242" s="9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>IFERROR(VLOOKUP(B242,input_7327!L:R,7,FALSE),VLOOKUP(tables_7327!C242,input_7327!A:H,8,FALSE))</f>
        <v>0</v>
      </c>
      <c r="P242" s="46">
        <f t="shared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>
        <f>input_7327!A$2</f>
        <v>7327010</v>
      </c>
      <c r="B243" s="9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>IFERROR(VLOOKUP(B243,input_7327!L:R,7,FALSE),VLOOKUP(tables_7327!C243,input_7327!A:H,8,FALSE))</f>
        <v>194000</v>
      </c>
      <c r="P243" s="46">
        <f t="shared" si="10"/>
        <v>1.3333333333337006E-3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>
        <f>input_7327!A$2</f>
        <v>7327010</v>
      </c>
      <c r="B244" s="9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>IFERROR(VLOOKUP(B244,input_7327!L:R,7,FALSE),VLOOKUP(tables_7327!C244,input_7327!A:H,8,FALSE))</f>
        <v>0</v>
      </c>
      <c r="P244" s="46">
        <f t="shared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>
        <f>input_7327!A$2</f>
        <v>7327010</v>
      </c>
      <c r="B245" s="96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>IFERROR(VLOOKUP(B245,input_7327!L:R,7,FALSE),VLOOKUP(tables_7327!C245,input_7327!A:H,8,FALSE))</f>
        <v>194000</v>
      </c>
      <c r="P245" s="46">
        <f t="shared" si="10"/>
        <v>1.3333333333337006E-3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>
        <f>input_7327!A$2</f>
        <v>7327010</v>
      </c>
      <c r="B246" s="96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>IFERROR(VLOOKUP(B246,input_7327!L:R,7,FALSE),VLOOKUP(tables_7327!C246,input_7327!A:H,8,FALSE))</f>
        <v>0</v>
      </c>
      <c r="P246" s="46">
        <f t="shared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>
        <f>input_7327!A$2</f>
        <v>7327010</v>
      </c>
      <c r="B247" s="96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>IFERROR(VLOOKUP(B247,input_7327!L:R,7,FALSE),VLOOKUP(tables_7327!C247,input_7327!A:H,8,FALSE))</f>
        <v>0</v>
      </c>
      <c r="P247" s="46">
        <f t="shared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>
        <f>input_7327!A$2</f>
        <v>7327010</v>
      </c>
      <c r="B248" s="96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>IFERROR(VLOOKUP(B248,input_7327!L:R,7,FALSE),VLOOKUP(tables_7327!C248,input_7327!A:H,8,FALSE))</f>
        <v>1632980.76923</v>
      </c>
      <c r="P248" s="46">
        <f t="shared" si="10"/>
        <v>1.1223235527357043E-2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>
        <f>input_7327!A$2</f>
        <v>7327010</v>
      </c>
      <c r="B249" s="96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>IFERROR(VLOOKUP(B249,input_7327!L:R,7,FALSE),VLOOKUP(tables_7327!C249,input_7327!A:H,8,FALSE))</f>
        <v>0</v>
      </c>
      <c r="P249" s="46">
        <f t="shared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>
        <f>input_7327!A$2</f>
        <v>7327010</v>
      </c>
      <c r="B250" s="96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>IFERROR(VLOOKUP(B250,input_7327!L:R,7,FALSE),VLOOKUP(tables_7327!C250,input_7327!A:H,8,FALSE))</f>
        <v>0</v>
      </c>
      <c r="P250" s="46">
        <f t="shared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>
        <f>input_7327!A$2</f>
        <v>7327010</v>
      </c>
      <c r="B251" s="96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>IFERROR(VLOOKUP(B251,input_7327!L:R,7,FALSE),VLOOKUP(tables_7327!C251,input_7327!A:H,8,FALSE))</f>
        <v>1632980.76923</v>
      </c>
      <c r="P251" s="46">
        <f t="shared" si="10"/>
        <v>1.1223235527357043E-2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>
        <f>input_7327!A$2</f>
        <v>7327010</v>
      </c>
      <c r="B252" s="96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>IFERROR(VLOOKUP(B252,input_7327!L:R,7,FALSE),VLOOKUP(tables_7327!C252,input_7327!A:H,8,FALSE))</f>
        <v>0</v>
      </c>
      <c r="P252" s="46">
        <f t="shared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>
        <f>input_7327!A$2</f>
        <v>7327010</v>
      </c>
      <c r="B253" s="96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>IFERROR(VLOOKUP(B253,input_7327!L:R,7,FALSE),VLOOKUP(tables_7327!C253,input_7327!A:H,8,FALSE))</f>
        <v>0</v>
      </c>
      <c r="P253" s="46">
        <f t="shared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>
        <f>input_7327!A$2</f>
        <v>7327010</v>
      </c>
      <c r="B254" s="96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>IFERROR(VLOOKUP(B254,input_7327!L:R,7,FALSE),VLOOKUP(tables_7327!C254,input_7327!A:H,8,FALSE))</f>
        <v>1632980.76923</v>
      </c>
      <c r="P254" s="46">
        <f t="shared" si="10"/>
        <v>1.1223235527357043E-2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>
        <f>input_7327!A$2</f>
        <v>7327010</v>
      </c>
      <c r="B255" s="96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>IFERROR(VLOOKUP(B255,input_7327!L:R,7,FALSE),VLOOKUP(tables_7327!C255,input_7327!A:H,8,FALSE))</f>
        <v>0</v>
      </c>
      <c r="P255" s="46">
        <f t="shared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>
        <f>input_7327!A$2</f>
        <v>7327010</v>
      </c>
      <c r="B256" s="96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>IFERROR(VLOOKUP(B256,input_7327!L:R,7,FALSE),VLOOKUP(tables_7327!C256,input_7327!A:H,8,FALSE))</f>
        <v>0</v>
      </c>
      <c r="P256" s="46">
        <f t="shared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>
        <f>input_7327!A$2</f>
        <v>7327010</v>
      </c>
      <c r="B257" s="96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>IFERROR(VLOOKUP(B257,input_7327!L:R,7,FALSE),VLOOKUP(tables_7327!C257,input_7327!A:H,8,FALSE))</f>
        <v>1632980.76923</v>
      </c>
      <c r="P257" s="46">
        <f t="shared" si="10"/>
        <v>1.1223235527357043E-2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>
        <f>input_7327!A$2</f>
        <v>7327010</v>
      </c>
      <c r="B258" s="96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>IFERROR(VLOOKUP(B258,input_7327!L:R,7,FALSE),VLOOKUP(tables_7327!C258,input_7327!A:H,8,FALSE))</f>
        <v>0</v>
      </c>
      <c r="P258" s="46">
        <f t="shared" ref="P258:P32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>
        <f>input_7327!A$2</f>
        <v>7327010</v>
      </c>
      <c r="B259" s="96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>IFERROR(VLOOKUP(B259,input_7327!L:R,7,FALSE),VLOOKUP(tables_7327!C259,input_7327!A:H,8,FALSE))</f>
        <v>194000</v>
      </c>
      <c r="P259" s="46">
        <f t="shared" si="13"/>
        <v>1.3333333333337006E-3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>
        <f>input_7327!A$2</f>
        <v>7327010</v>
      </c>
      <c r="B260" s="96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>IFERROR(VLOOKUP(B260,input_7327!L:R,7,FALSE),VLOOKUP(tables_7327!C260,input_7327!A:H,8,FALSE))</f>
        <v>0</v>
      </c>
      <c r="P260" s="46">
        <f t="shared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>
        <f>input_7327!A$2</f>
        <v>7327010</v>
      </c>
      <c r="B261" s="96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>IFERROR(VLOOKUP(B261,input_7327!L:R,7,FALSE),VLOOKUP(tables_7327!C261,input_7327!A:H,8,FALSE))</f>
        <v>194000</v>
      </c>
      <c r="P261" s="46">
        <f t="shared" si="13"/>
        <v>1.3333333333337006E-3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>
        <f>input_7327!A$2</f>
        <v>7327010</v>
      </c>
      <c r="B262" s="96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>IFERROR(VLOOKUP(B262,input_7327!L:R,7,FALSE),VLOOKUP(tables_7327!C262,input_7327!A:H,8,FALSE))</f>
        <v>0</v>
      </c>
      <c r="P262" s="46">
        <f t="shared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>
        <f>input_7327!A$2</f>
        <v>7327010</v>
      </c>
      <c r="B263" s="96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>IFERROR(VLOOKUP(B263,input_7327!L:R,7,FALSE),VLOOKUP(tables_7327!C263,input_7327!A:H,8,FALSE))</f>
        <v>1485000</v>
      </c>
      <c r="P263" s="46">
        <f t="shared" si="13"/>
        <v>1.0206185567013122E-2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>
        <f>input_7327!A$2</f>
        <v>7327010</v>
      </c>
      <c r="B264" s="96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>IFERROR(VLOOKUP(B264,input_7327!L:R,7,FALSE),VLOOKUP(tables_7327!C264,input_7327!A:H,8,FALSE))</f>
        <v>0</v>
      </c>
      <c r="P264" s="46">
        <f t="shared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>
        <f>input_7327!A$2</f>
        <v>7327010</v>
      </c>
      <c r="B265" s="96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>IFERROR(VLOOKUP(B265,input_7327!L:R,7,FALSE),VLOOKUP(tables_7327!C265,input_7327!A:H,8,FALSE))</f>
        <v>1485000</v>
      </c>
      <c r="P265" s="46">
        <f t="shared" si="13"/>
        <v>1.0206185567013122E-2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>
        <f>input_7327!A$2</f>
        <v>7327010</v>
      </c>
      <c r="B266" s="96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>IFERROR(VLOOKUP(B266,input_7327!L:R,7,FALSE),VLOOKUP(tables_7327!C266,input_7327!A:H,8,FALSE))</f>
        <v>194000</v>
      </c>
      <c r="P266" s="46">
        <f t="shared" si="13"/>
        <v>1.3333333333337006E-3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>
        <f>input_7327!A$2</f>
        <v>7327010</v>
      </c>
      <c r="B267" s="96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>IFERROR(VLOOKUP(B267,input_7327!L:R,7,FALSE),VLOOKUP(tables_7327!C267,input_7327!A:H,8,FALSE))</f>
        <v>194000</v>
      </c>
      <c r="P267" s="46">
        <f t="shared" si="13"/>
        <v>1.3333333333337006E-3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>
        <f>input_7327!A$2</f>
        <v>7327010</v>
      </c>
      <c r="B268" s="96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>IFERROR(VLOOKUP(B268,input_7327!L:R,7,FALSE),VLOOKUP(tables_7327!C268,input_7327!A:H,8,FALSE))</f>
        <v>194000</v>
      </c>
      <c r="P268" s="46">
        <f t="shared" si="13"/>
        <v>1.3333333333337006E-3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>
        <f>input_7327!A$2</f>
        <v>7327010</v>
      </c>
      <c r="B269" s="96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>IFERROR(VLOOKUP(B269,input_7327!L:R,7,FALSE),VLOOKUP(tables_7327!C269,input_7327!A:H,8,FALSE))</f>
        <v>194000</v>
      </c>
      <c r="P269" s="46">
        <f t="shared" si="13"/>
        <v>1.3333333333337006E-3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>
        <f>input_7327!A$2</f>
        <v>7327010</v>
      </c>
      <c r="B270" s="96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>IFERROR(VLOOKUP(B270,input_7327!L:R,7,FALSE),VLOOKUP(tables_7327!C270,input_7327!A:H,8,FALSE))</f>
        <v>0</v>
      </c>
      <c r="P270" s="46">
        <f t="shared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>
        <f>input_7327!A$2</f>
        <v>7327010</v>
      </c>
      <c r="B271" s="98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>IFERROR(VLOOKUP(B271,input_7327!L:R,7,FALSE),VLOOKUP(tables_7327!C271,input_7327!A:H,8,FALSE))</f>
        <v>1485000</v>
      </c>
      <c r="P271" s="46">
        <f t="shared" si="13"/>
        <v>1.0206185567013122E-2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>
        <f>input_7327!A$2</f>
        <v>7327010</v>
      </c>
      <c r="B272" s="98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>IFERROR(VLOOKUP(B272,input_7327!L:R,7,FALSE),VLOOKUP(tables_7327!C272,input_7327!A:H,8,FALSE))</f>
        <v>0</v>
      </c>
      <c r="P272" s="46">
        <f t="shared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>
        <f>input_7327!A$2</f>
        <v>7327010</v>
      </c>
      <c r="B273" s="98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>IFERROR(VLOOKUP(B273,input_7327!L:R,7,FALSE),VLOOKUP(tables_7327!C273,input_7327!A:H,8,FALSE))</f>
        <v>1485000</v>
      </c>
      <c r="P273" s="46">
        <f t="shared" si="13"/>
        <v>1.0206185567013122E-2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>
        <f>input_7327!A$2</f>
        <v>7327010</v>
      </c>
      <c r="B274" s="98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>IFERROR(VLOOKUP(B274,input_7327!L:R,7,FALSE),VLOOKUP(tables_7327!C274,input_7327!A:H,8,FALSE))</f>
        <v>0</v>
      </c>
      <c r="P274" s="46">
        <f t="shared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>
        <f>input_7327!A$2</f>
        <v>7327010</v>
      </c>
      <c r="B275" s="98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>IFERROR(VLOOKUP(B275,input_7327!L:R,7,FALSE),VLOOKUP(tables_7327!C275,input_7327!A:H,8,FALSE))</f>
        <v>194000</v>
      </c>
      <c r="P275" s="46">
        <f t="shared" si="13"/>
        <v>1.3333333333337006E-3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>
        <f>input_7327!A$2</f>
        <v>7327010</v>
      </c>
      <c r="B276" s="98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>IFERROR(VLOOKUP(B276,input_7327!L:R,7,FALSE),VLOOKUP(tables_7327!C276,input_7327!A:H,8,FALSE))</f>
        <v>0</v>
      </c>
      <c r="P276" s="46">
        <f t="shared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>
        <f>input_7327!A$2</f>
        <v>7327010</v>
      </c>
      <c r="B277" s="98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>IFERROR(VLOOKUP(B277,input_7327!L:R,7,FALSE),VLOOKUP(tables_7327!C277,input_7327!A:H,8,FALSE))</f>
        <v>194000</v>
      </c>
      <c r="P277" s="46">
        <f t="shared" si="13"/>
        <v>1.3333333333337006E-3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>
        <f>input_7327!A$2</f>
        <v>7327010</v>
      </c>
      <c r="B278" s="98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>IFERROR(VLOOKUP(B278,input_7327!L:R,7,FALSE),VLOOKUP(tables_7327!C278,input_7327!A:H,8,FALSE))</f>
        <v>0</v>
      </c>
      <c r="P278" s="46">
        <f t="shared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>
        <f>input_7327!A$2</f>
        <v>7327010</v>
      </c>
      <c r="B279" s="98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>IFERROR(VLOOKUP(B279,input_7327!L:R,7,FALSE),VLOOKUP(tables_7327!C279,input_7327!A:H,8,FALSE))</f>
        <v>0</v>
      </c>
      <c r="P279" s="46">
        <f t="shared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>
        <f>input_7327!A$2</f>
        <v>7327010</v>
      </c>
      <c r="B280" s="98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>IFERROR(VLOOKUP(B280,input_7327!L:R,7,FALSE),VLOOKUP(tables_7327!C280,input_7327!A:H,8,FALSE))</f>
        <v>1632980.76923</v>
      </c>
      <c r="P280" s="46">
        <f t="shared" si="13"/>
        <v>1.1223235527357043E-2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>
        <f>input_7327!A$2</f>
        <v>7327010</v>
      </c>
      <c r="B281" s="98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>IFERROR(VLOOKUP(B281,input_7327!L:R,7,FALSE),VLOOKUP(tables_7327!C281,input_7327!A:H,8,FALSE))</f>
        <v>0</v>
      </c>
      <c r="P281" s="46">
        <f t="shared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>
        <f>input_7327!A$2</f>
        <v>7327010</v>
      </c>
      <c r="B282" s="98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>IFERROR(VLOOKUP(B282,input_7327!L:R,7,FALSE),VLOOKUP(tables_7327!C282,input_7327!A:H,8,FALSE))</f>
        <v>0</v>
      </c>
      <c r="P282" s="46">
        <f t="shared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>
        <f>input_7327!A$2</f>
        <v>7327010</v>
      </c>
      <c r="B283" s="98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>IFERROR(VLOOKUP(B283,input_7327!L:R,7,FALSE),VLOOKUP(tables_7327!C283,input_7327!A:H,8,FALSE))</f>
        <v>1632980.76923</v>
      </c>
      <c r="P283" s="46">
        <f t="shared" si="13"/>
        <v>1.1223235527357043E-2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>
        <f>input_7327!A$2</f>
        <v>7327010</v>
      </c>
      <c r="B284" s="98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>IFERROR(VLOOKUP(B284,input_7327!L:R,7,FALSE),VLOOKUP(tables_7327!C284,input_7327!A:H,8,FALSE))</f>
        <v>194000</v>
      </c>
      <c r="P284" s="46">
        <f t="shared" si="13"/>
        <v>1.3333333333337006E-3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>
        <f>input_7327!A$2</f>
        <v>7327010</v>
      </c>
      <c r="B285" s="98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>IFERROR(VLOOKUP(B285,input_7327!L:R,7,FALSE),VLOOKUP(tables_7327!C285,input_7327!A:H,8,FALSE))</f>
        <v>194000</v>
      </c>
      <c r="P285" s="46">
        <f t="shared" si="13"/>
        <v>1.3333333333337006E-3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>
        <f>input_7327!A$2</f>
        <v>7327010</v>
      </c>
      <c r="B286" s="98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>IFERROR(VLOOKUP(B286,input_7327!L:R,7,FALSE),VLOOKUP(tables_7327!C286,input_7327!A:H,8,FALSE))</f>
        <v>0</v>
      </c>
      <c r="P286" s="46">
        <f t="shared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>
        <f>input_7327!A$2</f>
        <v>7327010</v>
      </c>
      <c r="B287" s="98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>IFERROR(VLOOKUP(B287,input_7327!L:R,7,FALSE),VLOOKUP(tables_7327!C287,input_7327!A:H,8,FALSE))</f>
        <v>1485000</v>
      </c>
      <c r="P287" s="46">
        <f t="shared" si="13"/>
        <v>1.0206185567013122E-2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>
        <f>input_7327!A$2</f>
        <v>7327010</v>
      </c>
      <c r="B288" s="98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>IFERROR(VLOOKUP(B288,input_7327!L:R,7,FALSE),VLOOKUP(tables_7327!C288,input_7327!A:H,8,FALSE))</f>
        <v>0</v>
      </c>
      <c r="P288" s="46">
        <f t="shared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>
        <f>input_7327!A$2</f>
        <v>7327010</v>
      </c>
      <c r="B289" s="98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>IFERROR(VLOOKUP(B289,input_7327!L:R,7,FALSE),VLOOKUP(tables_7327!C289,input_7327!A:H,8,FALSE))</f>
        <v>1485000</v>
      </c>
      <c r="P289" s="46">
        <f t="shared" si="13"/>
        <v>1.0206185567013122E-2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>
        <f>input_7327!A$2</f>
        <v>7327010</v>
      </c>
      <c r="B290" s="98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>IFERROR(VLOOKUP(B290,input_7327!L:R,7,FALSE),VLOOKUP(tables_7327!C290,input_7327!A:H,8,FALSE))</f>
        <v>0</v>
      </c>
      <c r="P290" s="46">
        <f t="shared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>
        <f>input_7327!A$2</f>
        <v>7327010</v>
      </c>
      <c r="B291" s="98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>IFERROR(VLOOKUP(B291,input_7327!L:R,7,FALSE),VLOOKUP(tables_7327!C291,input_7327!A:H,8,FALSE))</f>
        <v>1485000</v>
      </c>
      <c r="P291" s="46">
        <f t="shared" si="13"/>
        <v>1.0206185567013122E-2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>
        <f>input_7327!A$2</f>
        <v>7327010</v>
      </c>
      <c r="B292" s="98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>IFERROR(VLOOKUP(B292,input_7327!L:R,7,FALSE),VLOOKUP(tables_7327!C292,input_7327!A:H,8,FALSE))</f>
        <v>0</v>
      </c>
      <c r="P292" s="46">
        <f t="shared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>
        <f>input_7327!A$2</f>
        <v>7327010</v>
      </c>
      <c r="B293" s="98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>IFERROR(VLOOKUP(B293,input_7327!L:R,7,FALSE),VLOOKUP(tables_7327!C293,input_7327!A:H,8,FALSE))</f>
        <v>1485000</v>
      </c>
      <c r="P293" s="46">
        <f t="shared" si="13"/>
        <v>1.0206185567013122E-2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>
        <f>input_7327!A$2</f>
        <v>7327010</v>
      </c>
      <c r="B294" s="98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>IFERROR(VLOOKUP(B294,input_7327!L:R,7,FALSE),VLOOKUP(tables_7327!C294,input_7327!A:H,8,FALSE))</f>
        <v>194000</v>
      </c>
      <c r="P294" s="46">
        <f t="shared" si="13"/>
        <v>1.3333333333337006E-3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>
        <f>input_7327!A$2</f>
        <v>7327010</v>
      </c>
      <c r="B295" s="98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>IFERROR(VLOOKUP(B295,input_7327!L:R,7,FALSE),VLOOKUP(tables_7327!C295,input_7327!A:H,8,FALSE))</f>
        <v>194000</v>
      </c>
      <c r="P295" s="46">
        <f t="shared" si="13"/>
        <v>1.3333333333337006E-3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>
        <f>input_7327!A$2</f>
        <v>7327010</v>
      </c>
      <c r="B296" s="98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>IFERROR(VLOOKUP(B296,input_7327!L:R,7,FALSE),VLOOKUP(tables_7327!C296,input_7327!A:H,8,FALSE))</f>
        <v>194000</v>
      </c>
      <c r="P296" s="46">
        <f t="shared" si="13"/>
        <v>1.3333333333337006E-3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>
        <f>input_7327!A$2</f>
        <v>7327010</v>
      </c>
      <c r="B297" s="98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>IFERROR(VLOOKUP(B297,input_7327!L:R,7,FALSE),VLOOKUP(tables_7327!C297,input_7327!A:H,8,FALSE))</f>
        <v>0</v>
      </c>
      <c r="P297" s="46">
        <f t="shared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>
        <f>input_7327!A$2</f>
        <v>7327010</v>
      </c>
      <c r="B298" s="98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>IFERROR(VLOOKUP(B298,input_7327!L:R,7,FALSE),VLOOKUP(tables_7327!C298,input_7327!A:H,8,FALSE))</f>
        <v>1485000</v>
      </c>
      <c r="P298" s="46">
        <f t="shared" si="13"/>
        <v>1.0206185567013122E-2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>
        <f>input_7327!A$2</f>
        <v>7327010</v>
      </c>
      <c r="B299" s="98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>IFERROR(VLOOKUP(B299,input_7327!L:R,7,FALSE),VLOOKUP(tables_7327!C299,input_7327!A:H,8,FALSE))</f>
        <v>194000</v>
      </c>
      <c r="P299" s="46">
        <f t="shared" si="13"/>
        <v>1.3333333333337006E-3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>
        <f>input_7327!A$2</f>
        <v>7327010</v>
      </c>
      <c r="B300" s="98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>IFERROR(VLOOKUP(B300,input_7327!L:R,7,FALSE),VLOOKUP(tables_7327!C300,input_7327!A:H,8,FALSE))</f>
        <v>194000</v>
      </c>
      <c r="P300" s="46">
        <f t="shared" si="13"/>
        <v>1.3333333333337006E-3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>
        <f>input_7327!A$2</f>
        <v>7327010</v>
      </c>
      <c r="B301" s="98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>IFERROR(VLOOKUP(B301,input_7327!L:R,7,FALSE),VLOOKUP(tables_7327!C301,input_7327!A:H,8,FALSE))</f>
        <v>194000</v>
      </c>
      <c r="P301" s="46">
        <f t="shared" si="13"/>
        <v>1.3333333333337006E-3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>
        <f>input_7327!A$2</f>
        <v>7327010</v>
      </c>
      <c r="B302" s="98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>IFERROR(VLOOKUP(B302,input_7327!L:R,7,FALSE),VLOOKUP(tables_7327!C302,input_7327!A:H,8,FALSE))</f>
        <v>194000</v>
      </c>
      <c r="P302" s="46">
        <f t="shared" si="13"/>
        <v>1.3333333333337006E-3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>
        <f>input_7327!A$2</f>
        <v>7327010</v>
      </c>
      <c r="B303" s="98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>IFERROR(VLOOKUP(B303,input_7327!L:R,7,FALSE),VLOOKUP(tables_7327!C303,input_7327!A:H,8,FALSE))</f>
        <v>0</v>
      </c>
      <c r="P303" s="46">
        <f t="shared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>
        <f>input_7327!A$2</f>
        <v>7327010</v>
      </c>
      <c r="B304" s="98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>IFERROR(VLOOKUP(B304,input_7327!L:R,7,FALSE),VLOOKUP(tables_7327!C304,input_7327!A:H,8,FALSE))</f>
        <v>1485000</v>
      </c>
      <c r="P304" s="46">
        <f t="shared" si="13"/>
        <v>1.0206185567013122E-2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>
        <f>input_7327!A$2</f>
        <v>7327010</v>
      </c>
      <c r="B305" s="98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>IFERROR(VLOOKUP(B305,input_7327!L:R,7,FALSE),VLOOKUP(tables_7327!C305,input_7327!A:H,8,FALSE))</f>
        <v>194000</v>
      </c>
      <c r="P305" s="46">
        <f t="shared" si="13"/>
        <v>1.3333333333337006E-3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>
        <f>input_7327!A$2</f>
        <v>7327010</v>
      </c>
      <c r="B306" s="98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>IFERROR(VLOOKUP(B306,input_7327!L:R,7,FALSE),VLOOKUP(tables_7327!C306,input_7327!A:H,8,FALSE))</f>
        <v>0</v>
      </c>
      <c r="P306" s="46">
        <f t="shared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>
        <f>input_7327!A$2</f>
        <v>7327010</v>
      </c>
      <c r="B307" s="98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>IFERROR(VLOOKUP(B307,input_7327!L:R,7,FALSE),VLOOKUP(tables_7327!C307,input_7327!A:H,8,FALSE))</f>
        <v>1485000</v>
      </c>
      <c r="P307" s="46">
        <f t="shared" si="13"/>
        <v>1.0206185567013122E-2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>
        <f>input_7327!A$2</f>
        <v>7327010</v>
      </c>
      <c r="B308" s="98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>IFERROR(VLOOKUP(B308,input_7327!L:R,7,FALSE),VLOOKUP(tables_7327!C308,input_7327!A:H,8,FALSE))</f>
        <v>194000</v>
      </c>
      <c r="P308" s="46">
        <f t="shared" si="13"/>
        <v>1.3333333333337006E-3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>
        <f>input_7327!A$2</f>
        <v>7327010</v>
      </c>
      <c r="B309" s="98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>IFERROR(VLOOKUP(B309,input_7327!L:R,7,FALSE),VLOOKUP(tables_7327!C309,input_7327!A:H,8,FALSE))</f>
        <v>194000</v>
      </c>
      <c r="P309" s="46">
        <f t="shared" si="13"/>
        <v>1.3333333333337006E-3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>
        <f>input_7327!A$2</f>
        <v>7327010</v>
      </c>
      <c r="B310" s="98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>IFERROR(VLOOKUP(B310,input_7327!L:R,7,FALSE),VLOOKUP(tables_7327!C310,input_7327!A:H,8,FALSE))</f>
        <v>194000</v>
      </c>
      <c r="P310" s="46">
        <f t="shared" si="13"/>
        <v>1.3333333333337006E-3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>
        <f>input_7327!A$2</f>
        <v>7327010</v>
      </c>
      <c r="B311" s="98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>IFERROR(VLOOKUP(B311,input_7327!L:R,7,FALSE),VLOOKUP(tables_7327!C311,input_7327!A:H,8,FALSE))</f>
        <v>0</v>
      </c>
      <c r="P311" s="46">
        <f t="shared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>
        <f>input_7327!A$2</f>
        <v>7327010</v>
      </c>
      <c r="B312" s="98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>IFERROR(VLOOKUP(B312,input_7327!L:R,7,FALSE),VLOOKUP(tables_7327!C312,input_7327!A:H,8,FALSE))</f>
        <v>1485000</v>
      </c>
      <c r="P312" s="46">
        <f t="shared" si="13"/>
        <v>1.0206185567013122E-2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>
        <f>input_7327!A$2</f>
        <v>7327010</v>
      </c>
      <c r="B313" s="98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>IFERROR(VLOOKUP(B313,input_7327!L:R,7,FALSE),VLOOKUP(tables_7327!C313,input_7327!A:H,8,FALSE))</f>
        <v>194000</v>
      </c>
      <c r="P313" s="46">
        <f t="shared" si="13"/>
        <v>1.3333333333337006E-3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>
        <f>input_7327!A$2</f>
        <v>7327010</v>
      </c>
      <c r="B314" s="98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>IFERROR(VLOOKUP(B314,input_7327!L:R,7,FALSE),VLOOKUP(tables_7327!C314,input_7327!A:H,8,FALSE))</f>
        <v>194000</v>
      </c>
      <c r="P314" s="46">
        <f t="shared" si="13"/>
        <v>1.3333333333337006E-3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>
        <f>input_7327!A$2</f>
        <v>7327010</v>
      </c>
      <c r="B315" s="98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>IFERROR(VLOOKUP(B315,input_7327!L:R,7,FALSE),VLOOKUP(tables_7327!C315,input_7327!A:H,8,FALSE))</f>
        <v>194000</v>
      </c>
      <c r="P315" s="46">
        <f t="shared" si="13"/>
        <v>1.3333333333337006E-3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>
        <f>input_7327!A$2</f>
        <v>7327010</v>
      </c>
      <c r="B316" s="98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>IFERROR(VLOOKUP(B316,input_7327!L:R,7,FALSE),VLOOKUP(tables_7327!C316,input_7327!A:H,8,FALSE))</f>
        <v>194000</v>
      </c>
      <c r="P316" s="46">
        <f t="shared" si="13"/>
        <v>1.3333333333337006E-3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>
        <f>input_7327!A$2</f>
        <v>7327010</v>
      </c>
      <c r="B317" s="98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>IFERROR(VLOOKUP(B317,input_7327!L:R,7,FALSE),VLOOKUP(tables_7327!C317,input_7327!A:H,8,FALSE))</f>
        <v>194000</v>
      </c>
      <c r="P317" s="46">
        <f t="shared" si="13"/>
        <v>1.3333333333337006E-3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>
        <f>input_7327!A$2</f>
        <v>7327010</v>
      </c>
      <c r="B318" s="98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>IFERROR(VLOOKUP(B318,input_7327!L:R,7,FALSE),VLOOKUP(tables_7327!C318,input_7327!A:H,8,FALSE))</f>
        <v>0</v>
      </c>
      <c r="P318" s="46">
        <f t="shared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>
        <f>input_7327!A$2</f>
        <v>7327010</v>
      </c>
      <c r="B319" s="98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>IFERROR(VLOOKUP(B319,input_7327!L:R,7,FALSE),VLOOKUP(tables_7327!C319,input_7327!A:H,8,FALSE))</f>
        <v>1485000</v>
      </c>
      <c r="P319" s="46">
        <f t="shared" si="13"/>
        <v>1.0206185567013122E-2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>
        <f>input_7327!A$2</f>
        <v>7327010</v>
      </c>
      <c r="B320" s="98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>IFERROR(VLOOKUP(B320,input_7327!L:R,7,FALSE),VLOOKUP(tables_7327!C320,input_7327!A:H,8,FALSE))</f>
        <v>194000</v>
      </c>
      <c r="P320" s="46">
        <f t="shared" si="13"/>
        <v>1.3333333333337006E-3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>
        <f>input_7327!A$2</f>
        <v>7327010</v>
      </c>
      <c r="B321" s="98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>IFERROR(VLOOKUP(B321,input_7327!L:R,7,FALSE),VLOOKUP(tables_7327!C321,input_7327!A:H,8,FALSE))</f>
        <v>194000</v>
      </c>
      <c r="P321" s="46">
        <f t="shared" si="13"/>
        <v>1.3333333333337006E-3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>
        <f>input_7327!A$2</f>
        <v>7327010</v>
      </c>
      <c r="B322" s="98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>IFERROR(VLOOKUP(B322,input_7327!L:R,7,FALSE),VLOOKUP(tables_7327!C322,input_7327!A:H,8,FALSE))</f>
        <v>194000</v>
      </c>
      <c r="P322" s="46">
        <f t="shared" ref="P322:P330" si="23">O322/SUM(O:O)</f>
        <v>1.3333333333337006E-3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>
        <f>input_7327!A$2</f>
        <v>7327010</v>
      </c>
      <c r="B323" s="98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>IFERROR(VLOOKUP(B323,input_7327!L:R,7,FALSE),VLOOKUP(tables_7327!C323,input_7327!A:H,8,FALSE))</f>
        <v>194000</v>
      </c>
      <c r="P323" s="46">
        <f t="shared" si="23"/>
        <v>1.3333333333337006E-3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>
        <f>input_7327!A$2</f>
        <v>7327010</v>
      </c>
      <c r="B324" s="98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>IFERROR(VLOOKUP(B324,input_7327!L:R,7,FALSE),VLOOKUP(tables_7327!C324,input_7327!A:H,8,FALSE))</f>
        <v>0</v>
      </c>
      <c r="P324" s="46">
        <f t="shared" si="23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>
        <f>input_7327!A$2</f>
        <v>7327010</v>
      </c>
      <c r="B325" s="98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>IFERROR(VLOOKUP(B325,input_7327!L:R,7,FALSE),VLOOKUP(tables_7327!C325,input_7327!A:H,8,FALSE))</f>
        <v>1485000</v>
      </c>
      <c r="P325" s="46">
        <f t="shared" si="23"/>
        <v>1.0206185567013122E-2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>
        <f>input_7327!A$2</f>
        <v>7327010</v>
      </c>
      <c r="B326" s="98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>IFERROR(VLOOKUP(B326,input_7327!L:R,7,FALSE),VLOOKUP(tables_7327!C326,input_7327!A:H,8,FALSE))</f>
        <v>0</v>
      </c>
      <c r="P326" s="46">
        <f t="shared" si="23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>
        <f>input_7327!A$2</f>
        <v>7327010</v>
      </c>
      <c r="B327" s="98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>IFERROR(VLOOKUP(B327,input_7327!L:R,7,FALSE),VLOOKUP(tables_7327!C327,input_7327!A:H,8,FALSE))</f>
        <v>1485000</v>
      </c>
      <c r="P327" s="46">
        <f t="shared" si="23"/>
        <v>1.0206185567013122E-2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>
        <f>input_7327!A$2</f>
        <v>7327010</v>
      </c>
      <c r="B328" s="98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>IFERROR(VLOOKUP(B328,input_7327!L:R,7,FALSE),VLOOKUP(tables_7327!C328,input_7327!A:H,8,FALSE))</f>
        <v>194000</v>
      </c>
      <c r="P328" s="46">
        <f t="shared" si="23"/>
        <v>1.3333333333337006E-3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>
        <f>input_7327!A$2</f>
        <v>7327010</v>
      </c>
      <c r="B329" s="98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>IFERROR(VLOOKUP(B329,input_7327!L:R,7,FALSE),VLOOKUP(tables_7327!C329,input_7327!A:H,8,FALSE))</f>
        <v>194000</v>
      </c>
      <c r="P329" s="46">
        <f t="shared" si="23"/>
        <v>1.3333333333337006E-3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>
        <f>input_7327!A$2</f>
        <v>7327010</v>
      </c>
      <c r="B330" s="98">
        <v>1157</v>
      </c>
      <c r="C330" s="7" t="str">
        <f t="shared" si="25"/>
        <v>PremiumSS5R5only</v>
      </c>
      <c r="D330" s="91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>IFERROR(VLOOKUP(B330,input_7327!L:R,7,FALSE),VLOOKUP(tables_7327!C330,input_7327!A:H,8,FALSE))</f>
        <v>194000</v>
      </c>
      <c r="P330" s="46">
        <f t="shared" si="23"/>
        <v>1.3333333333337006E-3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>
        <f>input_7327!A$2</f>
        <v>7327010</v>
      </c>
      <c r="B331" s="96">
        <v>1214</v>
      </c>
      <c r="C331" s="7" t="str">
        <f t="shared" ref="C331:C335" si="26">D331&amp;J331&amp;E331&amp;F331&amp;G331</f>
        <v>PremiumSS5R5only</v>
      </c>
      <c r="D331" s="91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>IFERROR(VLOOKUP(B331,input_7327!L:R,7,FALSE),VLOOKUP(tables_7327!C331,input_7327!A:H,8,FALSE))</f>
        <v>194000</v>
      </c>
      <c r="P331" s="46">
        <f t="shared" ref="P331:P335" si="28">O331/SUM(O:O)</f>
        <v>1.3333333333337006E-3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>
        <f>input_7327!A$2</f>
        <v>7327010</v>
      </c>
      <c r="B332" s="96">
        <v>1212</v>
      </c>
      <c r="C332" s="7" t="str">
        <f t="shared" si="26"/>
        <v>PremiumSS5R5only</v>
      </c>
      <c r="D332" s="91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>IFERROR(VLOOKUP(B332,input_7327!L:R,7,FALSE),VLOOKUP(tables_7327!C332,input_7327!A:H,8,FALSE))</f>
        <v>194000</v>
      </c>
      <c r="P332" s="46">
        <f t="shared" si="28"/>
        <v>1.3333333333337006E-3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>
        <f>input_7327!A$2</f>
        <v>7327010</v>
      </c>
      <c r="B333" s="96">
        <v>1208</v>
      </c>
      <c r="C333" s="7" t="str">
        <f t="shared" si="26"/>
        <v>PremiumSS5R5only</v>
      </c>
      <c r="D333" s="91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>IFERROR(VLOOKUP(B333,input_7327!L:R,7,FALSE),VLOOKUP(tables_7327!C333,input_7327!A:H,8,FALSE))</f>
        <v>194000</v>
      </c>
      <c r="P333" s="46">
        <f t="shared" si="28"/>
        <v>1.3333333333337006E-3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>
        <f>input_7327!A$2</f>
        <v>7327010</v>
      </c>
      <c r="B334" s="97">
        <v>1210</v>
      </c>
      <c r="C334" s="7" t="str">
        <f t="shared" si="26"/>
        <v>Premium4R3less</v>
      </c>
      <c r="D334" s="91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>IFERROR(VLOOKUP(B334,input_7327!L:R,7,FALSE),VLOOKUP(tables_7327!C334,input_7327!A:H,8,FALSE))</f>
        <v>0</v>
      </c>
      <c r="P334" s="46">
        <f t="shared" si="28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>
        <f>input_7327!A$2</f>
        <v>7327010</v>
      </c>
      <c r="B335" s="96">
        <v>1211</v>
      </c>
      <c r="C335" s="7" t="str">
        <f t="shared" si="26"/>
        <v>Premium5R3less</v>
      </c>
      <c r="D335" s="91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>IFERROR(VLOOKUP(B335,input_7327!L:R,7,FALSE),VLOOKUP(tables_7327!C335,input_7327!A:H,8,FALSE))</f>
        <v>1485000</v>
      </c>
      <c r="P335" s="46">
        <f t="shared" si="28"/>
        <v>1.0206185567013122E-2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>
        <f>input_7327!A$2</f>
        <v>7327010</v>
      </c>
      <c r="B336" s="98">
        <v>1224</v>
      </c>
      <c r="C336" s="7" t="str">
        <f t="shared" ref="C336:C340" si="29">D336&amp;J336&amp;E336&amp;F336&amp;G336</f>
        <v>Premium4R3less</v>
      </c>
      <c r="D336" s="91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>IFERROR(VLOOKUP(B336,input_7327!L:R,7,FALSE),VLOOKUP(tables_7327!C336,input_7327!A:H,8,FALSE))</f>
        <v>0</v>
      </c>
      <c r="P336" s="46">
        <f t="shared" ref="P336:P340" si="31">O336/SUM(O:O)</f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>
        <f>input_7327!A$2</f>
        <v>7327010</v>
      </c>
      <c r="B337" s="98">
        <v>1225</v>
      </c>
      <c r="C337" s="7" t="str">
        <f t="shared" si="29"/>
        <v>Premium5R3less</v>
      </c>
      <c r="D337" s="91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>IFERROR(VLOOKUP(B337,input_7327!L:R,7,FALSE),VLOOKUP(tables_7327!C337,input_7327!A:H,8,FALSE))</f>
        <v>1485000</v>
      </c>
      <c r="P337" s="46">
        <f t="shared" si="31"/>
        <v>1.0206185567013122E-2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>
        <f>input_7327!A$2</f>
        <v>7327010</v>
      </c>
      <c r="B338" s="98">
        <v>1226</v>
      </c>
      <c r="C338" s="7" t="str">
        <f t="shared" si="29"/>
        <v>PremiumSS5R5only</v>
      </c>
      <c r="D338" s="91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>IFERROR(VLOOKUP(B338,input_7327!L:R,7,FALSE),VLOOKUP(tables_7327!C338,input_7327!A:H,8,FALSE))</f>
        <v>194000</v>
      </c>
      <c r="P338" s="46">
        <f t="shared" si="31"/>
        <v>1.3333333333337006E-3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>
        <f>input_7327!A$2</f>
        <v>7327010</v>
      </c>
      <c r="B339" s="98">
        <v>1228</v>
      </c>
      <c r="C339" s="7" t="str">
        <f t="shared" si="29"/>
        <v>PremiumSS5R5only</v>
      </c>
      <c r="D339" s="91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>IFERROR(VLOOKUP(B339,input_7327!L:R,7,FALSE),VLOOKUP(tables_7327!C339,input_7327!A:H,8,FALSE))</f>
        <v>194000</v>
      </c>
      <c r="P339" s="46">
        <f t="shared" si="31"/>
        <v>1.3333333333337006E-3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>
        <f>input_7327!A$2</f>
        <v>7327010</v>
      </c>
      <c r="B340" s="98">
        <v>1230</v>
      </c>
      <c r="C340" s="7" t="str">
        <f t="shared" si="29"/>
        <v>PremiumSS5R5only</v>
      </c>
      <c r="D340" s="91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>IFERROR(VLOOKUP(B340,input_7327!L:R,7,FALSE),VLOOKUP(tables_7327!C340,input_7327!A:H,8,FALSE))</f>
        <v>194000</v>
      </c>
      <c r="P340" s="46">
        <f t="shared" si="31"/>
        <v>1.3333333333337006E-3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>
        <f>input_7327!A$2</f>
        <v>7327010</v>
      </c>
      <c r="B341" s="98">
        <v>1250</v>
      </c>
      <c r="C341" s="7" t="str">
        <f t="shared" ref="C341" si="32">D341&amp;J341&amp;E341&amp;F341&amp;G341</f>
        <v>PremiumSS5R5only</v>
      </c>
      <c r="D341" s="91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>IFERROR(VLOOKUP(B341,input_7327!L:R,7,FALSE),VLOOKUP(tables_7327!C341,input_7327!A:H,8,FALSE))</f>
        <v>194000</v>
      </c>
      <c r="P341" s="46">
        <f t="shared" ref="P341" si="34">O341/SUM(O:O)</f>
        <v>1.3333333333337006E-3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>
        <f>input_7327!A$2</f>
        <v>7327010</v>
      </c>
      <c r="B342" s="98">
        <v>1248</v>
      </c>
      <c r="C342" s="7" t="str">
        <f t="shared" ref="C342:C345" si="35">D342&amp;J342&amp;E342&amp;F342&amp;G342</f>
        <v>Premium4R3less</v>
      </c>
      <c r="D342" s="91" t="str">
        <f t="shared" ref="D342:D345" si="3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>IFERROR(VLOOKUP(B342,input_7327!L:R,7,FALSE),VLOOKUP(tables_7327!C342,input_7327!A:H,8,FALSE))</f>
        <v>0</v>
      </c>
      <c r="P342" s="46">
        <f t="shared" ref="P342:P345" si="37">O342/SUM(O:O)</f>
        <v>0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>
        <f>input_7327!A$2</f>
        <v>7327010</v>
      </c>
      <c r="B343" s="98">
        <v>1249</v>
      </c>
      <c r="C343" s="7" t="str">
        <f t="shared" si="35"/>
        <v>Premium5R3less</v>
      </c>
      <c r="D343" s="91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>IFERROR(VLOOKUP(B343,input_7327!L:R,7,FALSE),VLOOKUP(tables_7327!C343,input_7327!A:H,8,FALSE))</f>
        <v>1485000</v>
      </c>
      <c r="P343" s="46">
        <f t="shared" si="37"/>
        <v>1.0206185567013122E-2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>
        <f>input_7327!A$2</f>
        <v>7327010</v>
      </c>
      <c r="B344" s="98">
        <v>1246</v>
      </c>
      <c r="C344" s="7" t="str">
        <f t="shared" si="35"/>
        <v>PremiumSS5R5only</v>
      </c>
      <c r="D344" s="91" t="str">
        <f t="shared" si="3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>IFERROR(VLOOKUP(B344,input_7327!L:R,7,FALSE),VLOOKUP(tables_7327!C344,input_7327!A:H,8,FALSE))</f>
        <v>194000</v>
      </c>
      <c r="P344" s="46">
        <f t="shared" si="37"/>
        <v>1.3333333333337006E-3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>
        <f>input_7327!A$2</f>
        <v>7327010</v>
      </c>
      <c r="B345" s="98">
        <v>1244</v>
      </c>
      <c r="C345" s="7" t="str">
        <f t="shared" si="35"/>
        <v>PremiumSS5R5only</v>
      </c>
      <c r="D345" s="91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>IFERROR(VLOOKUP(B345,input_7327!L:R,7,FALSE),VLOOKUP(tables_7327!C345,input_7327!A:H,8,FALSE))</f>
        <v>194000</v>
      </c>
      <c r="P345" s="46">
        <f t="shared" si="37"/>
        <v>1.3333333333337006E-3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>
        <f>input_7327!A$2</f>
        <v>7327010</v>
      </c>
      <c r="B346" s="98">
        <v>1260</v>
      </c>
      <c r="C346" s="7" t="str">
        <f t="shared" ref="C346:C349" si="38">D346&amp;J346&amp;E346&amp;F346&amp;G346</f>
        <v>PremiumSS5R5only</v>
      </c>
      <c r="D346" s="91" t="str">
        <f t="shared" ref="D346:D349" si="3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>IFERROR(VLOOKUP(B346,input_7327!L:R,7,FALSE),VLOOKUP(tables_7327!C346,input_7327!A:H,8,FALSE))</f>
        <v>194000</v>
      </c>
      <c r="P346" s="46">
        <f t="shared" ref="P346:P349" si="40">O346/SUM(O:O)</f>
        <v>1.3333333333337006E-3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>
        <f>input_7327!A$2</f>
        <v>7327010</v>
      </c>
      <c r="B347" s="98">
        <v>1262</v>
      </c>
      <c r="C347" s="7" t="str">
        <f t="shared" si="38"/>
        <v>PremiumSS5R5only</v>
      </c>
      <c r="D347" s="91" t="str">
        <f t="shared" si="3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>IFERROR(VLOOKUP(B347,input_7327!L:R,7,FALSE),VLOOKUP(tables_7327!C347,input_7327!A:H,8,FALSE))</f>
        <v>194000</v>
      </c>
      <c r="P347" s="46">
        <f t="shared" si="40"/>
        <v>1.3333333333337006E-3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>
        <f>input_7327!A$2</f>
        <v>7327010</v>
      </c>
      <c r="B348" s="98">
        <v>1264</v>
      </c>
      <c r="C348" s="7" t="str">
        <f t="shared" si="38"/>
        <v>PremiumSS5R5only</v>
      </c>
      <c r="D348" s="91" t="str">
        <f t="shared" si="3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>IFERROR(VLOOKUP(B348,input_7327!L:R,7,FALSE),VLOOKUP(tables_7327!C348,input_7327!A:H,8,FALSE))</f>
        <v>194000</v>
      </c>
      <c r="P348" s="46">
        <f t="shared" si="40"/>
        <v>1.3333333333337006E-3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>
        <f>input_7327!A$2</f>
        <v>7327010</v>
      </c>
      <c r="B349" s="98">
        <v>1266</v>
      </c>
      <c r="C349" s="7" t="str">
        <f t="shared" si="38"/>
        <v>Premium4R3less</v>
      </c>
      <c r="D349" s="91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>IFERROR(VLOOKUP(B349,input_7327!L:R,7,FALSE),VLOOKUP(tables_7327!C349,input_7327!A:H,8,FALSE))</f>
        <v>0</v>
      </c>
      <c r="P349" s="46">
        <f t="shared" si="4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>
        <f>input_7327!A$2</f>
        <v>7327010</v>
      </c>
      <c r="B350" s="98">
        <v>1267</v>
      </c>
      <c r="C350" s="7" t="str">
        <f t="shared" ref="C350" si="41">D350&amp;J350&amp;E350&amp;F350&amp;G350</f>
        <v>Premium5R3less</v>
      </c>
      <c r="D350" s="91" t="str">
        <f t="shared" ref="D350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>IFERROR(VLOOKUP(B350,input_7327!L:R,7,FALSE),VLOOKUP(tables_7327!C350,input_7327!A:H,8,FALSE))</f>
        <v>1485000</v>
      </c>
      <c r="P350" s="46">
        <f t="shared" ref="P350" si="43">O350/SUM(O:O)</f>
        <v>1.0206185567013122E-2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>
        <f>input_7327!A$2</f>
        <v>7327010</v>
      </c>
      <c r="B351" s="98">
        <v>1332</v>
      </c>
      <c r="C351" s="7" t="str">
        <f t="shared" ref="C351:C355" si="44">D351&amp;J351&amp;E351&amp;F351&amp;G351</f>
        <v>PremiumSS5R5only</v>
      </c>
      <c r="D351" s="91" t="str">
        <f t="shared" ref="D351:D355" si="45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>IFERROR(VLOOKUP(B351,input_7327!L:R,7,FALSE),VLOOKUP(tables_7327!C351,input_7327!A:H,8,FALSE))</f>
        <v>194000</v>
      </c>
      <c r="P351" s="46">
        <f t="shared" ref="P351:P355" si="46">O351/SUM(O:O)</f>
        <v>1.3333333333337006E-3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>
        <f>input_7327!A$2</f>
        <v>7327010</v>
      </c>
      <c r="B352" s="98">
        <v>1336</v>
      </c>
      <c r="C352" s="7" t="str">
        <f t="shared" si="44"/>
        <v>PremiumSS5R5only</v>
      </c>
      <c r="D352" s="91" t="str">
        <f t="shared" si="45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>IFERROR(VLOOKUP(B352,input_7327!L:R,7,FALSE),VLOOKUP(tables_7327!C352,input_7327!A:H,8,FALSE))</f>
        <v>194000</v>
      </c>
      <c r="P352" s="46">
        <f t="shared" si="46"/>
        <v>1.3333333333337006E-3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>
        <f>input_7327!A$2</f>
        <v>7327010</v>
      </c>
      <c r="B353" s="98">
        <v>1338</v>
      </c>
      <c r="C353" s="7" t="str">
        <f t="shared" si="44"/>
        <v>PremiumSS5R5only</v>
      </c>
      <c r="D353" s="91" t="str">
        <f t="shared" si="45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>IFERROR(VLOOKUP(B353,input_7327!L:R,7,FALSE),VLOOKUP(tables_7327!C353,input_7327!A:H,8,FALSE))</f>
        <v>194000</v>
      </c>
      <c r="P353" s="46">
        <f t="shared" si="46"/>
        <v>1.3333333333337006E-3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>
        <f>input_7327!A$2</f>
        <v>7327010</v>
      </c>
      <c r="B354" s="98">
        <v>1334</v>
      </c>
      <c r="C354" s="7" t="str">
        <f t="shared" si="44"/>
        <v>Premium4R3less</v>
      </c>
      <c r="D354" s="91" t="str">
        <f t="shared" si="45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>IFERROR(VLOOKUP(B354,input_7327!L:R,7,FALSE),VLOOKUP(tables_7327!C354,input_7327!A:H,8,FALSE))</f>
        <v>0</v>
      </c>
      <c r="P354" s="46">
        <f t="shared" si="46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>
        <f>input_7327!A$2</f>
        <v>7327010</v>
      </c>
      <c r="B355" s="98">
        <v>1335</v>
      </c>
      <c r="C355" s="7" t="str">
        <f t="shared" si="44"/>
        <v>Premium5R3less</v>
      </c>
      <c r="D355" s="91" t="str">
        <f t="shared" si="45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>IFERROR(VLOOKUP(B355,input_7327!L:R,7,FALSE),VLOOKUP(tables_7327!C355,input_7327!A:H,8,FALSE))</f>
        <v>1485000</v>
      </c>
      <c r="P355" s="46">
        <f t="shared" si="46"/>
        <v>1.0206185567013122E-2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>
        <f>input_7327!A$2</f>
        <v>7327010</v>
      </c>
      <c r="B356" s="5">
        <v>1381</v>
      </c>
      <c r="C356" s="7" t="str">
        <f t="shared" ref="C356" si="47">D356&amp;J356&amp;E356&amp;F356&amp;G356</f>
        <v>Premium4R3less</v>
      </c>
      <c r="D356" s="91" t="str">
        <f t="shared" ref="D356" si="48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>IFERROR(VLOOKUP(B356,input_7327!L:R,7,FALSE),VLOOKUP(tables_7327!C356,input_7327!A:H,8,FALSE))</f>
        <v>0</v>
      </c>
      <c r="P356" s="46">
        <f t="shared" ref="P356" si="49">O356/SUM(O:O)</f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>
        <f>input_7327!A$2</f>
        <v>7327010</v>
      </c>
      <c r="B357" s="5">
        <v>1382</v>
      </c>
      <c r="C357" s="7" t="str">
        <f t="shared" ref="C357:C360" si="50">D357&amp;J357&amp;E357&amp;F357&amp;G357</f>
        <v>Premium5R3less</v>
      </c>
      <c r="D357" s="91" t="str">
        <f t="shared" ref="D357:D360" si="51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>IFERROR(VLOOKUP(B357,input_7327!L:R,7,FALSE),VLOOKUP(tables_7327!C357,input_7327!A:H,8,FALSE))</f>
        <v>1485000</v>
      </c>
      <c r="P357" s="46">
        <f t="shared" ref="P357:P360" si="52">O357/SUM(O:O)</f>
        <v>1.0206185567013122E-2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>
        <f>input_7327!A$2</f>
        <v>7327010</v>
      </c>
      <c r="B358" s="5">
        <v>1383</v>
      </c>
      <c r="C358" s="7" t="str">
        <f t="shared" si="50"/>
        <v>PremiumSS5R5only</v>
      </c>
      <c r="D358" s="91" t="str">
        <f t="shared" si="51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>IFERROR(VLOOKUP(B358,input_7327!L:R,7,FALSE),VLOOKUP(tables_7327!C358,input_7327!A:H,8,FALSE))</f>
        <v>194000</v>
      </c>
      <c r="P358" s="46">
        <f t="shared" si="52"/>
        <v>1.3333333333337006E-3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>
        <f>input_7327!A$2</f>
        <v>7327010</v>
      </c>
      <c r="B359" s="5">
        <v>1385</v>
      </c>
      <c r="C359" s="7" t="str">
        <f t="shared" si="50"/>
        <v>PremiumSS5R5only</v>
      </c>
      <c r="D359" s="91" t="str">
        <f t="shared" si="51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>IFERROR(VLOOKUP(B359,input_7327!L:R,7,FALSE),VLOOKUP(tables_7327!C359,input_7327!A:H,8,FALSE))</f>
        <v>194000</v>
      </c>
      <c r="P359" s="46">
        <f t="shared" si="52"/>
        <v>1.3333333333337006E-3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>
        <f>input_7327!A$2</f>
        <v>7327010</v>
      </c>
      <c r="B360" s="5">
        <v>1387</v>
      </c>
      <c r="C360" s="7" t="str">
        <f t="shared" si="50"/>
        <v>PremiumSS5R5only</v>
      </c>
      <c r="D360" s="91" t="str">
        <f t="shared" si="51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>IFERROR(VLOOKUP(B360,input_7327!L:R,7,FALSE),VLOOKUP(tables_7327!C360,input_7327!A:H,8,FALSE))</f>
        <v>194000</v>
      </c>
      <c r="P360" s="46">
        <f t="shared" si="52"/>
        <v>1.3333333333337006E-3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</sheetData>
  <autoFilter ref="A1:V35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1" t="s">
        <v>87</v>
      </c>
      <c r="H1" s="51" t="s">
        <v>88</v>
      </c>
      <c r="I1" s="52" t="s">
        <v>89</v>
      </c>
      <c r="J1" s="52" t="s">
        <v>90</v>
      </c>
      <c r="K1" s="52" t="s">
        <v>91</v>
      </c>
      <c r="L1" s="52" t="s">
        <v>92</v>
      </c>
      <c r="M1" s="52" t="s">
        <v>93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7"/>
      <c r="B2" s="77"/>
      <c r="C2" s="78"/>
      <c r="D2" s="78"/>
      <c r="E2" s="78"/>
      <c r="F2" s="78"/>
      <c r="G2" s="1"/>
      <c r="H2" s="1"/>
      <c r="I2" s="1"/>
      <c r="J2" s="1"/>
      <c r="K2" s="1"/>
      <c r="L2" s="1"/>
      <c r="M2" s="1"/>
      <c r="N2" s="78"/>
      <c r="O2" s="78"/>
      <c r="P2" s="78"/>
      <c r="Q2" s="79"/>
    </row>
    <row r="3" spans="1:17" ht="21" customHeight="1" x14ac:dyDescent="0.15">
      <c r="A3" s="77"/>
      <c r="B3" s="77"/>
      <c r="G3" s="84"/>
      <c r="H3" s="84"/>
      <c r="I3" s="84"/>
      <c r="J3" s="84"/>
      <c r="K3" s="84"/>
      <c r="L3" s="84"/>
      <c r="M3" s="84"/>
      <c r="N3" s="78"/>
      <c r="O3" s="78"/>
      <c r="P3" s="78"/>
      <c r="Q3" s="79"/>
    </row>
    <row r="4" spans="1:17" ht="21" customHeight="1" x14ac:dyDescent="0.15">
      <c r="A4" s="77"/>
      <c r="B4" s="77"/>
      <c r="G4" s="84"/>
      <c r="H4" s="84"/>
      <c r="I4" s="84"/>
      <c r="J4" s="84"/>
      <c r="K4" s="84"/>
      <c r="L4" s="84"/>
      <c r="M4" s="84"/>
      <c r="N4" s="78"/>
      <c r="O4" s="78"/>
      <c r="P4" s="78"/>
      <c r="Q4" s="79"/>
    </row>
    <row r="5" spans="1:17" ht="21" customHeight="1" x14ac:dyDescent="0.15">
      <c r="A5" s="77"/>
      <c r="B5" s="77"/>
      <c r="G5" s="84"/>
      <c r="H5" s="84"/>
      <c r="I5" s="84"/>
      <c r="J5" s="84"/>
      <c r="K5" s="84"/>
      <c r="L5" s="84"/>
      <c r="M5" s="84"/>
      <c r="N5" s="78"/>
      <c r="O5" s="78"/>
      <c r="P5" s="78"/>
      <c r="Q5" s="79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9">
        <v>668</v>
      </c>
      <c r="B246" s="7" t="str">
        <f>VLOOKUP(A246,[1]characters!$A:$C,3,FALSE)</f>
        <v>アグニ</v>
      </c>
    </row>
    <row r="247" spans="1:2" x14ac:dyDescent="0.15">
      <c r="A247" s="59">
        <v>669</v>
      </c>
      <c r="B247" s="7" t="str">
        <f>VLOOKUP(A247,[1]characters!$A:$C,3,FALSE)</f>
        <v>天地の仲界 アグニ</v>
      </c>
    </row>
    <row r="248" spans="1:2" x14ac:dyDescent="0.15">
      <c r="A248" s="59">
        <v>670</v>
      </c>
      <c r="B248" s="7" t="str">
        <f>VLOOKUP(A248,[1]characters!$A:$C,3,FALSE)</f>
        <v>陽天の噴煙 アグニ</v>
      </c>
    </row>
    <row r="249" spans="1:2" x14ac:dyDescent="0.15">
      <c r="A249" s="59">
        <v>671</v>
      </c>
      <c r="B249" s="7" t="str">
        <f>VLOOKUP(A249,[1]characters!$A:$C,3,FALSE)</f>
        <v>ハヌマーン</v>
      </c>
    </row>
    <row r="250" spans="1:2" x14ac:dyDescent="0.15">
      <c r="A250" s="59">
        <v>672</v>
      </c>
      <c r="B250" s="7" t="str">
        <f>VLOOKUP(A250,[1]characters!$A:$C,3,FALSE)</f>
        <v>西遊韋駄天 ハヌマーン</v>
      </c>
    </row>
    <row r="251" spans="1:2" x14ac:dyDescent="0.15">
      <c r="A251" s="59">
        <v>673</v>
      </c>
      <c r="B251" s="7" t="str">
        <f>VLOOKUP(A251,[1]characters!$A:$C,3,FALSE)</f>
        <v>変幻自在の猿王 ハヌマーン</v>
      </c>
    </row>
    <row r="252" spans="1:2" x14ac:dyDescent="0.15">
      <c r="A252" s="59">
        <v>674</v>
      </c>
      <c r="B252" s="7" t="str">
        <f>VLOOKUP(A252,[1]characters!$A:$C,3,FALSE)</f>
        <v>サラスヴァティ</v>
      </c>
    </row>
    <row r="253" spans="1:2" x14ac:dyDescent="0.15">
      <c r="A253" s="59">
        <v>675</v>
      </c>
      <c r="B253" s="7" t="str">
        <f>VLOOKUP(A253,[1]characters!$A:$C,3,FALSE)</f>
        <v>芸楽の奔流 サラスヴァティ</v>
      </c>
    </row>
    <row r="254" spans="1:2" x14ac:dyDescent="0.15">
      <c r="A254" s="59">
        <v>676</v>
      </c>
      <c r="B254" s="7" t="str">
        <f>VLOOKUP(A254,[1]characters!$A:$C,3,FALSE)</f>
        <v>ヴィシュヌ</v>
      </c>
    </row>
    <row r="255" spans="1:2" x14ac:dyDescent="0.15">
      <c r="A255" s="59">
        <v>677</v>
      </c>
      <c r="B255" s="7" t="str">
        <f>VLOOKUP(A255,[1]characters!$A:$C,3,FALSE)</f>
        <v>武遊闊歩 ヴィシュヌ</v>
      </c>
    </row>
    <row r="256" spans="1:2" x14ac:dyDescent="0.15">
      <c r="A256" s="59">
        <v>770</v>
      </c>
      <c r="B256" s="7" t="str">
        <f>VLOOKUP(A256,[1]characters!$A:$C,3,FALSE)</f>
        <v>ハヅル</v>
      </c>
    </row>
    <row r="257" spans="1:2" x14ac:dyDescent="0.15">
      <c r="A257" s="59">
        <v>771</v>
      </c>
      <c r="B257" s="7" t="str">
        <f>VLOOKUP(A257,[1]characters!$A:$C,3,FALSE)</f>
        <v>天織羽鶴 ハヅル</v>
      </c>
    </row>
    <row r="258" spans="1:2" x14ac:dyDescent="0.15">
      <c r="A258" s="59">
        <v>772</v>
      </c>
      <c r="B258" s="7" t="str">
        <f>VLOOKUP(A258,[1]characters!$A:$C,3,FALSE)</f>
        <v>イナバ</v>
      </c>
    </row>
    <row r="259" spans="1:2" x14ac:dyDescent="0.15">
      <c r="A259" s="59">
        <v>773</v>
      </c>
      <c r="B259" s="7" t="str">
        <f>VLOOKUP(A259,[1]characters!$A:$C,3,FALSE)</f>
        <v>浮跳天兎 イナバ</v>
      </c>
    </row>
    <row r="260" spans="1:2" x14ac:dyDescent="0.15">
      <c r="A260" s="59">
        <v>774</v>
      </c>
      <c r="B260" s="7" t="str">
        <f>VLOOKUP(A260,[1]characters!$A:$C,3,FALSE)</f>
        <v>ミズチ</v>
      </c>
    </row>
    <row r="261" spans="1:2" x14ac:dyDescent="0.15">
      <c r="A261" s="59">
        <v>775</v>
      </c>
      <c r="B261" s="7" t="str">
        <f>VLOOKUP(A261,[1]characters!$A:$C,3,FALSE)</f>
        <v>水底霊竜 ミズチ</v>
      </c>
    </row>
    <row r="262" spans="1:2" x14ac:dyDescent="0.15">
      <c r="A262" s="59">
        <v>776</v>
      </c>
      <c r="B262" s="7" t="str">
        <f>VLOOKUP(A262,[1]characters!$A:$C,3,FALSE)</f>
        <v>水竜底主 ミズチ</v>
      </c>
    </row>
    <row r="263" spans="1:2" x14ac:dyDescent="0.15">
      <c r="A263" s="59">
        <v>777</v>
      </c>
      <c r="B263" s="7" t="str">
        <f>VLOOKUP(A263,[1]characters!$A:$C,3,FALSE)</f>
        <v>ガメック</v>
      </c>
    </row>
    <row r="264" spans="1:2" x14ac:dyDescent="0.15">
      <c r="A264" s="59">
        <v>778</v>
      </c>
      <c r="B264" s="7" t="str">
        <f>VLOOKUP(A264,[1]characters!$A:$C,3,FALSE)</f>
        <v>一亀懸明 ガメック</v>
      </c>
    </row>
    <row r="265" spans="1:2" x14ac:dyDescent="0.15">
      <c r="A265" s="59">
        <v>779</v>
      </c>
      <c r="B265" s="7" t="str">
        <f>VLOOKUP(A265,[1]characters!$A:$C,3,FALSE)</f>
        <v>頑堅咬亀 ガメック</v>
      </c>
    </row>
    <row r="266" spans="1:2" x14ac:dyDescent="0.15">
      <c r="A266" s="59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60</v>
      </c>
      <c r="B1" s="38"/>
    </row>
    <row r="2" spans="1:2" x14ac:dyDescent="0.15">
      <c r="A2" s="33" t="s">
        <v>1</v>
      </c>
      <c r="B2" s="37" t="s">
        <v>64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input_7327</vt:lpstr>
      <vt:lpstr>tables_7327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2017-04-30T14:37:43Z</dcterms:modified>
</cp:coreProperties>
</file>