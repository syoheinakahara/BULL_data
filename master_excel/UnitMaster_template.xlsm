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417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na2/BULL_data/master_excel/"/>
    </mc:Choice>
  </mc:AlternateContent>
  <bookViews>
    <workbookView xWindow="2540" yWindow="460" windowWidth="24880" windowHeight="16240" tabRatio="963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fork_awake_units" sheetId="58" r:id="rId6"/>
    <sheet name="awake_materials" sheetId="3" r:id="rId7"/>
    <sheet name="abilities" sheetId="56" r:id="rId8"/>
    <sheet name="unit_abilities" sheetId="57" r:id="rId9"/>
    <sheet name="→base値" sheetId="51" r:id="rId10"/>
    <sheet name="コスト" sheetId="13" r:id="rId11"/>
    <sheet name="レベル" sheetId="12" r:id="rId12"/>
    <sheet name="経験値" sheetId="10" r:id="rId13"/>
    <sheet name="RC6SV" sheetId="11" r:id="rId14"/>
    <sheet name="ビット" sheetId="15" r:id="rId15"/>
    <sheet name="チェックシート" sheetId="55" r:id="rId16"/>
  </sheets>
  <externalReferences>
    <externalReference r:id="rId17"/>
    <externalReference r:id="rId18"/>
    <externalReference r:id="rId19"/>
  </externalReferences>
  <definedNames>
    <definedName name="_xlnm._FilterDatabase" localSheetId="6" hidden="1">awake_materials!$B$1:$K$1</definedName>
    <definedName name="_xlnm._FilterDatabase" localSheetId="3" hidden="1">crash_skills!$A$1:$J$1</definedName>
    <definedName name="_xlnm._FilterDatabase" localSheetId="5" hidden="1">fork_awake_units!$A$1:$U$2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5">#REF!</definedName>
    <definedName name="base_character_id" localSheetId="4">#REF!</definedName>
    <definedName name="base_character_id">awake_materials!$B$1</definedName>
    <definedName name="character_id" localSheetId="5">fork_awake_units!$A$1</definedName>
    <definedName name="character_id" localSheetId="4">#REF!</definedName>
    <definedName name="character_id">units!$A$1</definedName>
    <definedName name="LIMIT">INDIRECT("Definitions.xlsm!LIMIT")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2" i="58" l="1"/>
  <c r="G9" i="13"/>
  <c r="K2" i="52"/>
  <c r="H2" i="53"/>
  <c r="I2" i="56"/>
  <c r="C3" i="49"/>
  <c r="E3" i="49"/>
  <c r="C4" i="49"/>
  <c r="C5" i="49"/>
  <c r="E5" i="49"/>
  <c r="C2" i="3"/>
  <c r="J2" i="3"/>
  <c r="H2" i="3"/>
  <c r="F2" i="3"/>
  <c r="E2" i="3"/>
  <c r="D2" i="3"/>
  <c r="G2" i="58"/>
  <c r="U2" i="58"/>
  <c r="R2" i="58"/>
  <c r="O2" i="58"/>
  <c r="N2" i="58"/>
  <c r="M2" i="58"/>
  <c r="L2" i="58"/>
  <c r="J2" i="58"/>
  <c r="K2" i="58"/>
  <c r="I2" i="58"/>
  <c r="H2" i="58"/>
  <c r="F2" i="58"/>
  <c r="E2" i="58"/>
  <c r="D2" i="58"/>
  <c r="C2" i="58"/>
  <c r="B2" i="58"/>
  <c r="F2" i="57"/>
  <c r="E2" i="57"/>
  <c r="B2" i="57"/>
  <c r="C6" i="49"/>
  <c r="C7" i="49"/>
  <c r="C8" i="49"/>
  <c r="C9" i="49"/>
  <c r="C10" i="49"/>
  <c r="C11" i="49"/>
  <c r="C12" i="49"/>
  <c r="C13" i="49"/>
  <c r="C14" i="49"/>
  <c r="C15" i="49"/>
  <c r="E15" i="49"/>
  <c r="E14" i="49"/>
  <c r="E13" i="49"/>
  <c r="J2" i="52"/>
  <c r="C2" i="52"/>
  <c r="G2" i="53"/>
  <c r="C2" i="53"/>
  <c r="G2" i="23"/>
  <c r="P2" i="23"/>
  <c r="G11" i="13"/>
  <c r="G10" i="13"/>
  <c r="G8" i="13"/>
  <c r="G4" i="13"/>
  <c r="G3" i="13"/>
  <c r="G2" i="13"/>
  <c r="B2" i="23"/>
  <c r="C2" i="23"/>
  <c r="D2" i="23"/>
  <c r="E2" i="23"/>
  <c r="F2" i="23"/>
  <c r="H2" i="23"/>
  <c r="I2" i="23"/>
  <c r="J2" i="23"/>
  <c r="K2" i="23"/>
  <c r="L2" i="23"/>
  <c r="M2" i="23"/>
  <c r="N2" i="23"/>
  <c r="O2" i="23"/>
  <c r="Q2" i="23"/>
  <c r="R2" i="23"/>
  <c r="S2" i="23"/>
  <c r="T2" i="23"/>
  <c r="U2" i="23"/>
  <c r="V2" i="23"/>
  <c r="W2" i="23"/>
  <c r="X2" i="23"/>
  <c r="Y2" i="23"/>
  <c r="Z2" i="23"/>
  <c r="AA2" i="23"/>
  <c r="AB2" i="23"/>
  <c r="AC2" i="23"/>
  <c r="AD2" i="23"/>
  <c r="AF2" i="23"/>
  <c r="AG2" i="23"/>
  <c r="AH2" i="23"/>
  <c r="AI2" i="23"/>
  <c r="AK2" i="23"/>
  <c r="AL2" i="23"/>
  <c r="AM2" i="23"/>
  <c r="AN2" i="23"/>
  <c r="AQ2" i="23"/>
  <c r="AR2" i="23"/>
  <c r="AS2" i="23"/>
  <c r="AU2" i="23"/>
  <c r="AV2" i="23"/>
  <c r="AW2" i="23"/>
  <c r="AX2" i="23"/>
  <c r="BC2" i="23"/>
  <c r="BD2" i="23"/>
  <c r="BE2" i="23"/>
  <c r="BF2" i="23"/>
  <c r="BK2" i="23"/>
  <c r="BG2" i="23"/>
  <c r="BL2" i="23"/>
  <c r="BH2" i="23"/>
  <c r="BM2" i="23"/>
  <c r="BI2" i="23"/>
  <c r="BN2" i="23"/>
  <c r="BJ2" i="23"/>
  <c r="B15" i="55"/>
  <c r="C15" i="55"/>
  <c r="D15" i="55"/>
  <c r="B16" i="55"/>
  <c r="C16" i="55"/>
  <c r="D16" i="55"/>
  <c r="D14" i="55"/>
  <c r="C14" i="55"/>
  <c r="B14" i="55"/>
  <c r="A21" i="55"/>
  <c r="A26" i="55"/>
  <c r="A2" i="3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D3" i="54"/>
  <c r="D2" i="54"/>
  <c r="E3" i="54"/>
  <c r="B3" i="54"/>
  <c r="E2" i="54"/>
  <c r="B2" i="54"/>
  <c r="E2" i="53"/>
  <c r="H2" i="52"/>
  <c r="E2" i="52"/>
  <c r="E10" i="49"/>
  <c r="E9" i="49"/>
  <c r="E8" i="49"/>
  <c r="E7" i="49"/>
  <c r="E11" i="49"/>
  <c r="E12" i="49"/>
  <c r="E4" i="49"/>
  <c r="E6" i="49"/>
  <c r="E2" i="49"/>
  <c r="S2" i="58"/>
  <c r="T2" i="58"/>
</calcChain>
</file>

<file path=xl/sharedStrings.xml><?xml version="1.0" encoding="utf-8"?>
<sst xmlns="http://schemas.openxmlformats.org/spreadsheetml/2006/main" count="817" uniqueCount="333">
  <si>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</si>
  <si>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</si>
  <si>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</si>
  <si>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</si>
  <si>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</si>
  <si>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</si>
  <si>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</si>
  <si>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</si>
  <si>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</si>
  <si>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</si>
  <si>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</si>
  <si>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</si>
  <si>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</si>
  <si>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</si>
  <si>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</si>
  <si>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</si>
  <si>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</si>
  <si>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</si>
  <si>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</si>
  <si>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</si>
  <si>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</si>
  <si>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</si>
  <si>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</si>
  <si>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</si>
  <si>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</si>
  <si>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</si>
  <si>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</si>
  <si>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</si>
  <si>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</si>
  <si>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</si>
  <si>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</si>
  <si>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</si>
  <si>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</si>
  <si>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</si>
  <si>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</si>
  <si>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</si>
  <si>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</si>
  <si>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</si>
  <si>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</si>
  <si>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</si>
  <si>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</si>
  <si>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</si>
  <si>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</si>
  <si>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</si>
  <si>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</si>
  <si>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</si>
  <si>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</si>
  <si>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</si>
  <si>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</si>
  <si>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</si>
  <si>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</si>
  <si>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</si>
  <si>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</si>
  <si>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</si>
  <si>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</si>
  <si>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</si>
  <si>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</si>
  <si>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</si>
  <si>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</si>
  <si>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</si>
  <si>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</si>
  <si>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</si>
  <si>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</si>
  <si>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</si>
  <si>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</si>
  <si>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</si>
  <si>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</si>
  <si>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</si>
  <si>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</si>
  <si>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</si>
  <si>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</si>
  <si>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</si>
  <si>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</si>
  <si>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</si>
  <si>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</si>
  <si>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</si>
  <si>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</si>
  <si>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</si>
  <si>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</si>
  <si>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</si>
  <si>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</si>
  <si>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</si>
  <si>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</si>
  <si>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</si>
  <si>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</si>
  <si>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</si>
  <si>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</si>
  <si>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</si>
  <si>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</si>
  <si>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</si>
  <si>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</si>
  <si>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</si>
  <si>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</si>
  <si>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</si>
  <si>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</si>
  <si>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</si>
  <si>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</si>
  <si>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</si>
  <si>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</si>
  <si>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</si>
  <si>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</si>
  <si>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</si>
  <si>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</si>
  <si>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</si>
  <si>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</si>
  <si>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</si>
  <si>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</si>
  <si>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</si>
  <si>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</si>
  <si>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</si>
  <si>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</si>
  <si>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</si>
  <si>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</si>
  <si>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</si>
  <si>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</si>
  <si>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</si>
  <si>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</si>
  <si>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</si>
  <si>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</si>
  <si>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</si>
  <si>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</si>
  <si>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</si>
  <si>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</si>
  <si>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</si>
  <si>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</si>
  <si>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</si>
  <si>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</si>
  <si>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</si>
  <si>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</si>
  <si>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</si>
  <si>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</si>
  <si>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</si>
  <si>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</si>
  <si>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</si>
  <si>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</si>
  <si>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</si>
  <si>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</si>
  <si>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</si>
  <si>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</si>
  <si>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</si>
  <si>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</si>
  <si>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</si>
  <si>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</si>
  <si>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</si>
  <si>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</si>
  <si>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</si>
  <si>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</si>
  <si>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</si>
  <si>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</si>
  <si>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</si>
  <si>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</si>
  <si>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</si>
  <si>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</si>
  <si>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</si>
  <si>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</si>
  <si>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</si>
  <si>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</si>
  <si>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</si>
  <si>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</si>
  <si>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</si>
  <si>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</si>
  <si>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</si>
  <si>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</si>
  <si>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</si>
  <si>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</si>
  <si>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</si>
  <si>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</si>
  <si>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</si>
  <si>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</si>
  <si>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</si>
  <si>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</si>
  <si>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</si>
  <si>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</si>
  <si>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</si>
  <si>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</si>
  <si>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</si>
  <si>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</si>
  <si>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</si>
  <si>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</si>
  <si>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</si>
  <si>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</si>
  <si>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</si>
  <si>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</si>
  <si>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</si>
  <si>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skip</t>
  </si>
  <si>
    <t>対象ユニット</t>
    <rPh sb="0" eb="6">
      <t>タイショ</t>
    </rPh>
    <phoneticPr fontId="22"/>
  </si>
  <si>
    <t>ja</t>
    <phoneticPr fontId="22"/>
  </si>
  <si>
    <t>3ターンの間体力タイプの攻撃力と防御力を大UP+自身の最大HPで攻撃</t>
    <rPh sb="5" eb="6">
      <t>ア</t>
    </rPh>
    <rPh sb="6" eb="8">
      <t>タイリョk</t>
    </rPh>
    <rPh sb="12" eb="15">
      <t>コウゲk</t>
    </rPh>
    <rPh sb="16" eb="19">
      <t>ボ</t>
    </rPh>
    <rPh sb="20" eb="21">
      <t>ダ</t>
    </rPh>
    <rPh sb="24" eb="26">
      <t>ジシン</t>
    </rPh>
    <rPh sb="27" eb="29">
      <t>サイダイ</t>
    </rPh>
    <rPh sb="32" eb="34">
      <t>コウゲk</t>
    </rPh>
    <phoneticPr fontId="22"/>
  </si>
  <si>
    <t>[effect:enhance_unit, target:unit_hp, turn:4, status:attack, val:0.25, calc:add, animation:enhance_unit_all_attack04],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</si>
  <si>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</si>
  <si>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</si>
  <si>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</si>
  <si>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</si>
  <si>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</si>
  <si>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</si>
  <si>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</si>
  <si>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</si>
  <si>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</si>
  <si>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skill</t>
  </si>
  <si>
    <t>maru</t>
  </si>
  <si>
    <t>ja</t>
    <phoneticPr fontId="22"/>
  </si>
  <si>
    <t>あああ</t>
    <phoneticPr fontId="22"/>
  </si>
  <si>
    <t>cskill</t>
  </si>
  <si>
    <t>いいい</t>
    <phoneticPr fontId="22"/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</si>
  <si>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</si>
  <si>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</si>
  <si>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</si>
  <si>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</si>
  <si>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</si>
  <si>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</si>
  <si>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</si>
  <si>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</si>
  <si>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</si>
  <si>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</si>
  <si>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</si>
  <si>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</si>
  <si>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</si>
  <si>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</si>
  <si>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</si>
  <si>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</si>
  <si>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</si>
  <si>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</si>
  <si>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</si>
  <si>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</si>
  <si>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</si>
  <si>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</si>
  <si>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</si>
  <si>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</si>
  <si>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</si>
  <si>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</si>
  <si>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</si>
  <si>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</si>
  <si>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</si>
  <si>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</si>
  <si>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</si>
  <si>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</si>
  <si>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</si>
  <si>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</si>
  <si>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</si>
  <si>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</si>
  <si>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</si>
  <si>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</si>
  <si>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</si>
  <si>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</si>
  <si>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</si>
  <si>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</si>
  <si>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</si>
  <si>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</si>
  <si>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</si>
  <si>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</si>
  <si>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</si>
  <si>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</si>
  <si>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</si>
  <si>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</si>
  <si>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</si>
  <si>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</si>
  <si>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</si>
  <si>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ERROR</t>
    <phoneticPr fontId="22"/>
  </si>
  <si>
    <t>required_exp_300</t>
    <phoneticPr fontId="9"/>
  </si>
  <si>
    <t>skip</t>
    <phoneticPr fontId="22"/>
  </si>
  <si>
    <t>abilities_</t>
    <phoneticPr fontId="22"/>
  </si>
  <si>
    <t>.tmp</t>
    <phoneticPr fontId="22"/>
  </si>
  <si>
    <t>abilities</t>
    <phoneticPr fontId="22"/>
  </si>
  <si>
    <t>ability_id</t>
    <phoneticPr fontId="22"/>
  </si>
  <si>
    <t>ability_param</t>
    <phoneticPr fontId="22"/>
  </si>
  <si>
    <t>valid_flg</t>
    <phoneticPr fontId="22"/>
  </si>
  <si>
    <t>abilities_i18n_</t>
    <phoneticPr fontId="22"/>
  </si>
  <si>
    <t>abilities</t>
    <phoneticPr fontId="22"/>
  </si>
  <si>
    <t>name</t>
    <phoneticPr fontId="22"/>
  </si>
  <si>
    <t>unit_abilities_</t>
    <phoneticPr fontId="22"/>
  </si>
  <si>
    <t>unit_abilities</t>
    <phoneticPr fontId="22"/>
  </si>
  <si>
    <t>ability_slot</t>
    <phoneticPr fontId="22"/>
  </si>
  <si>
    <t>ability_id</t>
    <phoneticPr fontId="9"/>
  </si>
  <si>
    <t>unlock_type</t>
    <phoneticPr fontId="9"/>
  </si>
  <si>
    <t>unlock_value</t>
    <phoneticPr fontId="22"/>
  </si>
  <si>
    <t>名前</t>
    <rPh sb="0" eb="2">
      <t>ナマ</t>
    </rPh>
    <phoneticPr fontId="22"/>
  </si>
  <si>
    <t>ability_slot</t>
    <phoneticPr fontId="22"/>
  </si>
  <si>
    <t>ability_id</t>
    <phoneticPr fontId="9"/>
  </si>
  <si>
    <t>　アビリティ名</t>
    <phoneticPr fontId="22"/>
  </si>
  <si>
    <t>効果</t>
    <rPh sb="0" eb="2">
      <t>コウk</t>
    </rPh>
    <phoneticPr fontId="22"/>
  </si>
  <si>
    <t>unlock_type</t>
    <phoneticPr fontId="9"/>
  </si>
  <si>
    <t>unlock_value</t>
    <phoneticPr fontId="22"/>
  </si>
  <si>
    <t>bug</t>
    <phoneticPr fontId="22"/>
  </si>
  <si>
    <t>1</t>
    <phoneticPr fontId="22"/>
  </si>
  <si>
    <t>character_id</t>
    <phoneticPr fontId="9"/>
  </si>
  <si>
    <t>name</t>
    <phoneticPr fontId="9"/>
  </si>
  <si>
    <t>特徴</t>
    <rPh sb="0" eb="2">
      <t>トクチョウ</t>
    </rPh>
    <phoneticPr fontId="9"/>
  </si>
  <si>
    <t>勢力</t>
    <rPh sb="0" eb="2">
      <t>セイリョク</t>
    </rPh>
    <phoneticPr fontId="9"/>
  </si>
  <si>
    <t>訴求軸</t>
    <phoneticPr fontId="9"/>
  </si>
  <si>
    <t>性別</t>
    <phoneticPr fontId="9"/>
  </si>
  <si>
    <t>character_sub_tribe_id</t>
    <phoneticPr fontId="9"/>
  </si>
  <si>
    <t>防御係数</t>
    <rPh sb="0" eb="2">
      <t>ボウギョ</t>
    </rPh>
    <rPh sb="2" eb="4">
      <t>ケイスウ</t>
    </rPh>
    <phoneticPr fontId="9"/>
  </si>
  <si>
    <t>回復係数</t>
    <rPh sb="0" eb="2">
      <t>カイフク</t>
    </rPh>
    <rPh sb="2" eb="4">
      <t>ケイスウ</t>
    </rPh>
    <phoneticPr fontId="9"/>
  </si>
  <si>
    <t>awake_type</t>
    <phoneticPr fontId="9"/>
  </si>
  <si>
    <t>awake_character_id</t>
    <phoneticPr fontId="9"/>
  </si>
  <si>
    <t>base_character_id</t>
    <phoneticPr fontId="9"/>
  </si>
  <si>
    <t>awake_cost</t>
    <phoneticPr fontId="9"/>
  </si>
  <si>
    <t>character_id</t>
    <phoneticPr fontId="9"/>
  </si>
  <si>
    <t>awake_character_id</t>
    <phoneticPr fontId="9"/>
  </si>
  <si>
    <t>←リトルハンプティは1000 / イベントユニットは100 / 曜日素材は10</t>
    <phoneticPr fontId="9"/>
  </si>
  <si>
    <t>priority</t>
    <phoneticPr fontId="9"/>
  </si>
  <si>
    <t>fork_awake_materials_</t>
    <phoneticPr fontId="22"/>
  </si>
  <si>
    <t>fork_awake_units_</t>
    <phoneticPr fontId="22"/>
  </si>
  <si>
    <t>fork_awake_units</t>
    <phoneticPr fontId="22"/>
  </si>
  <si>
    <t>awake_character_id</t>
    <phoneticPr fontId="9"/>
  </si>
  <si>
    <t>awake_cost</t>
    <phoneticPr fontId="9"/>
  </si>
  <si>
    <t>awake_type</t>
    <phoneticPr fontId="9"/>
  </si>
  <si>
    <t>character_id</t>
    <phoneticPr fontId="22"/>
  </si>
  <si>
    <t>awake_character_id</t>
    <phoneticPr fontId="22"/>
  </si>
  <si>
    <t>material_bug</t>
  </si>
  <si>
    <t>priority</t>
    <phoneticPr fontId="22"/>
  </si>
  <si>
    <t>ability_id</t>
    <phoneticPr fontId="22"/>
  </si>
  <si>
    <t>language</t>
    <phoneticPr fontId="22"/>
  </si>
  <si>
    <t>name</t>
    <phoneticPr fontId="9"/>
  </si>
  <si>
    <t>comment</t>
    <phoneticPr fontId="9"/>
  </si>
  <si>
    <t>ver</t>
    <phoneticPr fontId="22"/>
  </si>
  <si>
    <t>conditions</t>
    <phoneticPr fontId="22"/>
  </si>
  <si>
    <t>effects</t>
    <phoneticPr fontId="22"/>
  </si>
  <si>
    <t>priority</t>
    <phoneticPr fontId="22"/>
  </si>
  <si>
    <t>ability_param</t>
    <phoneticPr fontId="22"/>
  </si>
  <si>
    <t>valid_flg</t>
    <phoneticPr fontId="22"/>
  </si>
  <si>
    <t>ja</t>
    <phoneticPr fontId="22"/>
  </si>
  <si>
    <t>1.7.0</t>
    <phoneticPr fontId="22"/>
  </si>
  <si>
    <t>[effect:enhance_unit, target:myself, turn:1, status:attack, val:0.2, calc:mul, animation:enhance_unit_all_attack03]</t>
    <phoneticPr fontId="22"/>
  </si>
  <si>
    <t>0</t>
    <phoneticPr fontId="22"/>
  </si>
  <si>
    <t>テスト</t>
    <phoneticPr fontId="22"/>
  </si>
  <si>
    <t>テスト</t>
    <phoneticPr fontId="22"/>
  </si>
  <si>
    <t>[condition:active_unit],[condition:panel_chain,count:16]</t>
    <phoneticPr fontId="22"/>
  </si>
  <si>
    <t>PremiumSSw</t>
    <phoneticPr fontId="9"/>
  </si>
  <si>
    <t>PremiumSSw</t>
    <phoneticPr fontId="9"/>
  </si>
  <si>
    <t>PremiumSSw</t>
    <phoneticPr fontId="9"/>
  </si>
  <si>
    <t>category</t>
    <phoneticPr fontId="22"/>
  </si>
  <si>
    <t>その他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</si>
</sst>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</fonts>
  <fills count="29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27"/>
      </patternFill>
    </fill>
    <fill>
      <patternFill patternType="solid">
        <fgColor theme="4" tint="0.79998168889431442"/>
        <bgColor indexed="59"/>
      </patternFill>
    </fill>
    <fill>
      <patternFill patternType="solid">
        <fgColor theme="9" tint="0.79998168889431442"/>
        <bgColor indexed="59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</borders>
  <cellStyleXfs count="4582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95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0" borderId="4" xfId="0" applyFont="1" applyFill="1" applyBorder="1" applyAlignment="1">
      <alignment horizontal="right" vertical="center" wrapText="1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16" fillId="0" borderId="12" xfId="0" applyFont="1" applyBorder="1" applyAlignment="1">
      <alignment horizontal="left" vertical="center"/>
    </xf>
    <xf numFmtId="0" fontId="8" fillId="13" borderId="10" xfId="0" applyFont="1" applyFill="1" applyBorder="1" applyAlignment="1">
      <alignment vertical="center"/>
    </xf>
    <xf numFmtId="0" fontId="16" fillId="13" borderId="4" xfId="0" applyFont="1" applyFill="1" applyBorder="1" applyAlignment="1">
      <alignment vertical="center"/>
    </xf>
    <xf numFmtId="0" fontId="13" fillId="0" borderId="4" xfId="0" applyFont="1" applyBorder="1" applyAlignment="1">
      <alignment horizontal="right" vertical="center" wrapText="1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4" fillId="0" borderId="4" xfId="0" applyFont="1" applyBorder="1" applyAlignment="1">
      <alignment horizontal="right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3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8" borderId="0" xfId="0" applyFont="1" applyFill="1"/>
    <xf numFmtId="0" fontId="16" fillId="0" borderId="4" xfId="0" applyFont="1" applyFill="1" applyBorder="1" applyAlignment="1">
      <alignment vertical="center"/>
    </xf>
    <xf numFmtId="0" fontId="13" fillId="14" borderId="4" xfId="0" applyFont="1" applyFill="1" applyBorder="1" applyAlignment="1">
      <alignment vertical="center"/>
    </xf>
    <xf numFmtId="0" fontId="16" fillId="14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3" borderId="2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5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6" borderId="16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5" borderId="17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5" borderId="11" xfId="0" applyFont="1" applyFill="1" applyBorder="1" applyAlignment="1">
      <alignment horizontal="left" vertical="center"/>
    </xf>
    <xf numFmtId="0" fontId="19" fillId="15" borderId="12" xfId="0" applyFont="1" applyFill="1" applyBorder="1" applyAlignment="1">
      <alignment horizontal="left" vertical="center"/>
    </xf>
    <xf numFmtId="0" fontId="8" fillId="19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0" borderId="4" xfId="0" applyFont="1" applyFill="1" applyBorder="1"/>
    <xf numFmtId="0" fontId="0" fillId="20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0" fillId="0" borderId="4" xfId="0" applyFont="1" applyBorder="1"/>
    <xf numFmtId="0" fontId="0" fillId="21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19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2" borderId="4" xfId="0" applyFill="1" applyBorder="1"/>
    <xf numFmtId="0" fontId="0" fillId="22" borderId="0" xfId="0" applyFill="1"/>
    <xf numFmtId="0" fontId="28" fillId="0" borderId="0" xfId="0" applyFont="1"/>
    <xf numFmtId="0" fontId="16" fillId="23" borderId="3" xfId="0" applyFont="1" applyFill="1" applyBorder="1" applyAlignment="1">
      <alignment horizontal="center" vertical="center"/>
    </xf>
    <xf numFmtId="0" fontId="8" fillId="23" borderId="20" xfId="0" applyFont="1" applyFill="1" applyBorder="1" applyAlignment="1">
      <alignment horizontal="center" vertical="center"/>
    </xf>
    <xf numFmtId="0" fontId="8" fillId="23" borderId="10" xfId="0" applyFont="1" applyFill="1" applyBorder="1" applyAlignment="1">
      <alignment horizontal="center" vertical="center"/>
    </xf>
    <xf numFmtId="0" fontId="8" fillId="24" borderId="10" xfId="0" applyFont="1" applyFill="1" applyBorder="1" applyAlignment="1">
      <alignment vertical="center"/>
    </xf>
    <xf numFmtId="0" fontId="8" fillId="23" borderId="19" xfId="0" applyFont="1" applyFill="1" applyBorder="1" applyAlignment="1">
      <alignment horizontal="center" vertical="center"/>
    </xf>
    <xf numFmtId="0" fontId="8" fillId="23" borderId="4" xfId="0" applyFont="1" applyFill="1" applyBorder="1" applyAlignment="1">
      <alignment horizontal="center" vertical="center"/>
    </xf>
    <xf numFmtId="0" fontId="8" fillId="24" borderId="4" xfId="0" applyFont="1" applyFill="1" applyBorder="1" applyAlignment="1">
      <alignment vertical="center"/>
    </xf>
    <xf numFmtId="0" fontId="8" fillId="23" borderId="23" xfId="0" applyFont="1" applyFill="1" applyBorder="1" applyAlignment="1">
      <alignment horizontal="center" vertical="center"/>
    </xf>
    <xf numFmtId="0" fontId="8" fillId="23" borderId="24" xfId="0" applyFont="1" applyFill="1" applyBorder="1" applyAlignment="1">
      <alignment horizontal="center" vertical="center"/>
    </xf>
    <xf numFmtId="0" fontId="8" fillId="24" borderId="24" xfId="0" applyFont="1" applyFill="1" applyBorder="1" applyAlignment="1">
      <alignment vertical="center"/>
    </xf>
    <xf numFmtId="0" fontId="16" fillId="24" borderId="4" xfId="0" applyFont="1" applyFill="1" applyBorder="1" applyAlignment="1">
      <alignment vertical="center"/>
    </xf>
    <xf numFmtId="0" fontId="18" fillId="24" borderId="4" xfId="0" applyFont="1" applyFill="1" applyBorder="1" applyAlignment="1">
      <alignment horizontal="center" vertical="center"/>
    </xf>
    <xf numFmtId="0" fontId="17" fillId="24" borderId="4" xfId="0" applyFont="1" applyFill="1" applyBorder="1" applyAlignment="1">
      <alignment horizontal="center" vertical="center" wrapText="1"/>
    </xf>
    <xf numFmtId="0" fontId="8" fillId="24" borderId="1" xfId="0" applyFont="1" applyFill="1" applyBorder="1" applyAlignment="1">
      <alignment vertical="center"/>
    </xf>
    <xf numFmtId="0" fontId="8" fillId="23" borderId="25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26" xfId="0" applyFont="1" applyFill="1" applyBorder="1" applyAlignment="1">
      <alignment horizontal="center" vertical="center"/>
    </xf>
    <xf numFmtId="0" fontId="8" fillId="23" borderId="6" xfId="0" applyFont="1" applyFill="1" applyBorder="1" applyAlignment="1">
      <alignment horizontal="center" vertical="center"/>
    </xf>
    <xf numFmtId="0" fontId="8" fillId="23" borderId="27" xfId="0" applyFont="1" applyFill="1" applyBorder="1" applyAlignment="1">
      <alignment horizontal="center" vertical="center"/>
    </xf>
    <xf numFmtId="0" fontId="16" fillId="23" borderId="21" xfId="0" applyFont="1" applyFill="1" applyBorder="1" applyAlignment="1">
      <alignment horizontal="center" vertical="center"/>
    </xf>
    <xf numFmtId="0" fontId="17" fillId="24" borderId="12" xfId="0" applyFont="1" applyFill="1" applyBorder="1" applyAlignment="1">
      <alignment horizontal="center" vertical="center" wrapText="1"/>
    </xf>
    <xf numFmtId="0" fontId="0" fillId="14" borderId="4" xfId="0" applyFill="1" applyBorder="1"/>
    <xf numFmtId="0" fontId="16" fillId="25" borderId="4" xfId="0" applyFont="1" applyFill="1" applyBorder="1" applyAlignment="1">
      <alignment horizontal="center" vertical="center"/>
    </xf>
    <xf numFmtId="0" fontId="0" fillId="25" borderId="4" xfId="0" applyFill="1" applyBorder="1"/>
    <xf numFmtId="0" fontId="13" fillId="25" borderId="15" xfId="0" applyFont="1" applyFill="1" applyBorder="1" applyAlignment="1">
      <alignment horizontal="center" vertical="center"/>
    </xf>
    <xf numFmtId="0" fontId="13" fillId="25" borderId="22" xfId="0" applyFont="1" applyFill="1" applyBorder="1" applyAlignment="1">
      <alignment horizontal="center" vertical="center"/>
    </xf>
    <xf numFmtId="0" fontId="16" fillId="11" borderId="4" xfId="0" applyFont="1" applyFill="1" applyBorder="1" applyAlignment="1">
      <alignment horizontal="center" vertical="center"/>
    </xf>
    <xf numFmtId="0" fontId="16" fillId="24" borderId="4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vertical="center"/>
    </xf>
    <xf numFmtId="0" fontId="12" fillId="0" borderId="4" xfId="0" applyFont="1" applyFill="1" applyBorder="1" applyAlignment="1">
      <alignment vertical="center"/>
    </xf>
    <xf numFmtId="0" fontId="16" fillId="22" borderId="15" xfId="0" applyFont="1" applyFill="1" applyBorder="1" applyAlignment="1">
      <alignment horizontal="center" vertical="center"/>
    </xf>
    <xf numFmtId="0" fontId="13" fillId="22" borderId="15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16" fillId="22" borderId="4" xfId="0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left" vertical="center"/>
    </xf>
    <xf numFmtId="0" fontId="16" fillId="0" borderId="4" xfId="0" applyFont="1" applyFill="1" applyBorder="1" applyAlignment="1">
      <alignment horizontal="right" vertical="center"/>
    </xf>
    <xf numFmtId="0" fontId="13" fillId="26" borderId="4" xfId="0" applyFont="1" applyFill="1" applyBorder="1" applyAlignment="1">
      <alignment horizontal="center" vertical="center" wrapText="1"/>
    </xf>
    <xf numFmtId="0" fontId="14" fillId="7" borderId="4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right" vertical="center" wrapText="1"/>
    </xf>
    <xf numFmtId="0" fontId="12" fillId="27" borderId="4" xfId="0" applyFont="1" applyFill="1" applyBorder="1" applyAlignment="1">
      <alignment horizontal="center"/>
    </xf>
    <xf numFmtId="0" fontId="12" fillId="28" borderId="4" xfId="0" applyFont="1" applyFill="1" applyBorder="1" applyAlignment="1">
      <alignment horizontal="center"/>
    </xf>
    <xf numFmtId="0" fontId="24" fillId="8" borderId="0" xfId="0" applyFont="1" applyFill="1" applyAlignment="1">
      <alignment horizontal="center"/>
    </xf>
    <xf numFmtId="0" fontId="12" fillId="22" borderId="4" xfId="0" applyNumberFormat="1" applyFont="1" applyFill="1" applyBorder="1" applyAlignment="1">
      <alignment vertical="center"/>
    </xf>
    <xf numFmtId="0" fontId="8" fillId="14" borderId="1" xfId="0" applyFont="1" applyFill="1" applyBorder="1" applyAlignment="1">
      <alignment horizontal="center" vertical="center"/>
    </xf>
    <xf numFmtId="0" fontId="16" fillId="22" borderId="4" xfId="0" applyFont="1" applyFill="1" applyBorder="1" applyAlignment="1">
      <alignment vertical="center"/>
    </xf>
    <xf numFmtId="0" fontId="0" fillId="0" borderId="0" xfId="0" applyAlignment="1"/>
    <xf numFmtId="0" fontId="0" fillId="25" borderId="4" xfId="0" applyFill="1" applyBorder="1" applyAlignment="1">
      <alignment horizontal="center"/>
    </xf>
  </cellXfs>
  <cellStyles count="4582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赤字強調" xfId="4"/>
    <cellStyle name="青字強調" xfId="3"/>
  </cellStyles>
  <dxfs count="31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  <mruColors>
      <color rgb="FF293173"/>
      <color rgb="FF3A4497"/>
      <color rgb="FF4A56B8"/>
      <color rgb="FF6552C3"/>
      <color rgb="FF7870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theme" Target="theme/theme1.xml"/><Relationship Id="rId21" Type="http://schemas.openxmlformats.org/officeDocument/2006/relationships/styles" Target="styles.xml"/><Relationship Id="rId22" Type="http://schemas.openxmlformats.org/officeDocument/2006/relationships/sharedStrings" Target="sharedStrings.xml"/><Relationship Id="rId23" Type="http://schemas.openxmlformats.org/officeDocument/2006/relationships/calcChain" Target="calcChain.xml"/><Relationship Id="rId24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externalLink" Target="externalLinks/externalLink1.xml"/><Relationship Id="rId18" Type="http://schemas.openxmlformats.org/officeDocument/2006/relationships/externalLink" Target="externalLinks/externalLink2.xml"/><Relationship Id="rId19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wake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bility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  <cell r="N2" t="str">
            <v>Unknown</v>
          </cell>
          <cell r="O2" t="str">
            <v>none</v>
          </cell>
          <cell r="P2" t="str">
            <v>種族なし</v>
          </cell>
          <cell r="Q2" t="str">
            <v>アタッカー</v>
          </cell>
          <cell r="R2">
            <v>3</v>
          </cell>
          <cell r="S2" t="str">
            <v>NULL</v>
          </cell>
          <cell r="T2" t="str">
            <v>normal</v>
          </cell>
          <cell r="U2" t="str">
            <v>NULL</v>
          </cell>
          <cell r="V2" t="str">
            <v>NULL</v>
          </cell>
          <cell r="W2" t="str">
            <v>NULL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  <cell r="N3" t="str">
            <v>Unknown</v>
          </cell>
          <cell r="O3" t="str">
            <v>none</v>
          </cell>
          <cell r="P3" t="str">
            <v>種族なし</v>
          </cell>
          <cell r="Q3" t="str">
            <v>アタッカー</v>
          </cell>
          <cell r="R3">
            <v>3</v>
          </cell>
          <cell r="S3" t="str">
            <v>NULL</v>
          </cell>
          <cell r="T3" t="str">
            <v>normal</v>
          </cell>
          <cell r="U3" t="str">
            <v>NULL</v>
          </cell>
          <cell r="V3" t="str">
            <v>NULL</v>
          </cell>
          <cell r="W3" t="str">
            <v>NULL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  <cell r="N4" t="str">
            <v>Unknown</v>
          </cell>
          <cell r="O4" t="str">
            <v>none</v>
          </cell>
          <cell r="P4" t="str">
            <v>種族なし</v>
          </cell>
          <cell r="Q4" t="str">
            <v>バッファー</v>
          </cell>
          <cell r="R4">
            <v>3</v>
          </cell>
          <cell r="S4" t="str">
            <v>NULL</v>
          </cell>
          <cell r="T4" t="str">
            <v>normal</v>
          </cell>
          <cell r="U4" t="str">
            <v>NULL</v>
          </cell>
          <cell r="V4" t="str">
            <v>NULL</v>
          </cell>
          <cell r="W4" t="str">
            <v>NULL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  <cell r="N5" t="str">
            <v>Unknown</v>
          </cell>
          <cell r="O5" t="str">
            <v>none</v>
          </cell>
          <cell r="P5" t="str">
            <v>種族なし</v>
          </cell>
          <cell r="Q5" t="str">
            <v>バッファー</v>
          </cell>
          <cell r="R5">
            <v>3</v>
          </cell>
          <cell r="S5" t="str">
            <v>NULL</v>
          </cell>
          <cell r="T5" t="str">
            <v>normal</v>
          </cell>
          <cell r="U5" t="str">
            <v>NULL</v>
          </cell>
          <cell r="V5" t="str">
            <v>NULL</v>
          </cell>
          <cell r="W5" t="str">
            <v>NULL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  <cell r="N6" t="str">
            <v>Unknown</v>
          </cell>
          <cell r="O6" t="str">
            <v>none</v>
          </cell>
          <cell r="P6" t="str">
            <v>種族なし</v>
          </cell>
          <cell r="Q6" t="str">
            <v>ヒーラー</v>
          </cell>
          <cell r="R6">
            <v>3</v>
          </cell>
          <cell r="S6" t="str">
            <v>NULL</v>
          </cell>
          <cell r="T6" t="str">
            <v>normal</v>
          </cell>
          <cell r="U6" t="str">
            <v>NULL</v>
          </cell>
          <cell r="V6" t="str">
            <v>NULL</v>
          </cell>
          <cell r="W6" t="str">
            <v>NULL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  <cell r="N7" t="str">
            <v>Unknown</v>
          </cell>
          <cell r="O7" t="str">
            <v>none</v>
          </cell>
          <cell r="P7" t="str">
            <v>種族なし</v>
          </cell>
          <cell r="Q7" t="str">
            <v>ヒーラー</v>
          </cell>
          <cell r="R7">
            <v>3</v>
          </cell>
          <cell r="S7" t="str">
            <v>NULL</v>
          </cell>
          <cell r="T7" t="str">
            <v>normal</v>
          </cell>
          <cell r="U7" t="str">
            <v>NULL</v>
          </cell>
          <cell r="V7" t="str">
            <v>NULL</v>
          </cell>
          <cell r="W7" t="str">
            <v>NULL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  <cell r="N8" t="str">
            <v>Unknown</v>
          </cell>
          <cell r="O8" t="str">
            <v>none</v>
          </cell>
          <cell r="P8" t="str">
            <v>種族なし</v>
          </cell>
          <cell r="Q8" t="str">
            <v>アタッカー</v>
          </cell>
          <cell r="R8">
            <v>3</v>
          </cell>
          <cell r="S8" t="str">
            <v>NULL</v>
          </cell>
          <cell r="T8" t="str">
            <v>normal</v>
          </cell>
          <cell r="U8" t="str">
            <v>NULL</v>
          </cell>
          <cell r="V8" t="str">
            <v>NULL</v>
          </cell>
          <cell r="W8" t="str">
            <v>NULL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  <cell r="N9" t="str">
            <v>Unknown</v>
          </cell>
          <cell r="O9" t="str">
            <v>none</v>
          </cell>
          <cell r="P9" t="str">
            <v>種族なし</v>
          </cell>
          <cell r="Q9" t="str">
            <v>アタッカー</v>
          </cell>
          <cell r="R9">
            <v>3</v>
          </cell>
          <cell r="S9" t="str">
            <v>NULL</v>
          </cell>
          <cell r="T9" t="str">
            <v>normal</v>
          </cell>
          <cell r="U9" t="str">
            <v>NULL</v>
          </cell>
          <cell r="V9" t="str">
            <v>NULL</v>
          </cell>
          <cell r="W9" t="str">
            <v>NULL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  <cell r="N10" t="str">
            <v>アニマル</v>
          </cell>
          <cell r="O10" t="str">
            <v>none</v>
          </cell>
          <cell r="P10" t="str">
            <v>種族なし</v>
          </cell>
          <cell r="Q10" t="str">
            <v>アタッカー</v>
          </cell>
          <cell r="R10">
            <v>3</v>
          </cell>
          <cell r="S10" t="str">
            <v>NULL</v>
          </cell>
          <cell r="T10" t="str">
            <v>normal</v>
          </cell>
          <cell r="U10" t="str">
            <v>NULL</v>
          </cell>
          <cell r="V10" t="str">
            <v>NULL</v>
          </cell>
          <cell r="W10" t="str">
            <v>NULL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  <cell r="N11" t="str">
            <v>アニマル</v>
          </cell>
          <cell r="O11" t="str">
            <v>none</v>
          </cell>
          <cell r="P11" t="str">
            <v>種族なし</v>
          </cell>
          <cell r="Q11" t="str">
            <v>アタッカー</v>
          </cell>
          <cell r="R11">
            <v>3</v>
          </cell>
          <cell r="S11" t="str">
            <v>NULL</v>
          </cell>
          <cell r="T11" t="str">
            <v>normal</v>
          </cell>
          <cell r="U11" t="str">
            <v>NULL</v>
          </cell>
          <cell r="V11" t="str">
            <v>NULL</v>
          </cell>
          <cell r="W11" t="str">
            <v>NULL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  <cell r="N12" t="str">
            <v>アニマル</v>
          </cell>
          <cell r="O12" t="str">
            <v>none</v>
          </cell>
          <cell r="P12" t="str">
            <v>種族なし</v>
          </cell>
          <cell r="Q12" t="str">
            <v>ヒーラー</v>
          </cell>
          <cell r="R12">
            <v>3</v>
          </cell>
          <cell r="S12" t="str">
            <v>NULL</v>
          </cell>
          <cell r="T12" t="str">
            <v>normal</v>
          </cell>
          <cell r="U12" t="str">
            <v>NULL</v>
          </cell>
          <cell r="V12" t="str">
            <v>NULL</v>
          </cell>
          <cell r="W12" t="str">
            <v>NULL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  <cell r="N13" t="str">
            <v>アニマル</v>
          </cell>
          <cell r="O13" t="str">
            <v>none</v>
          </cell>
          <cell r="P13" t="str">
            <v>種族なし</v>
          </cell>
          <cell r="Q13" t="str">
            <v>ヒーラー</v>
          </cell>
          <cell r="R13">
            <v>3</v>
          </cell>
          <cell r="S13" t="str">
            <v>NULL</v>
          </cell>
          <cell r="T13" t="str">
            <v>normal</v>
          </cell>
          <cell r="U13" t="str">
            <v>NULL</v>
          </cell>
          <cell r="V13" t="str">
            <v>NULL</v>
          </cell>
          <cell r="W13" t="str">
            <v>NULL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  <cell r="N14" t="str">
            <v>アニマル</v>
          </cell>
          <cell r="O14" t="str">
            <v>none</v>
          </cell>
          <cell r="P14" t="str">
            <v>種族なし</v>
          </cell>
          <cell r="Q14" t="str">
            <v>アタッカー</v>
          </cell>
          <cell r="R14">
            <v>3</v>
          </cell>
          <cell r="S14" t="str">
            <v>NULL</v>
          </cell>
          <cell r="T14" t="str">
            <v>normal</v>
          </cell>
          <cell r="U14" t="str">
            <v>NULL</v>
          </cell>
          <cell r="V14" t="str">
            <v>NULL</v>
          </cell>
          <cell r="W14" t="str">
            <v>NULL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  <cell r="N15" t="str">
            <v>アニマル</v>
          </cell>
          <cell r="O15" t="str">
            <v>none</v>
          </cell>
          <cell r="P15" t="str">
            <v>種族なし</v>
          </cell>
          <cell r="Q15" t="str">
            <v>アタッカー</v>
          </cell>
          <cell r="R15">
            <v>3</v>
          </cell>
          <cell r="S15" t="str">
            <v>NULL</v>
          </cell>
          <cell r="T15" t="str">
            <v>normal</v>
          </cell>
          <cell r="U15" t="str">
            <v>NULL</v>
          </cell>
          <cell r="V15" t="str">
            <v>NULL</v>
          </cell>
          <cell r="W15" t="str">
            <v>NULL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  <cell r="N16" t="str">
            <v>ヒューマン</v>
          </cell>
          <cell r="O16" t="str">
            <v>none</v>
          </cell>
          <cell r="P16" t="str">
            <v>種族なし</v>
          </cell>
          <cell r="Q16" t="str">
            <v>バッファー</v>
          </cell>
          <cell r="R16">
            <v>3</v>
          </cell>
          <cell r="S16" t="str">
            <v>NULL</v>
          </cell>
          <cell r="T16" t="str">
            <v>normal</v>
          </cell>
          <cell r="U16" t="str">
            <v>NULL</v>
          </cell>
          <cell r="V16" t="str">
            <v>NULL</v>
          </cell>
          <cell r="W16" t="str">
            <v>NULL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  <cell r="N17" t="str">
            <v>ヒューマン</v>
          </cell>
          <cell r="O17" t="str">
            <v>none</v>
          </cell>
          <cell r="P17" t="str">
            <v>種族なし</v>
          </cell>
          <cell r="Q17" t="str">
            <v>バッファー</v>
          </cell>
          <cell r="R17">
            <v>3</v>
          </cell>
          <cell r="S17" t="str">
            <v>NULL</v>
          </cell>
          <cell r="T17" t="str">
            <v>normal</v>
          </cell>
          <cell r="U17" t="str">
            <v>NULL</v>
          </cell>
          <cell r="V17" t="str">
            <v>NULL</v>
          </cell>
          <cell r="W17" t="str">
            <v>NULL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  <cell r="N18" t="str">
            <v>ヒューマン</v>
          </cell>
          <cell r="O18" t="str">
            <v>machine</v>
          </cell>
          <cell r="P18" t="str">
            <v>マシン</v>
          </cell>
          <cell r="Q18" t="str">
            <v>バッファー</v>
          </cell>
          <cell r="R18">
            <v>3</v>
          </cell>
          <cell r="S18" t="str">
            <v>NULL</v>
          </cell>
          <cell r="T18" t="str">
            <v>normal</v>
          </cell>
          <cell r="U18" t="str">
            <v>NULL</v>
          </cell>
          <cell r="V18" t="str">
            <v>NULL</v>
          </cell>
          <cell r="W18" t="str">
            <v>NULL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  <cell r="N19" t="str">
            <v>ヒューマン</v>
          </cell>
          <cell r="O19" t="str">
            <v>machine</v>
          </cell>
          <cell r="P19" t="str">
            <v>マシン</v>
          </cell>
          <cell r="Q19" t="str">
            <v>バッファー</v>
          </cell>
          <cell r="R19">
            <v>3</v>
          </cell>
          <cell r="S19" t="str">
            <v>NULL</v>
          </cell>
          <cell r="T19" t="str">
            <v>normal</v>
          </cell>
          <cell r="U19" t="str">
            <v>NULL</v>
          </cell>
          <cell r="V19" t="str">
            <v>NULL</v>
          </cell>
          <cell r="W19" t="str">
            <v>NULL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  <cell r="N20" t="str">
            <v>ヒューマン</v>
          </cell>
          <cell r="O20" t="str">
            <v>none</v>
          </cell>
          <cell r="P20" t="str">
            <v>種族なし</v>
          </cell>
          <cell r="Q20" t="str">
            <v>バッファー</v>
          </cell>
          <cell r="R20">
            <v>3</v>
          </cell>
          <cell r="S20" t="str">
            <v>NULL</v>
          </cell>
          <cell r="T20" t="str">
            <v>normal</v>
          </cell>
          <cell r="U20" t="str">
            <v>NULL</v>
          </cell>
          <cell r="V20" t="str">
            <v>NULL</v>
          </cell>
          <cell r="W20" t="str">
            <v>NULL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  <cell r="N21" t="str">
            <v>ヒューマン</v>
          </cell>
          <cell r="O21" t="str">
            <v>none</v>
          </cell>
          <cell r="P21" t="str">
            <v>種族なし</v>
          </cell>
          <cell r="Q21" t="str">
            <v>バッファー</v>
          </cell>
          <cell r="R21">
            <v>3</v>
          </cell>
          <cell r="S21" t="str">
            <v>NULL</v>
          </cell>
          <cell r="T21" t="str">
            <v>normal</v>
          </cell>
          <cell r="U21" t="str">
            <v>NULL</v>
          </cell>
          <cell r="V21" t="str">
            <v>NULL</v>
          </cell>
          <cell r="W21" t="str">
            <v>NULL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  <cell r="N22" t="str">
            <v>ドラゴン</v>
          </cell>
          <cell r="O22" t="str">
            <v>none</v>
          </cell>
          <cell r="P22" t="str">
            <v>種族なし</v>
          </cell>
          <cell r="Q22" t="str">
            <v>アタッカー</v>
          </cell>
          <cell r="R22">
            <v>3</v>
          </cell>
          <cell r="S22" t="str">
            <v>NULL</v>
          </cell>
          <cell r="T22" t="str">
            <v>normal</v>
          </cell>
          <cell r="U22" t="str">
            <v>NULL</v>
          </cell>
          <cell r="V22" t="str">
            <v>NULL</v>
          </cell>
          <cell r="W22" t="str">
            <v>NULL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  <cell r="N23" t="str">
            <v>ドラゴン</v>
          </cell>
          <cell r="O23" t="str">
            <v>none</v>
          </cell>
          <cell r="P23" t="str">
            <v>種族なし</v>
          </cell>
          <cell r="Q23" t="str">
            <v>アタッカー</v>
          </cell>
          <cell r="R23">
            <v>3</v>
          </cell>
          <cell r="S23" t="str">
            <v>NULL</v>
          </cell>
          <cell r="T23" t="str">
            <v>normal</v>
          </cell>
          <cell r="U23" t="str">
            <v>NULL</v>
          </cell>
          <cell r="V23" t="str">
            <v>NULL</v>
          </cell>
          <cell r="W23" t="str">
            <v>NULL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  <cell r="N24" t="str">
            <v>アニマル</v>
          </cell>
          <cell r="O24" t="str">
            <v>none</v>
          </cell>
          <cell r="P24" t="str">
            <v>種族なし</v>
          </cell>
          <cell r="Q24" t="str">
            <v>アタッカー</v>
          </cell>
          <cell r="R24">
            <v>3</v>
          </cell>
          <cell r="S24" t="str">
            <v>NULL</v>
          </cell>
          <cell r="T24" t="str">
            <v>normal</v>
          </cell>
          <cell r="U24" t="str">
            <v>NULL</v>
          </cell>
          <cell r="V24" t="str">
            <v>NULL</v>
          </cell>
          <cell r="W24" t="str">
            <v>NULL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  <cell r="N25" t="str">
            <v>アニマル</v>
          </cell>
          <cell r="O25" t="str">
            <v>none</v>
          </cell>
          <cell r="P25" t="str">
            <v>種族なし</v>
          </cell>
          <cell r="Q25" t="str">
            <v>アタッカー</v>
          </cell>
          <cell r="R25">
            <v>3</v>
          </cell>
          <cell r="S25" t="str">
            <v>NULL</v>
          </cell>
          <cell r="T25" t="str">
            <v>normal</v>
          </cell>
          <cell r="U25" t="str">
            <v>NULL</v>
          </cell>
          <cell r="V25" t="str">
            <v>NULL</v>
          </cell>
          <cell r="W25" t="str">
            <v>NULL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  <cell r="N26" t="str">
            <v>アニマル</v>
          </cell>
          <cell r="O26" t="str">
            <v>none</v>
          </cell>
          <cell r="P26" t="str">
            <v>種族なし</v>
          </cell>
          <cell r="Q26" t="str">
            <v>アタッカー</v>
          </cell>
          <cell r="R26">
            <v>3</v>
          </cell>
          <cell r="S26" t="str">
            <v>NULL</v>
          </cell>
          <cell r="T26" t="str">
            <v>normal</v>
          </cell>
          <cell r="U26" t="str">
            <v>NULL</v>
          </cell>
          <cell r="V26" t="str">
            <v>NULL</v>
          </cell>
          <cell r="W26" t="str">
            <v>NULL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  <cell r="N27" t="str">
            <v>アニマル</v>
          </cell>
          <cell r="O27" t="str">
            <v>none</v>
          </cell>
          <cell r="P27" t="str">
            <v>種族なし</v>
          </cell>
          <cell r="Q27" t="str">
            <v>アタッカー</v>
          </cell>
          <cell r="R27">
            <v>3</v>
          </cell>
          <cell r="S27" t="str">
            <v>NULL</v>
          </cell>
          <cell r="T27" t="str">
            <v>normal</v>
          </cell>
          <cell r="U27" t="str">
            <v>NULL</v>
          </cell>
          <cell r="V27" t="str">
            <v>NULL</v>
          </cell>
          <cell r="W27" t="str">
            <v>NULL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  <cell r="N28" t="str">
            <v>マシン</v>
          </cell>
          <cell r="O28" t="str">
            <v>none</v>
          </cell>
          <cell r="P28" t="str">
            <v>種族なし</v>
          </cell>
          <cell r="Q28" t="str">
            <v>アタッカー</v>
          </cell>
          <cell r="R28">
            <v>3</v>
          </cell>
          <cell r="S28" t="str">
            <v>NULL</v>
          </cell>
          <cell r="T28" t="str">
            <v>normal</v>
          </cell>
          <cell r="U28" t="str">
            <v>NULL</v>
          </cell>
          <cell r="V28" t="str">
            <v>NULL</v>
          </cell>
          <cell r="W28" t="str">
            <v>NULL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  <cell r="N29" t="str">
            <v>マシン</v>
          </cell>
          <cell r="O29" t="str">
            <v>none</v>
          </cell>
          <cell r="P29" t="str">
            <v>種族なし</v>
          </cell>
          <cell r="Q29" t="str">
            <v>アタッカー</v>
          </cell>
          <cell r="R29">
            <v>3</v>
          </cell>
          <cell r="S29" t="str">
            <v>NULL</v>
          </cell>
          <cell r="T29" t="str">
            <v>normal</v>
          </cell>
          <cell r="U29" t="str">
            <v>NULL</v>
          </cell>
          <cell r="V29" t="str">
            <v>NULL</v>
          </cell>
          <cell r="W29" t="str">
            <v>NULL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  <cell r="N30" t="str">
            <v>マシン</v>
          </cell>
          <cell r="O30" t="str">
            <v>none</v>
          </cell>
          <cell r="P30" t="str">
            <v>種族なし</v>
          </cell>
          <cell r="Q30" t="str">
            <v>ヒーラー</v>
          </cell>
          <cell r="R30">
            <v>3</v>
          </cell>
          <cell r="S30" t="str">
            <v>NULL</v>
          </cell>
          <cell r="T30" t="str">
            <v>normal</v>
          </cell>
          <cell r="U30" t="str">
            <v>NULL</v>
          </cell>
          <cell r="V30" t="str">
            <v>NULL</v>
          </cell>
          <cell r="W30" t="str">
            <v>NULL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  <cell r="N31" t="str">
            <v>マシン</v>
          </cell>
          <cell r="O31" t="str">
            <v>none</v>
          </cell>
          <cell r="P31" t="str">
            <v>種族なし</v>
          </cell>
          <cell r="Q31" t="str">
            <v>ヒーラー</v>
          </cell>
          <cell r="R31">
            <v>3</v>
          </cell>
          <cell r="S31" t="str">
            <v>NULL</v>
          </cell>
          <cell r="T31" t="str">
            <v>normal</v>
          </cell>
          <cell r="U31" t="str">
            <v>NULL</v>
          </cell>
          <cell r="V31" t="str">
            <v>NULL</v>
          </cell>
          <cell r="W31" t="str">
            <v>NULL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  <cell r="N32" t="str">
            <v>マシン</v>
          </cell>
          <cell r="O32" t="str">
            <v>none</v>
          </cell>
          <cell r="P32" t="str">
            <v>種族なし</v>
          </cell>
          <cell r="Q32" t="str">
            <v>ハングアッパー</v>
          </cell>
          <cell r="R32">
            <v>3</v>
          </cell>
          <cell r="S32" t="str">
            <v>NULL</v>
          </cell>
          <cell r="T32" t="str">
            <v>normal</v>
          </cell>
          <cell r="U32" t="str">
            <v>NULL</v>
          </cell>
          <cell r="V32" t="str">
            <v>NULL</v>
          </cell>
          <cell r="W32" t="str">
            <v>NULL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  <cell r="N33" t="str">
            <v>マシン</v>
          </cell>
          <cell r="O33" t="str">
            <v>none</v>
          </cell>
          <cell r="P33" t="str">
            <v>種族なし</v>
          </cell>
          <cell r="Q33" t="str">
            <v>ハングアッパー</v>
          </cell>
          <cell r="R33">
            <v>3</v>
          </cell>
          <cell r="S33" t="str">
            <v>NULL</v>
          </cell>
          <cell r="T33" t="str">
            <v>normal</v>
          </cell>
          <cell r="U33" t="str">
            <v>NULL</v>
          </cell>
          <cell r="V33" t="str">
            <v>NULL</v>
          </cell>
          <cell r="W33" t="str">
            <v>NULL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  <cell r="N34" t="str">
            <v>アニマル</v>
          </cell>
          <cell r="O34" t="str">
            <v>none</v>
          </cell>
          <cell r="P34" t="str">
            <v>種族なし</v>
          </cell>
          <cell r="Q34" t="str">
            <v>バッファー</v>
          </cell>
          <cell r="R34">
            <v>3</v>
          </cell>
          <cell r="S34" t="str">
            <v>NULL</v>
          </cell>
          <cell r="T34" t="str">
            <v>normal</v>
          </cell>
          <cell r="U34" t="str">
            <v>NULL</v>
          </cell>
          <cell r="V34" t="str">
            <v>NULL</v>
          </cell>
          <cell r="W34" t="str">
            <v>NULL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  <cell r="N35" t="str">
            <v>アニマル</v>
          </cell>
          <cell r="O35" t="str">
            <v>none</v>
          </cell>
          <cell r="P35" t="str">
            <v>種族なし</v>
          </cell>
          <cell r="Q35" t="str">
            <v>バッファー</v>
          </cell>
          <cell r="R35">
            <v>3</v>
          </cell>
          <cell r="S35" t="str">
            <v>NULL</v>
          </cell>
          <cell r="T35" t="str">
            <v>normal</v>
          </cell>
          <cell r="U35" t="str">
            <v>NULL</v>
          </cell>
          <cell r="V35" t="str">
            <v>NULL</v>
          </cell>
          <cell r="W35" t="str">
            <v>NULL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  <cell r="N36" t="str">
            <v>マシン</v>
          </cell>
          <cell r="O36" t="str">
            <v>none</v>
          </cell>
          <cell r="P36" t="str">
            <v>種族なし</v>
          </cell>
          <cell r="Q36" t="str">
            <v>バッファー</v>
          </cell>
          <cell r="R36">
            <v>3</v>
          </cell>
          <cell r="S36" t="str">
            <v>NULL</v>
          </cell>
          <cell r="T36" t="str">
            <v>normal</v>
          </cell>
          <cell r="U36" t="str">
            <v>NULL</v>
          </cell>
          <cell r="V36" t="str">
            <v>NULL</v>
          </cell>
          <cell r="W36" t="str">
            <v>NULL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  <cell r="N37" t="str">
            <v>マシン</v>
          </cell>
          <cell r="O37" t="str">
            <v>none</v>
          </cell>
          <cell r="P37" t="str">
            <v>種族なし</v>
          </cell>
          <cell r="Q37" t="str">
            <v>バッファー</v>
          </cell>
          <cell r="R37">
            <v>3</v>
          </cell>
          <cell r="S37" t="str">
            <v>NULL</v>
          </cell>
          <cell r="T37" t="str">
            <v>normal</v>
          </cell>
          <cell r="U37" t="str">
            <v>NULL</v>
          </cell>
          <cell r="V37" t="str">
            <v>NULL</v>
          </cell>
          <cell r="W37" t="str">
            <v>NULL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  <cell r="N38" t="str">
            <v>アニマル</v>
          </cell>
          <cell r="O38" t="str">
            <v>none</v>
          </cell>
          <cell r="P38" t="str">
            <v>種族なし</v>
          </cell>
          <cell r="Q38" t="str">
            <v>アタッカー</v>
          </cell>
          <cell r="R38">
            <v>3</v>
          </cell>
          <cell r="S38" t="str">
            <v>NULL</v>
          </cell>
          <cell r="T38" t="str">
            <v>normal</v>
          </cell>
          <cell r="U38" t="str">
            <v>NULL</v>
          </cell>
          <cell r="V38" t="str">
            <v>NULL</v>
          </cell>
          <cell r="W38" t="str">
            <v>NULL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  <cell r="N39" t="str">
            <v>アニマル</v>
          </cell>
          <cell r="O39" t="str">
            <v>none</v>
          </cell>
          <cell r="P39" t="str">
            <v>種族なし</v>
          </cell>
          <cell r="Q39" t="str">
            <v>アタッカー</v>
          </cell>
          <cell r="R39">
            <v>3</v>
          </cell>
          <cell r="S39" t="str">
            <v>NULL</v>
          </cell>
          <cell r="T39" t="str">
            <v>normal</v>
          </cell>
          <cell r="U39" t="str">
            <v>NULL</v>
          </cell>
          <cell r="V39" t="str">
            <v>NULL</v>
          </cell>
          <cell r="W39" t="str">
            <v>NULL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  <cell r="N40" t="str">
            <v>ヒューマン</v>
          </cell>
          <cell r="O40" t="str">
            <v>none</v>
          </cell>
          <cell r="P40" t="str">
            <v>種族なし</v>
          </cell>
          <cell r="Q40" t="str">
            <v>スリーパー</v>
          </cell>
          <cell r="R40">
            <v>3</v>
          </cell>
          <cell r="S40" t="str">
            <v>NULL</v>
          </cell>
          <cell r="T40" t="str">
            <v>normal</v>
          </cell>
          <cell r="U40" t="str">
            <v>NULL</v>
          </cell>
          <cell r="V40" t="str">
            <v>NULL</v>
          </cell>
          <cell r="W40" t="str">
            <v>NULL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  <cell r="N41" t="str">
            <v>ヒューマン</v>
          </cell>
          <cell r="O41" t="str">
            <v>none</v>
          </cell>
          <cell r="P41" t="str">
            <v>種族なし</v>
          </cell>
          <cell r="Q41" t="str">
            <v>スリーパー</v>
          </cell>
          <cell r="R41">
            <v>3</v>
          </cell>
          <cell r="S41" t="str">
            <v>NULL</v>
          </cell>
          <cell r="T41" t="str">
            <v>normal</v>
          </cell>
          <cell r="U41" t="str">
            <v>NULL</v>
          </cell>
          <cell r="V41" t="str">
            <v>NULL</v>
          </cell>
          <cell r="W41" t="str">
            <v>NULL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  <cell r="N42" t="str">
            <v>ドラゴン</v>
          </cell>
          <cell r="O42" t="str">
            <v>none</v>
          </cell>
          <cell r="P42" t="str">
            <v>種族なし</v>
          </cell>
          <cell r="Q42" t="str">
            <v>アタッカー</v>
          </cell>
          <cell r="R42">
            <v>3</v>
          </cell>
          <cell r="S42" t="str">
            <v>NULL</v>
          </cell>
          <cell r="T42" t="str">
            <v>normal</v>
          </cell>
          <cell r="U42" t="str">
            <v>NULL</v>
          </cell>
          <cell r="V42" t="str">
            <v>NULL</v>
          </cell>
          <cell r="W42" t="str">
            <v>NULL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  <cell r="N43" t="str">
            <v>ドラゴン</v>
          </cell>
          <cell r="O43" t="str">
            <v>none</v>
          </cell>
          <cell r="P43" t="str">
            <v>種族なし</v>
          </cell>
          <cell r="Q43" t="str">
            <v>アタッカー</v>
          </cell>
          <cell r="R43">
            <v>3</v>
          </cell>
          <cell r="S43" t="str">
            <v>NULL</v>
          </cell>
          <cell r="T43" t="str">
            <v>normal</v>
          </cell>
          <cell r="U43" t="str">
            <v>NULL</v>
          </cell>
          <cell r="V43" t="str">
            <v>NULL</v>
          </cell>
          <cell r="W43" t="str">
            <v>NULL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  <cell r="N44" t="str">
            <v>ドラゴン</v>
          </cell>
          <cell r="O44" t="str">
            <v>human</v>
          </cell>
          <cell r="P44" t="str">
            <v>ヒューマン</v>
          </cell>
          <cell r="Q44" t="str">
            <v>アタッカー</v>
          </cell>
          <cell r="R44">
            <v>3</v>
          </cell>
          <cell r="S44" t="str">
            <v>NULL</v>
          </cell>
          <cell r="T44" t="str">
            <v>normal</v>
          </cell>
          <cell r="U44" t="str">
            <v>NULL</v>
          </cell>
          <cell r="V44" t="str">
            <v>NULL</v>
          </cell>
          <cell r="W44" t="str">
            <v>NULL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  <cell r="N45" t="str">
            <v>ドラゴン</v>
          </cell>
          <cell r="O45" t="str">
            <v>human</v>
          </cell>
          <cell r="P45" t="str">
            <v>ヒューマン</v>
          </cell>
          <cell r="Q45" t="str">
            <v>アタッカー</v>
          </cell>
          <cell r="R45">
            <v>3</v>
          </cell>
          <cell r="S45" t="str">
            <v>NULL</v>
          </cell>
          <cell r="T45" t="str">
            <v>normal</v>
          </cell>
          <cell r="U45" t="str">
            <v>NULL</v>
          </cell>
          <cell r="V45" t="str">
            <v>NULL</v>
          </cell>
          <cell r="W45" t="str">
            <v>NULL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  <cell r="N46" t="str">
            <v>アニマル</v>
          </cell>
          <cell r="O46" t="str">
            <v>none</v>
          </cell>
          <cell r="P46" t="str">
            <v>種族なし</v>
          </cell>
          <cell r="Q46" t="str">
            <v>アタッカー</v>
          </cell>
          <cell r="R46">
            <v>3</v>
          </cell>
          <cell r="S46" t="str">
            <v>NULL</v>
          </cell>
          <cell r="T46" t="str">
            <v>normal</v>
          </cell>
          <cell r="U46" t="str">
            <v>NULL</v>
          </cell>
          <cell r="V46" t="str">
            <v>NULL</v>
          </cell>
          <cell r="W46" t="str">
            <v>NULL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  <cell r="N47" t="str">
            <v>アニマル</v>
          </cell>
          <cell r="O47" t="str">
            <v>none</v>
          </cell>
          <cell r="P47" t="str">
            <v>種族なし</v>
          </cell>
          <cell r="Q47" t="str">
            <v>アタッカー</v>
          </cell>
          <cell r="R47">
            <v>3</v>
          </cell>
          <cell r="S47" t="str">
            <v>NULL</v>
          </cell>
          <cell r="T47" t="str">
            <v>normal</v>
          </cell>
          <cell r="U47" t="str">
            <v>NULL</v>
          </cell>
          <cell r="V47" t="str">
            <v>NULL</v>
          </cell>
          <cell r="W47" t="str">
            <v>NULL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  <cell r="N48" t="str">
            <v>アニマル</v>
          </cell>
          <cell r="O48" t="str">
            <v>none</v>
          </cell>
          <cell r="P48" t="str">
            <v>種族なし</v>
          </cell>
          <cell r="Q48" t="str">
            <v>アタッカー</v>
          </cell>
          <cell r="R48">
            <v>3</v>
          </cell>
          <cell r="S48" t="str">
            <v>NULL</v>
          </cell>
          <cell r="T48" t="str">
            <v>normal</v>
          </cell>
          <cell r="U48" t="str">
            <v>NULL</v>
          </cell>
          <cell r="V48" t="str">
            <v>NULL</v>
          </cell>
          <cell r="W48" t="str">
            <v>NULL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  <cell r="N49" t="str">
            <v>アニマル</v>
          </cell>
          <cell r="O49" t="str">
            <v>none</v>
          </cell>
          <cell r="P49" t="str">
            <v>種族なし</v>
          </cell>
          <cell r="Q49" t="str">
            <v>アタッカー</v>
          </cell>
          <cell r="R49">
            <v>3</v>
          </cell>
          <cell r="S49" t="str">
            <v>NULL</v>
          </cell>
          <cell r="T49" t="str">
            <v>normal</v>
          </cell>
          <cell r="U49" t="str">
            <v>NULL</v>
          </cell>
          <cell r="V49" t="str">
            <v>NULL</v>
          </cell>
          <cell r="W49" t="str">
            <v>NULL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  <cell r="N50" t="str">
            <v>ヒューマン</v>
          </cell>
          <cell r="O50" t="str">
            <v>none</v>
          </cell>
          <cell r="P50" t="str">
            <v>種族なし</v>
          </cell>
          <cell r="Q50" t="str">
            <v>バッファー</v>
          </cell>
          <cell r="R50">
            <v>3</v>
          </cell>
          <cell r="S50" t="str">
            <v>NULL</v>
          </cell>
          <cell r="T50" t="str">
            <v>normal</v>
          </cell>
          <cell r="U50" t="str">
            <v>NULL</v>
          </cell>
          <cell r="V50" t="str">
            <v>NULL</v>
          </cell>
          <cell r="W50" t="str">
            <v>NULL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  <cell r="N51" t="str">
            <v>ヒューマン</v>
          </cell>
          <cell r="O51" t="str">
            <v>none</v>
          </cell>
          <cell r="P51" t="str">
            <v>種族なし</v>
          </cell>
          <cell r="Q51" t="str">
            <v>バッファー</v>
          </cell>
          <cell r="R51">
            <v>3</v>
          </cell>
          <cell r="S51" t="str">
            <v>NULL</v>
          </cell>
          <cell r="T51" t="str">
            <v>normal</v>
          </cell>
          <cell r="U51" t="str">
            <v>NULL</v>
          </cell>
          <cell r="V51" t="str">
            <v>NULL</v>
          </cell>
          <cell r="W51" t="str">
            <v>NULL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  <cell r="N52" t="str">
            <v>ヒューマン</v>
          </cell>
          <cell r="O52" t="str">
            <v>none</v>
          </cell>
          <cell r="P52" t="str">
            <v>種族なし</v>
          </cell>
          <cell r="Q52" t="str">
            <v>バッファー</v>
          </cell>
          <cell r="R52">
            <v>3</v>
          </cell>
          <cell r="S52" t="str">
            <v>NULL</v>
          </cell>
          <cell r="T52" t="str">
            <v>normal</v>
          </cell>
          <cell r="U52" t="str">
            <v>NULL</v>
          </cell>
          <cell r="V52" t="str">
            <v>NULL</v>
          </cell>
          <cell r="W52" t="str">
            <v>NULL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  <cell r="N53" t="str">
            <v>ヒューマン</v>
          </cell>
          <cell r="O53" t="str">
            <v>none</v>
          </cell>
          <cell r="P53" t="str">
            <v>種族なし</v>
          </cell>
          <cell r="Q53" t="str">
            <v>バッファー</v>
          </cell>
          <cell r="R53">
            <v>3</v>
          </cell>
          <cell r="S53" t="str">
            <v>NULL</v>
          </cell>
          <cell r="T53" t="str">
            <v>normal</v>
          </cell>
          <cell r="U53" t="str">
            <v>NULL</v>
          </cell>
          <cell r="V53" t="str">
            <v>NULL</v>
          </cell>
          <cell r="W53" t="str">
            <v>NULL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  <cell r="N54" t="str">
            <v>ヒューマン</v>
          </cell>
          <cell r="O54" t="str">
            <v>none</v>
          </cell>
          <cell r="P54" t="str">
            <v>種族なし</v>
          </cell>
          <cell r="Q54" t="str">
            <v>バッファー</v>
          </cell>
          <cell r="R54">
            <v>3</v>
          </cell>
          <cell r="S54" t="str">
            <v>NULL</v>
          </cell>
          <cell r="T54" t="str">
            <v>normal</v>
          </cell>
          <cell r="U54" t="str">
            <v>NULL</v>
          </cell>
          <cell r="V54" t="str">
            <v>NULL</v>
          </cell>
          <cell r="W54" t="str">
            <v>NULL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  <cell r="N55" t="str">
            <v>ヒューマン</v>
          </cell>
          <cell r="O55" t="str">
            <v>none</v>
          </cell>
          <cell r="P55" t="str">
            <v>種族なし</v>
          </cell>
          <cell r="Q55" t="str">
            <v>バッファー</v>
          </cell>
          <cell r="R55">
            <v>3</v>
          </cell>
          <cell r="S55" t="str">
            <v>NULL</v>
          </cell>
          <cell r="T55" t="str">
            <v>normal</v>
          </cell>
          <cell r="U55" t="str">
            <v>NULL</v>
          </cell>
          <cell r="V55" t="str">
            <v>NULL</v>
          </cell>
          <cell r="W55" t="str">
            <v>NULL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  <cell r="N56" t="str">
            <v>ヒューマン</v>
          </cell>
          <cell r="O56" t="str">
            <v>none</v>
          </cell>
          <cell r="P56" t="str">
            <v>種族なし</v>
          </cell>
          <cell r="Q56" t="str">
            <v>バッファー</v>
          </cell>
          <cell r="R56">
            <v>3</v>
          </cell>
          <cell r="S56" t="str">
            <v>NULL</v>
          </cell>
          <cell r="T56" t="str">
            <v>normal</v>
          </cell>
          <cell r="U56" t="str">
            <v>NULL</v>
          </cell>
          <cell r="V56" t="str">
            <v>NULL</v>
          </cell>
          <cell r="W56" t="str">
            <v>NULL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  <cell r="N57" t="str">
            <v>ヒューマン</v>
          </cell>
          <cell r="O57" t="str">
            <v>none</v>
          </cell>
          <cell r="P57" t="str">
            <v>種族なし</v>
          </cell>
          <cell r="Q57" t="str">
            <v>バッファー</v>
          </cell>
          <cell r="R57">
            <v>3</v>
          </cell>
          <cell r="S57" t="str">
            <v>NULL</v>
          </cell>
          <cell r="T57" t="str">
            <v>normal</v>
          </cell>
          <cell r="U57" t="str">
            <v>NULL</v>
          </cell>
          <cell r="V57" t="str">
            <v>NULL</v>
          </cell>
          <cell r="W57" t="str">
            <v>NULL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  <cell r="N58" t="str">
            <v>アニマル</v>
          </cell>
          <cell r="O58" t="str">
            <v>none</v>
          </cell>
          <cell r="P58" t="str">
            <v>種族なし</v>
          </cell>
          <cell r="Q58" t="str">
            <v>アタッカーバッファー</v>
          </cell>
          <cell r="R58">
            <v>3</v>
          </cell>
          <cell r="S58" t="str">
            <v>NULL</v>
          </cell>
          <cell r="T58" t="str">
            <v>normal</v>
          </cell>
          <cell r="U58" t="str">
            <v>NULL</v>
          </cell>
          <cell r="V58" t="str">
            <v>NULL</v>
          </cell>
          <cell r="W58" t="str">
            <v>NULL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  <cell r="N59" t="str">
            <v>アニマル</v>
          </cell>
          <cell r="O59" t="str">
            <v>none</v>
          </cell>
          <cell r="P59" t="str">
            <v>種族なし</v>
          </cell>
          <cell r="Q59" t="str">
            <v>アタッカーバッファー</v>
          </cell>
          <cell r="R59">
            <v>3</v>
          </cell>
          <cell r="S59" t="str">
            <v>NULL</v>
          </cell>
          <cell r="T59" t="str">
            <v>normal</v>
          </cell>
          <cell r="U59" t="str">
            <v>NULL</v>
          </cell>
          <cell r="V59" t="str">
            <v>NULL</v>
          </cell>
          <cell r="W59" t="str">
            <v>NULL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  <cell r="N60" t="str">
            <v>アニマル</v>
          </cell>
          <cell r="O60" t="str">
            <v>none</v>
          </cell>
          <cell r="P60" t="str">
            <v>種族なし</v>
          </cell>
          <cell r="Q60" t="str">
            <v>ヒーラー</v>
          </cell>
          <cell r="R60">
            <v>3</v>
          </cell>
          <cell r="S60" t="str">
            <v>NULL</v>
          </cell>
          <cell r="T60" t="str">
            <v>normal</v>
          </cell>
          <cell r="U60" t="str">
            <v>NULL</v>
          </cell>
          <cell r="V60" t="str">
            <v>NULL</v>
          </cell>
          <cell r="W60" t="str">
            <v>NULL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  <cell r="N61" t="str">
            <v>アニマル</v>
          </cell>
          <cell r="O61" t="str">
            <v>none</v>
          </cell>
          <cell r="P61" t="str">
            <v>種族なし</v>
          </cell>
          <cell r="Q61" t="str">
            <v>ヒーラー</v>
          </cell>
          <cell r="R61">
            <v>3</v>
          </cell>
          <cell r="S61" t="str">
            <v>NULL</v>
          </cell>
          <cell r="T61" t="str">
            <v>normal</v>
          </cell>
          <cell r="U61" t="str">
            <v>NULL</v>
          </cell>
          <cell r="V61" t="str">
            <v>NULL</v>
          </cell>
          <cell r="W61" t="str">
            <v>NULL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  <cell r="N62" t="str">
            <v>アニマル</v>
          </cell>
          <cell r="O62" t="str">
            <v>none</v>
          </cell>
          <cell r="P62" t="str">
            <v>種族なし</v>
          </cell>
          <cell r="Q62" t="str">
            <v>ヒーラー</v>
          </cell>
          <cell r="R62">
            <v>3</v>
          </cell>
          <cell r="S62" t="str">
            <v>NULL</v>
          </cell>
          <cell r="T62" t="str">
            <v>normal</v>
          </cell>
          <cell r="U62" t="str">
            <v>NULL</v>
          </cell>
          <cell r="V62" t="str">
            <v>NULL</v>
          </cell>
          <cell r="W62" t="str">
            <v>NULL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  <cell r="N63" t="str">
            <v>アニマル</v>
          </cell>
          <cell r="O63" t="str">
            <v>none</v>
          </cell>
          <cell r="P63" t="str">
            <v>種族なし</v>
          </cell>
          <cell r="Q63" t="str">
            <v>ヒーラー</v>
          </cell>
          <cell r="R63">
            <v>3</v>
          </cell>
          <cell r="S63" t="str">
            <v>NULL</v>
          </cell>
          <cell r="T63" t="str">
            <v>normal</v>
          </cell>
          <cell r="U63" t="str">
            <v>NULL</v>
          </cell>
          <cell r="V63" t="str">
            <v>NULL</v>
          </cell>
          <cell r="W63" t="str">
            <v>NULL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  <cell r="N64" t="str">
            <v>アニマル</v>
          </cell>
          <cell r="O64" t="str">
            <v>none</v>
          </cell>
          <cell r="P64" t="str">
            <v>種族なし</v>
          </cell>
          <cell r="Q64" t="str">
            <v>アタッカーバッファー</v>
          </cell>
          <cell r="R64">
            <v>3</v>
          </cell>
          <cell r="S64" t="str">
            <v>NULL</v>
          </cell>
          <cell r="T64" t="str">
            <v>normal</v>
          </cell>
          <cell r="U64" t="str">
            <v>NULL</v>
          </cell>
          <cell r="V64" t="str">
            <v>NULL</v>
          </cell>
          <cell r="W64" t="str">
            <v>NULL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  <cell r="N65" t="str">
            <v>アニマル</v>
          </cell>
          <cell r="O65" t="str">
            <v>none</v>
          </cell>
          <cell r="P65" t="str">
            <v>種族なし</v>
          </cell>
          <cell r="Q65" t="str">
            <v>アタッカーバッファー</v>
          </cell>
          <cell r="R65">
            <v>3</v>
          </cell>
          <cell r="S65" t="str">
            <v>NULL</v>
          </cell>
          <cell r="T65" t="str">
            <v>normal</v>
          </cell>
          <cell r="U65" t="str">
            <v>NULL</v>
          </cell>
          <cell r="V65" t="str">
            <v>NULL</v>
          </cell>
          <cell r="W65" t="str">
            <v>NULL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  <cell r="N66" t="str">
            <v>アニマル</v>
          </cell>
          <cell r="O66" t="str">
            <v>none</v>
          </cell>
          <cell r="P66" t="str">
            <v>種族なし</v>
          </cell>
          <cell r="Q66" t="str">
            <v>アタッカー</v>
          </cell>
          <cell r="R66">
            <v>3</v>
          </cell>
          <cell r="S66" t="str">
            <v>NULL</v>
          </cell>
          <cell r="T66" t="str">
            <v>normal</v>
          </cell>
          <cell r="U66" t="str">
            <v>NULL</v>
          </cell>
          <cell r="V66" t="str">
            <v>NULL</v>
          </cell>
          <cell r="W66" t="str">
            <v>NULL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  <cell r="N67" t="str">
            <v>アニマル</v>
          </cell>
          <cell r="O67" t="str">
            <v>none</v>
          </cell>
          <cell r="P67" t="str">
            <v>種族なし</v>
          </cell>
          <cell r="Q67" t="str">
            <v>アタッカー</v>
          </cell>
          <cell r="R67">
            <v>3</v>
          </cell>
          <cell r="S67" t="str">
            <v>NULL</v>
          </cell>
          <cell r="T67" t="str">
            <v>normal</v>
          </cell>
          <cell r="U67" t="str">
            <v>NULL</v>
          </cell>
          <cell r="V67" t="str">
            <v>NULL</v>
          </cell>
          <cell r="W67" t="str">
            <v>NULL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  <cell r="N68" t="str">
            <v>アニマル</v>
          </cell>
          <cell r="O68" t="str">
            <v>none</v>
          </cell>
          <cell r="P68" t="str">
            <v>種族なし</v>
          </cell>
          <cell r="Q68" t="str">
            <v>アタッカー</v>
          </cell>
          <cell r="R68">
            <v>3</v>
          </cell>
          <cell r="S68" t="str">
            <v>NULL</v>
          </cell>
          <cell r="T68" t="str">
            <v>normal</v>
          </cell>
          <cell r="U68" t="str">
            <v>NULL</v>
          </cell>
          <cell r="V68" t="str">
            <v>NULL</v>
          </cell>
          <cell r="W68" t="str">
            <v>NULL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  <cell r="N69" t="str">
            <v>アニマル</v>
          </cell>
          <cell r="O69" t="str">
            <v>none</v>
          </cell>
          <cell r="P69" t="str">
            <v>種族なし</v>
          </cell>
          <cell r="Q69" t="str">
            <v>リダクター</v>
          </cell>
          <cell r="R69">
            <v>3</v>
          </cell>
          <cell r="S69" t="str">
            <v>NULL</v>
          </cell>
          <cell r="T69" t="str">
            <v>normal</v>
          </cell>
          <cell r="U69" t="str">
            <v>NULL</v>
          </cell>
          <cell r="V69" t="str">
            <v>NULL</v>
          </cell>
          <cell r="W69" t="str">
            <v>NULL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  <cell r="N70" t="str">
            <v>アニマル</v>
          </cell>
          <cell r="O70" t="str">
            <v>none</v>
          </cell>
          <cell r="P70" t="str">
            <v>種族なし</v>
          </cell>
          <cell r="Q70" t="str">
            <v>リダクター</v>
          </cell>
          <cell r="R70">
            <v>3</v>
          </cell>
          <cell r="S70" t="str">
            <v>NULL</v>
          </cell>
          <cell r="T70" t="str">
            <v>normal</v>
          </cell>
          <cell r="U70" t="str">
            <v>NULL</v>
          </cell>
          <cell r="V70" t="str">
            <v>NULL</v>
          </cell>
          <cell r="W70" t="str">
            <v>NULL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  <cell r="N71" t="str">
            <v>アニマル</v>
          </cell>
          <cell r="O71" t="str">
            <v>none</v>
          </cell>
          <cell r="P71" t="str">
            <v>種族なし</v>
          </cell>
          <cell r="Q71" t="str">
            <v>リダクター</v>
          </cell>
          <cell r="R71">
            <v>3</v>
          </cell>
          <cell r="S71" t="str">
            <v>NULL</v>
          </cell>
          <cell r="T71" t="str">
            <v>normal</v>
          </cell>
          <cell r="U71" t="str">
            <v>NULL</v>
          </cell>
          <cell r="V71" t="str">
            <v>NULL</v>
          </cell>
          <cell r="W71" t="str">
            <v>NULL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  <cell r="N72" t="str">
            <v>アニマル</v>
          </cell>
          <cell r="O72" t="str">
            <v>none</v>
          </cell>
          <cell r="P72" t="str">
            <v>種族なし</v>
          </cell>
          <cell r="Q72" t="str">
            <v>バッファー</v>
          </cell>
          <cell r="R72">
            <v>3</v>
          </cell>
          <cell r="S72" t="str">
            <v>NULL</v>
          </cell>
          <cell r="T72" t="str">
            <v>normal</v>
          </cell>
          <cell r="U72" t="str">
            <v>NULL</v>
          </cell>
          <cell r="V72" t="str">
            <v>NULL</v>
          </cell>
          <cell r="W72" t="str">
            <v>NULL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  <cell r="N73" t="str">
            <v>アニマル</v>
          </cell>
          <cell r="O73" t="str">
            <v>none</v>
          </cell>
          <cell r="P73" t="str">
            <v>種族なし</v>
          </cell>
          <cell r="Q73" t="str">
            <v>バッファー</v>
          </cell>
          <cell r="R73">
            <v>3</v>
          </cell>
          <cell r="S73" t="str">
            <v>NULL</v>
          </cell>
          <cell r="T73" t="str">
            <v>normal</v>
          </cell>
          <cell r="U73" t="str">
            <v>NULL</v>
          </cell>
          <cell r="V73" t="str">
            <v>NULL</v>
          </cell>
          <cell r="W73" t="str">
            <v>NULL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  <cell r="N74" t="str">
            <v>アニマル</v>
          </cell>
          <cell r="O74" t="str">
            <v>none</v>
          </cell>
          <cell r="P74" t="str">
            <v>種族なし</v>
          </cell>
          <cell r="Q74" t="str">
            <v>バッファー</v>
          </cell>
          <cell r="R74">
            <v>3</v>
          </cell>
          <cell r="S74" t="str">
            <v>NULL</v>
          </cell>
          <cell r="T74" t="str">
            <v>normal</v>
          </cell>
          <cell r="U74" t="str">
            <v>NULL</v>
          </cell>
          <cell r="V74" t="str">
            <v>NULL</v>
          </cell>
          <cell r="W74" t="str">
            <v>NULL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  <cell r="N75" t="str">
            <v>アニマル</v>
          </cell>
          <cell r="O75" t="str">
            <v>none</v>
          </cell>
          <cell r="P75" t="str">
            <v>種族なし</v>
          </cell>
          <cell r="Q75" t="str">
            <v>アタッカー</v>
          </cell>
          <cell r="R75">
            <v>3</v>
          </cell>
          <cell r="S75" t="str">
            <v>NULL</v>
          </cell>
          <cell r="T75" t="str">
            <v>normal</v>
          </cell>
          <cell r="U75" t="str">
            <v>NULL</v>
          </cell>
          <cell r="V75" t="str">
            <v>NULL</v>
          </cell>
          <cell r="W75" t="str">
            <v>NULL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  <cell r="N76" t="str">
            <v>アニマル</v>
          </cell>
          <cell r="O76" t="str">
            <v>none</v>
          </cell>
          <cell r="P76" t="str">
            <v>種族なし</v>
          </cell>
          <cell r="Q76" t="str">
            <v>アタッカー</v>
          </cell>
          <cell r="R76">
            <v>3</v>
          </cell>
          <cell r="S76" t="str">
            <v>NULL</v>
          </cell>
          <cell r="T76" t="str">
            <v>normal</v>
          </cell>
          <cell r="U76" t="str">
            <v>NULL</v>
          </cell>
          <cell r="V76" t="str">
            <v>NULL</v>
          </cell>
          <cell r="W76" t="str">
            <v>NULL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  <cell r="N77" t="str">
            <v>アニマル</v>
          </cell>
          <cell r="O77" t="str">
            <v>none</v>
          </cell>
          <cell r="P77" t="str">
            <v>種族なし</v>
          </cell>
          <cell r="Q77" t="str">
            <v>アタッカー</v>
          </cell>
          <cell r="R77">
            <v>3</v>
          </cell>
          <cell r="S77" t="str">
            <v>NULL</v>
          </cell>
          <cell r="T77" t="str">
            <v>normal</v>
          </cell>
          <cell r="U77" t="str">
            <v>NULL</v>
          </cell>
          <cell r="V77" t="str">
            <v>NULL</v>
          </cell>
          <cell r="W77" t="str">
            <v>NULL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  <cell r="N78" t="str">
            <v>Unknown</v>
          </cell>
          <cell r="O78" t="str">
            <v>none</v>
          </cell>
          <cell r="P78" t="str">
            <v>種族なし</v>
          </cell>
          <cell r="Q78" t="str">
            <v>ハングアッパー</v>
          </cell>
          <cell r="R78">
            <v>3</v>
          </cell>
          <cell r="S78" t="str">
            <v>NULL</v>
          </cell>
          <cell r="T78" t="str">
            <v>normal</v>
          </cell>
          <cell r="U78" t="str">
            <v>NULL</v>
          </cell>
          <cell r="V78" t="str">
            <v>NULL</v>
          </cell>
          <cell r="W78" t="str">
            <v>NULL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  <cell r="N79" t="str">
            <v>Unknown</v>
          </cell>
          <cell r="O79" t="str">
            <v>none</v>
          </cell>
          <cell r="P79" t="str">
            <v>種族なし</v>
          </cell>
          <cell r="Q79" t="str">
            <v>ハングアッパー</v>
          </cell>
          <cell r="R79">
            <v>3</v>
          </cell>
          <cell r="S79" t="str">
            <v>NULL</v>
          </cell>
          <cell r="T79" t="str">
            <v>normal</v>
          </cell>
          <cell r="U79" t="str">
            <v>NULL</v>
          </cell>
          <cell r="V79" t="str">
            <v>NULL</v>
          </cell>
          <cell r="W79" t="str">
            <v>NULL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  <cell r="N80" t="str">
            <v>Unknown</v>
          </cell>
          <cell r="O80" t="str">
            <v>none</v>
          </cell>
          <cell r="P80" t="str">
            <v>種族なし</v>
          </cell>
          <cell r="Q80" t="str">
            <v>タップブースター</v>
          </cell>
          <cell r="R80">
            <v>3</v>
          </cell>
          <cell r="S80" t="str">
            <v>NULL</v>
          </cell>
          <cell r="T80" t="str">
            <v>normal</v>
          </cell>
          <cell r="U80" t="str">
            <v>NULL</v>
          </cell>
          <cell r="V80" t="str">
            <v>NULL</v>
          </cell>
          <cell r="W80" t="str">
            <v>NULL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  <cell r="N81" t="str">
            <v>Unknown</v>
          </cell>
          <cell r="O81" t="str">
            <v>none</v>
          </cell>
          <cell r="P81" t="str">
            <v>種族なし</v>
          </cell>
          <cell r="Q81" t="str">
            <v>タップブースター</v>
          </cell>
          <cell r="R81">
            <v>3</v>
          </cell>
          <cell r="S81" t="str">
            <v>NULL</v>
          </cell>
          <cell r="T81" t="str">
            <v>normal</v>
          </cell>
          <cell r="U81" t="str">
            <v>NULL</v>
          </cell>
          <cell r="V81" t="str">
            <v>NULL</v>
          </cell>
          <cell r="W81" t="str">
            <v>NULL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  <cell r="N82" t="str">
            <v>Unknown</v>
          </cell>
          <cell r="O82" t="str">
            <v>none</v>
          </cell>
          <cell r="P82" t="str">
            <v>種族なし</v>
          </cell>
          <cell r="Q82" t="str">
            <v>ボマー</v>
          </cell>
          <cell r="R82">
            <v>3</v>
          </cell>
          <cell r="S82" t="str">
            <v>NULL</v>
          </cell>
          <cell r="T82" t="str">
            <v>normal</v>
          </cell>
          <cell r="U82" t="str">
            <v>NULL</v>
          </cell>
          <cell r="V82" t="str">
            <v>NULL</v>
          </cell>
          <cell r="W82" t="str">
            <v>NULL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  <cell r="N83" t="str">
            <v>Unknown</v>
          </cell>
          <cell r="O83" t="str">
            <v>none</v>
          </cell>
          <cell r="P83" t="str">
            <v>種族なし</v>
          </cell>
          <cell r="Q83" t="str">
            <v>ボマー</v>
          </cell>
          <cell r="R83">
            <v>3</v>
          </cell>
          <cell r="S83" t="str">
            <v>NULL</v>
          </cell>
          <cell r="T83" t="str">
            <v>normal</v>
          </cell>
          <cell r="U83" t="str">
            <v>NULL</v>
          </cell>
          <cell r="V83" t="str">
            <v>NULL</v>
          </cell>
          <cell r="W83" t="str">
            <v>NULL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  <cell r="N84" t="str">
            <v>Unknown</v>
          </cell>
          <cell r="O84" t="str">
            <v>none</v>
          </cell>
          <cell r="P84" t="str">
            <v>種族なし</v>
          </cell>
          <cell r="Q84" t="str">
            <v>ウイルサー</v>
          </cell>
          <cell r="R84">
            <v>3</v>
          </cell>
          <cell r="S84" t="str">
            <v>NULL</v>
          </cell>
          <cell r="T84" t="str">
            <v>normal</v>
          </cell>
          <cell r="U84" t="str">
            <v>NULL</v>
          </cell>
          <cell r="V84" t="str">
            <v>NULL</v>
          </cell>
          <cell r="W84" t="str">
            <v>NULL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  <cell r="N85" t="str">
            <v>Unknown</v>
          </cell>
          <cell r="O85" t="str">
            <v>none</v>
          </cell>
          <cell r="P85" t="str">
            <v>種族なし</v>
          </cell>
          <cell r="Q85" t="str">
            <v>ウイルサー</v>
          </cell>
          <cell r="R85">
            <v>3</v>
          </cell>
          <cell r="S85" t="str">
            <v>NULL</v>
          </cell>
          <cell r="T85" t="str">
            <v>normal</v>
          </cell>
          <cell r="U85" t="str">
            <v>NULL</v>
          </cell>
          <cell r="V85" t="str">
            <v>NULL</v>
          </cell>
          <cell r="W85" t="str">
            <v>NULL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  <cell r="N86" t="str">
            <v>アニマル</v>
          </cell>
          <cell r="O86" t="str">
            <v>god</v>
          </cell>
          <cell r="P86" t="str">
            <v>ゴッド</v>
          </cell>
          <cell r="Q86" t="str">
            <v>アタッカー</v>
          </cell>
          <cell r="R86">
            <v>3</v>
          </cell>
          <cell r="S86" t="str">
            <v>NULL</v>
          </cell>
          <cell r="T86" t="str">
            <v>normal</v>
          </cell>
          <cell r="U86" t="str">
            <v>NULL</v>
          </cell>
          <cell r="V86" t="str">
            <v>NULL</v>
          </cell>
          <cell r="W86" t="str">
            <v>NULL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  <cell r="N87" t="str">
            <v>アニマル</v>
          </cell>
          <cell r="O87" t="str">
            <v>god</v>
          </cell>
          <cell r="P87" t="str">
            <v>ゴッド</v>
          </cell>
          <cell r="Q87" t="str">
            <v>アタッカー</v>
          </cell>
          <cell r="R87">
            <v>3</v>
          </cell>
          <cell r="S87" t="str">
            <v>NULL</v>
          </cell>
          <cell r="T87" t="str">
            <v>normal</v>
          </cell>
          <cell r="U87" t="str">
            <v>NULL</v>
          </cell>
          <cell r="V87" t="str">
            <v>NULL</v>
          </cell>
          <cell r="W87" t="str">
            <v>NULL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  <cell r="N88" t="str">
            <v>アニマル</v>
          </cell>
          <cell r="O88" t="str">
            <v>god</v>
          </cell>
          <cell r="P88" t="str">
            <v>ゴッド</v>
          </cell>
          <cell r="Q88" t="str">
            <v>アタッカー</v>
          </cell>
          <cell r="R88">
            <v>3</v>
          </cell>
          <cell r="S88" t="str">
            <v>NULL</v>
          </cell>
          <cell r="T88" t="str">
            <v>normal</v>
          </cell>
          <cell r="U88" t="str">
            <v>NULL</v>
          </cell>
          <cell r="V88" t="str">
            <v>NULL</v>
          </cell>
          <cell r="W88" t="str">
            <v>NULL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  <cell r="N89" t="str">
            <v>ドラゴン</v>
          </cell>
          <cell r="O89" t="str">
            <v>god</v>
          </cell>
          <cell r="P89" t="str">
            <v>ゴッド</v>
          </cell>
          <cell r="Q89" t="str">
            <v>バッファー</v>
          </cell>
          <cell r="R89">
            <v>3</v>
          </cell>
          <cell r="S89" t="str">
            <v>NULL</v>
          </cell>
          <cell r="T89" t="str">
            <v>normal</v>
          </cell>
          <cell r="U89" t="str">
            <v>NULL</v>
          </cell>
          <cell r="V89" t="str">
            <v>NULL</v>
          </cell>
          <cell r="W89" t="str">
            <v>NULL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  <cell r="N90" t="str">
            <v>ドラゴン</v>
          </cell>
          <cell r="O90" t="str">
            <v>god</v>
          </cell>
          <cell r="P90" t="str">
            <v>ゴッド</v>
          </cell>
          <cell r="Q90" t="str">
            <v>バッファー</v>
          </cell>
          <cell r="R90">
            <v>3</v>
          </cell>
          <cell r="S90" t="str">
            <v>NULL</v>
          </cell>
          <cell r="T90" t="str">
            <v>normal</v>
          </cell>
          <cell r="U90" t="str">
            <v>NULL</v>
          </cell>
          <cell r="V90" t="str">
            <v>NULL</v>
          </cell>
          <cell r="W90" t="str">
            <v>NULL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  <cell r="N91" t="str">
            <v>ドラゴン</v>
          </cell>
          <cell r="O91" t="str">
            <v>god</v>
          </cell>
          <cell r="P91" t="str">
            <v>ゴッド</v>
          </cell>
          <cell r="Q91" t="str">
            <v>バッファー</v>
          </cell>
          <cell r="R91">
            <v>3</v>
          </cell>
          <cell r="S91" t="str">
            <v>NULL</v>
          </cell>
          <cell r="T91" t="str">
            <v>normal</v>
          </cell>
          <cell r="U91" t="str">
            <v>NULL</v>
          </cell>
          <cell r="V91" t="str">
            <v>NULL</v>
          </cell>
          <cell r="W91" t="str">
            <v>NULL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  <cell r="N92" t="str">
            <v>ドラゴン</v>
          </cell>
          <cell r="O92" t="str">
            <v>god</v>
          </cell>
          <cell r="P92" t="str">
            <v>ゴッド</v>
          </cell>
          <cell r="Q92" t="str">
            <v>バッファー</v>
          </cell>
          <cell r="R92">
            <v>3</v>
          </cell>
          <cell r="S92" t="str">
            <v>NULL</v>
          </cell>
          <cell r="T92" t="str">
            <v>normal</v>
          </cell>
          <cell r="U92" t="str">
            <v>NULL</v>
          </cell>
          <cell r="V92" t="str">
            <v>NULL</v>
          </cell>
          <cell r="W92" t="str">
            <v>NULL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  <cell r="N93" t="str">
            <v>ドラゴン</v>
          </cell>
          <cell r="O93" t="str">
            <v>god</v>
          </cell>
          <cell r="P93" t="str">
            <v>ゴッド</v>
          </cell>
          <cell r="Q93" t="str">
            <v>バッファー</v>
          </cell>
          <cell r="R93">
            <v>3</v>
          </cell>
          <cell r="S93" t="str">
            <v>NULL</v>
          </cell>
          <cell r="T93" t="str">
            <v>normal</v>
          </cell>
          <cell r="U93" t="str">
            <v>NULL</v>
          </cell>
          <cell r="V93" t="str">
            <v>NULL</v>
          </cell>
          <cell r="W93" t="str">
            <v>NULL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  <cell r="N94" t="str">
            <v>ドラゴン</v>
          </cell>
          <cell r="O94" t="str">
            <v>god</v>
          </cell>
          <cell r="P94" t="str">
            <v>ゴッド</v>
          </cell>
          <cell r="Q94" t="str">
            <v>バッファー</v>
          </cell>
          <cell r="R94">
            <v>3</v>
          </cell>
          <cell r="S94" t="str">
            <v>NULL</v>
          </cell>
          <cell r="T94" t="str">
            <v>normal</v>
          </cell>
          <cell r="U94" t="str">
            <v>NULL</v>
          </cell>
          <cell r="V94" t="str">
            <v>NULL</v>
          </cell>
          <cell r="W94" t="str">
            <v>NULL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  <cell r="N95" t="str">
            <v>アニマル</v>
          </cell>
          <cell r="O95" t="str">
            <v>god</v>
          </cell>
          <cell r="P95" t="str">
            <v>ゴッド</v>
          </cell>
          <cell r="Q95" t="str">
            <v>アタッカー</v>
          </cell>
          <cell r="R95">
            <v>3</v>
          </cell>
          <cell r="S95" t="str">
            <v>NULL</v>
          </cell>
          <cell r="T95" t="str">
            <v>normal</v>
          </cell>
          <cell r="U95" t="str">
            <v>NULL</v>
          </cell>
          <cell r="V95" t="str">
            <v>NULL</v>
          </cell>
          <cell r="W95" t="str">
            <v>NULL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  <cell r="N96" t="str">
            <v>アニマル</v>
          </cell>
          <cell r="O96" t="str">
            <v>god</v>
          </cell>
          <cell r="P96" t="str">
            <v>ゴッド</v>
          </cell>
          <cell r="Q96" t="str">
            <v>アタッカー</v>
          </cell>
          <cell r="R96">
            <v>3</v>
          </cell>
          <cell r="S96" t="str">
            <v>NULL</v>
          </cell>
          <cell r="T96" t="str">
            <v>normal</v>
          </cell>
          <cell r="U96" t="str">
            <v>NULL</v>
          </cell>
          <cell r="V96" t="str">
            <v>NULL</v>
          </cell>
          <cell r="W96" t="str">
            <v>NULL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  <cell r="N97" t="str">
            <v>アニマル</v>
          </cell>
          <cell r="O97" t="str">
            <v>god</v>
          </cell>
          <cell r="P97" t="str">
            <v>ゴッド</v>
          </cell>
          <cell r="Q97" t="str">
            <v>アタッカー</v>
          </cell>
          <cell r="R97">
            <v>3</v>
          </cell>
          <cell r="S97" t="str">
            <v>NULL</v>
          </cell>
          <cell r="T97" t="str">
            <v>normal</v>
          </cell>
          <cell r="U97" t="str">
            <v>NULL</v>
          </cell>
          <cell r="V97" t="str">
            <v>NULL</v>
          </cell>
          <cell r="W97" t="str">
            <v>NULL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  <cell r="N98" t="str">
            <v>Unknown</v>
          </cell>
          <cell r="O98" t="str">
            <v>none</v>
          </cell>
          <cell r="P98" t="str">
            <v>種族なし</v>
          </cell>
          <cell r="Q98" t="str">
            <v>強化素材</v>
          </cell>
          <cell r="R98">
            <v>3</v>
          </cell>
          <cell r="S98" t="str">
            <v>NULL</v>
          </cell>
          <cell r="T98" t="str">
            <v>normal</v>
          </cell>
          <cell r="U98" t="str">
            <v>NULL</v>
          </cell>
          <cell r="V98" t="str">
            <v>NULL</v>
          </cell>
          <cell r="W98" t="str">
            <v>NULL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  <cell r="N99" t="str">
            <v>Unknown</v>
          </cell>
          <cell r="O99" t="str">
            <v>none</v>
          </cell>
          <cell r="P99" t="str">
            <v>種族なし</v>
          </cell>
          <cell r="Q99" t="str">
            <v>強化素材</v>
          </cell>
          <cell r="R99">
            <v>3</v>
          </cell>
          <cell r="S99" t="str">
            <v>NULL</v>
          </cell>
          <cell r="T99" t="str">
            <v>normal</v>
          </cell>
          <cell r="U99" t="str">
            <v>NULL</v>
          </cell>
          <cell r="V99" t="str">
            <v>NULL</v>
          </cell>
          <cell r="W99" t="str">
            <v>NULL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  <cell r="N100" t="str">
            <v>Unknown</v>
          </cell>
          <cell r="O100" t="str">
            <v>none</v>
          </cell>
          <cell r="P100" t="str">
            <v>種族なし</v>
          </cell>
          <cell r="Q100" t="str">
            <v>強化素材</v>
          </cell>
          <cell r="R100">
            <v>3</v>
          </cell>
          <cell r="S100" t="str">
            <v>NULL</v>
          </cell>
          <cell r="T100" t="str">
            <v>normal</v>
          </cell>
          <cell r="U100" t="str">
            <v>NULL</v>
          </cell>
          <cell r="V100" t="str">
            <v>NULL</v>
          </cell>
          <cell r="W100" t="str">
            <v>NULL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  <cell r="N101" t="str">
            <v>Unknown</v>
          </cell>
          <cell r="O101" t="str">
            <v>none</v>
          </cell>
          <cell r="P101" t="str">
            <v>種族なし</v>
          </cell>
          <cell r="Q101" t="str">
            <v>強化素材</v>
          </cell>
          <cell r="R101">
            <v>3</v>
          </cell>
          <cell r="S101" t="str">
            <v>NULL</v>
          </cell>
          <cell r="T101" t="str">
            <v>normal</v>
          </cell>
          <cell r="U101" t="str">
            <v>NULL</v>
          </cell>
          <cell r="V101" t="str">
            <v>NULL</v>
          </cell>
          <cell r="W101" t="str">
            <v>NULL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  <cell r="N102" t="str">
            <v>Unknown</v>
          </cell>
          <cell r="O102" t="str">
            <v>none</v>
          </cell>
          <cell r="P102" t="str">
            <v>種族なし</v>
          </cell>
          <cell r="Q102" t="str">
            <v>進化素材</v>
          </cell>
          <cell r="R102">
            <v>3</v>
          </cell>
          <cell r="S102" t="str">
            <v>NULL</v>
          </cell>
          <cell r="T102" t="str">
            <v>normal</v>
          </cell>
          <cell r="U102" t="str">
            <v>NULL</v>
          </cell>
          <cell r="V102" t="str">
            <v>NULL</v>
          </cell>
          <cell r="W102" t="str">
            <v>NULL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  <cell r="N103" t="str">
            <v>Unknown</v>
          </cell>
          <cell r="O103" t="str">
            <v>none</v>
          </cell>
          <cell r="P103" t="str">
            <v>種族なし</v>
          </cell>
          <cell r="Q103" t="str">
            <v>進化素材</v>
          </cell>
          <cell r="R103">
            <v>3</v>
          </cell>
          <cell r="S103" t="str">
            <v>NULL</v>
          </cell>
          <cell r="T103" t="str">
            <v>normal</v>
          </cell>
          <cell r="U103" t="str">
            <v>NULL</v>
          </cell>
          <cell r="V103" t="str">
            <v>NULL</v>
          </cell>
          <cell r="W103" t="str">
            <v>NULL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  <cell r="N104" t="str">
            <v>Unknown</v>
          </cell>
          <cell r="O104" t="str">
            <v>none</v>
          </cell>
          <cell r="P104" t="str">
            <v>種族なし</v>
          </cell>
          <cell r="Q104" t="str">
            <v>進化素材</v>
          </cell>
          <cell r="R104">
            <v>3</v>
          </cell>
          <cell r="S104" t="str">
            <v>NULL</v>
          </cell>
          <cell r="T104" t="str">
            <v>normal</v>
          </cell>
          <cell r="U104" t="str">
            <v>NULL</v>
          </cell>
          <cell r="V104" t="str">
            <v>NULL</v>
          </cell>
          <cell r="W104" t="str">
            <v>NULL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  <cell r="N105" t="str">
            <v>Unknown</v>
          </cell>
          <cell r="O105" t="str">
            <v>none</v>
          </cell>
          <cell r="P105" t="str">
            <v>種族なし</v>
          </cell>
          <cell r="Q105" t="str">
            <v>進化素材</v>
          </cell>
          <cell r="R105">
            <v>3</v>
          </cell>
          <cell r="S105" t="str">
            <v>NULL</v>
          </cell>
          <cell r="T105" t="str">
            <v>normal</v>
          </cell>
          <cell r="U105" t="str">
            <v>NULL</v>
          </cell>
          <cell r="V105" t="str">
            <v>NULL</v>
          </cell>
          <cell r="W105" t="str">
            <v>NULL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  <cell r="N106" t="str">
            <v>Unknown</v>
          </cell>
          <cell r="O106" t="str">
            <v>none</v>
          </cell>
          <cell r="P106" t="str">
            <v>種族なし</v>
          </cell>
          <cell r="Q106" t="str">
            <v>進化素材</v>
          </cell>
          <cell r="R106">
            <v>3</v>
          </cell>
          <cell r="S106" t="str">
            <v>NULL</v>
          </cell>
          <cell r="T106" t="str">
            <v>normal</v>
          </cell>
          <cell r="U106" t="str">
            <v>NULL</v>
          </cell>
          <cell r="V106" t="str">
            <v>NULL</v>
          </cell>
          <cell r="W106" t="str">
            <v>NULL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  <cell r="N107" t="str">
            <v>Unknown</v>
          </cell>
          <cell r="O107" t="str">
            <v>none</v>
          </cell>
          <cell r="P107" t="str">
            <v>種族なし</v>
          </cell>
          <cell r="Q107" t="str">
            <v>進化素材</v>
          </cell>
          <cell r="R107">
            <v>3</v>
          </cell>
          <cell r="S107" t="str">
            <v>NULL</v>
          </cell>
          <cell r="T107" t="str">
            <v>normal</v>
          </cell>
          <cell r="U107" t="str">
            <v>NULL</v>
          </cell>
          <cell r="V107" t="str">
            <v>NULL</v>
          </cell>
          <cell r="W107" t="str">
            <v>NULL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  <cell r="N108" t="str">
            <v>Unknown</v>
          </cell>
          <cell r="O108" t="str">
            <v>none</v>
          </cell>
          <cell r="P108" t="str">
            <v>種族なし</v>
          </cell>
          <cell r="Q108" t="str">
            <v>進化素材</v>
          </cell>
          <cell r="R108">
            <v>3</v>
          </cell>
          <cell r="S108" t="str">
            <v>NULL</v>
          </cell>
          <cell r="T108" t="str">
            <v>normal</v>
          </cell>
          <cell r="U108" t="str">
            <v>NULL</v>
          </cell>
          <cell r="V108" t="str">
            <v>NULL</v>
          </cell>
          <cell r="W108" t="str">
            <v>NULL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  <cell r="N109" t="str">
            <v>Unknown</v>
          </cell>
          <cell r="O109" t="str">
            <v>none</v>
          </cell>
          <cell r="P109" t="str">
            <v>種族なし</v>
          </cell>
          <cell r="Q109" t="str">
            <v>進化素材</v>
          </cell>
          <cell r="R109">
            <v>3</v>
          </cell>
          <cell r="S109" t="str">
            <v>NULL</v>
          </cell>
          <cell r="T109" t="str">
            <v>normal</v>
          </cell>
          <cell r="U109" t="str">
            <v>NULL</v>
          </cell>
          <cell r="V109" t="str">
            <v>NULL</v>
          </cell>
          <cell r="W109" t="str">
            <v>NULL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  <cell r="N110" t="str">
            <v>Unknown</v>
          </cell>
          <cell r="O110" t="str">
            <v>none</v>
          </cell>
          <cell r="P110" t="str">
            <v>種族なし</v>
          </cell>
          <cell r="Q110" t="str">
            <v>進化素材</v>
          </cell>
          <cell r="R110">
            <v>3</v>
          </cell>
          <cell r="S110" t="str">
            <v>NULL</v>
          </cell>
          <cell r="T110" t="str">
            <v>normal</v>
          </cell>
          <cell r="U110" t="str">
            <v>NULL</v>
          </cell>
          <cell r="V110" t="str">
            <v>NULL</v>
          </cell>
          <cell r="W110" t="str">
            <v>NULL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  <cell r="N111" t="str">
            <v>Unknown</v>
          </cell>
          <cell r="O111" t="str">
            <v>none</v>
          </cell>
          <cell r="P111" t="str">
            <v>種族なし</v>
          </cell>
          <cell r="Q111" t="str">
            <v>進化素材</v>
          </cell>
          <cell r="R111">
            <v>3</v>
          </cell>
          <cell r="S111" t="str">
            <v>NULL</v>
          </cell>
          <cell r="T111" t="str">
            <v>normal</v>
          </cell>
          <cell r="U111" t="str">
            <v>NULL</v>
          </cell>
          <cell r="V111" t="str">
            <v>NULL</v>
          </cell>
          <cell r="W111" t="str">
            <v>NULL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  <cell r="N112" t="str">
            <v>Unknown</v>
          </cell>
          <cell r="O112" t="str">
            <v>none</v>
          </cell>
          <cell r="P112" t="str">
            <v>種族なし</v>
          </cell>
          <cell r="Q112" t="str">
            <v>進化素材</v>
          </cell>
          <cell r="R112">
            <v>3</v>
          </cell>
          <cell r="S112" t="str">
            <v>NULL</v>
          </cell>
          <cell r="T112" t="str">
            <v>normal</v>
          </cell>
          <cell r="U112" t="str">
            <v>NULL</v>
          </cell>
          <cell r="V112" t="str">
            <v>NULL</v>
          </cell>
          <cell r="W112" t="str">
            <v>NULL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  <cell r="N113" t="str">
            <v>Unknown</v>
          </cell>
          <cell r="O113" t="str">
            <v>none</v>
          </cell>
          <cell r="P113" t="str">
            <v>種族なし</v>
          </cell>
          <cell r="Q113" t="str">
            <v>進化素材</v>
          </cell>
          <cell r="R113">
            <v>3</v>
          </cell>
          <cell r="S113" t="str">
            <v>NULL</v>
          </cell>
          <cell r="T113" t="str">
            <v>normal</v>
          </cell>
          <cell r="U113" t="str">
            <v>NULL</v>
          </cell>
          <cell r="V113" t="str">
            <v>NULL</v>
          </cell>
          <cell r="W113" t="str">
            <v>NULL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  <cell r="N114" t="str">
            <v>Unknown</v>
          </cell>
          <cell r="O114" t="str">
            <v>none</v>
          </cell>
          <cell r="P114" t="str">
            <v>種族なし</v>
          </cell>
          <cell r="Q114" t="str">
            <v>進化素材</v>
          </cell>
          <cell r="R114">
            <v>3</v>
          </cell>
          <cell r="S114" t="str">
            <v>NULL</v>
          </cell>
          <cell r="T114" t="str">
            <v>normal</v>
          </cell>
          <cell r="U114" t="str">
            <v>NULL</v>
          </cell>
          <cell r="V114" t="str">
            <v>NULL</v>
          </cell>
          <cell r="W114" t="str">
            <v>NULL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  <cell r="N115" t="str">
            <v>Unknown</v>
          </cell>
          <cell r="O115" t="str">
            <v>none</v>
          </cell>
          <cell r="P115" t="str">
            <v>種族なし</v>
          </cell>
          <cell r="Q115" t="str">
            <v>進化素材</v>
          </cell>
          <cell r="R115">
            <v>3</v>
          </cell>
          <cell r="S115" t="str">
            <v>NULL</v>
          </cell>
          <cell r="T115" t="str">
            <v>normal</v>
          </cell>
          <cell r="U115" t="str">
            <v>NULL</v>
          </cell>
          <cell r="V115" t="str">
            <v>NULL</v>
          </cell>
          <cell r="W115" t="str">
            <v>NULL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  <cell r="N116" t="str">
            <v>Unknown</v>
          </cell>
          <cell r="O116" t="str">
            <v>none</v>
          </cell>
          <cell r="P116" t="str">
            <v>種族なし</v>
          </cell>
          <cell r="Q116" t="str">
            <v>進化素材</v>
          </cell>
          <cell r="R116">
            <v>3</v>
          </cell>
          <cell r="S116" t="str">
            <v>NULL</v>
          </cell>
          <cell r="T116" t="str">
            <v>normal</v>
          </cell>
          <cell r="U116" t="str">
            <v>NULL</v>
          </cell>
          <cell r="V116" t="str">
            <v>NULL</v>
          </cell>
          <cell r="W116" t="str">
            <v>NULL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  <cell r="N117" t="str">
            <v>Unknown</v>
          </cell>
          <cell r="O117" t="str">
            <v>none</v>
          </cell>
          <cell r="P117" t="str">
            <v>種族なし</v>
          </cell>
          <cell r="Q117" t="str">
            <v>進化素材</v>
          </cell>
          <cell r="R117">
            <v>3</v>
          </cell>
          <cell r="S117" t="str">
            <v>NULL</v>
          </cell>
          <cell r="T117" t="str">
            <v>normal</v>
          </cell>
          <cell r="U117" t="str">
            <v>NULL</v>
          </cell>
          <cell r="V117" t="str">
            <v>NULL</v>
          </cell>
          <cell r="W117" t="str">
            <v>NULL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  <cell r="N118" t="str">
            <v>Unknown</v>
          </cell>
          <cell r="O118" t="str">
            <v>none</v>
          </cell>
          <cell r="P118" t="str">
            <v>種族なし</v>
          </cell>
          <cell r="Q118" t="str">
            <v>売却素材</v>
          </cell>
          <cell r="R118">
            <v>3</v>
          </cell>
          <cell r="S118" t="str">
            <v>NULL</v>
          </cell>
          <cell r="T118" t="str">
            <v>normal</v>
          </cell>
          <cell r="U118" t="str">
            <v>NULL</v>
          </cell>
          <cell r="V118" t="str">
            <v>NULL</v>
          </cell>
          <cell r="W118" t="str">
            <v>NULL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  <cell r="N119" t="str">
            <v>Unknown</v>
          </cell>
          <cell r="O119" t="str">
            <v>none</v>
          </cell>
          <cell r="P119" t="str">
            <v>種族なし</v>
          </cell>
          <cell r="Q119" t="str">
            <v>売却素材</v>
          </cell>
          <cell r="R119">
            <v>3</v>
          </cell>
          <cell r="S119" t="str">
            <v>NULL</v>
          </cell>
          <cell r="T119" t="str">
            <v>normal</v>
          </cell>
          <cell r="U119" t="str">
            <v>NULL</v>
          </cell>
          <cell r="V119" t="str">
            <v>NULL</v>
          </cell>
          <cell r="W119" t="str">
            <v>NULL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  <cell r="N120" t="str">
            <v>Unknown</v>
          </cell>
          <cell r="O120" t="str">
            <v>none</v>
          </cell>
          <cell r="P120" t="str">
            <v>種族なし</v>
          </cell>
          <cell r="Q120" t="str">
            <v>売却素材</v>
          </cell>
          <cell r="R120">
            <v>3</v>
          </cell>
          <cell r="S120" t="str">
            <v>NULL</v>
          </cell>
          <cell r="T120" t="str">
            <v>normal</v>
          </cell>
          <cell r="U120" t="str">
            <v>NULL</v>
          </cell>
          <cell r="V120" t="str">
            <v>NULL</v>
          </cell>
          <cell r="W120" t="str">
            <v>NULL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  <cell r="N121" t="str">
            <v>Unknown</v>
          </cell>
          <cell r="O121" t="str">
            <v>none</v>
          </cell>
          <cell r="P121" t="str">
            <v>種族なし</v>
          </cell>
          <cell r="Q121" t="str">
            <v>売却素材</v>
          </cell>
          <cell r="R121">
            <v>3</v>
          </cell>
          <cell r="S121" t="str">
            <v>NULL</v>
          </cell>
          <cell r="T121" t="str">
            <v>normal</v>
          </cell>
          <cell r="U121" t="str">
            <v>NULL</v>
          </cell>
          <cell r="V121" t="str">
            <v>NULL</v>
          </cell>
          <cell r="W121" t="str">
            <v>NULL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  <cell r="N122" t="str">
            <v>Unknown</v>
          </cell>
          <cell r="O122" t="str">
            <v>none</v>
          </cell>
          <cell r="P122" t="str">
            <v>種族なし</v>
          </cell>
          <cell r="Q122" t="str">
            <v>限界突破素材</v>
          </cell>
          <cell r="R122">
            <v>3</v>
          </cell>
          <cell r="S122" t="str">
            <v>NULL</v>
          </cell>
          <cell r="T122" t="str">
            <v>normal</v>
          </cell>
          <cell r="U122" t="str">
            <v>NULL</v>
          </cell>
          <cell r="V122" t="str">
            <v>NULL</v>
          </cell>
          <cell r="W122" t="str">
            <v>NULL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  <cell r="N123" t="str">
            <v>Unknown</v>
          </cell>
          <cell r="O123" t="str">
            <v>none</v>
          </cell>
          <cell r="P123" t="str">
            <v>種族なし</v>
          </cell>
          <cell r="Q123" t="str">
            <v>限界突破素材</v>
          </cell>
          <cell r="R123">
            <v>3</v>
          </cell>
          <cell r="S123" t="str">
            <v>NULL</v>
          </cell>
          <cell r="T123" t="str">
            <v>normal</v>
          </cell>
          <cell r="U123" t="str">
            <v>NULL</v>
          </cell>
          <cell r="V123" t="str">
            <v>NULL</v>
          </cell>
          <cell r="W123" t="str">
            <v>NULL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  <cell r="N124" t="str">
            <v>Unknown</v>
          </cell>
          <cell r="O124" t="str">
            <v>none</v>
          </cell>
          <cell r="P124" t="str">
            <v>種族なし</v>
          </cell>
          <cell r="Q124" t="str">
            <v>限界突破素材</v>
          </cell>
          <cell r="R124">
            <v>3</v>
          </cell>
          <cell r="S124" t="str">
            <v>NULL</v>
          </cell>
          <cell r="T124" t="str">
            <v>normal</v>
          </cell>
          <cell r="U124" t="str">
            <v>NULL</v>
          </cell>
          <cell r="V124" t="str">
            <v>NULL</v>
          </cell>
          <cell r="W124" t="str">
            <v>NULL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  <cell r="N125" t="str">
            <v>Unknown</v>
          </cell>
          <cell r="O125" t="str">
            <v>none</v>
          </cell>
          <cell r="P125" t="str">
            <v>種族なし</v>
          </cell>
          <cell r="Q125" t="str">
            <v>ドロップビットエネミー</v>
          </cell>
          <cell r="R125">
            <v>3</v>
          </cell>
          <cell r="S125" t="str">
            <v>NULL</v>
          </cell>
          <cell r="T125" t="str">
            <v>normal</v>
          </cell>
          <cell r="U125" t="str">
            <v>NULL</v>
          </cell>
          <cell r="V125" t="str">
            <v>NULL</v>
          </cell>
          <cell r="W125" t="str">
            <v>NULL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  <cell r="N126" t="str">
            <v>Unknown</v>
          </cell>
          <cell r="O126" t="str">
            <v>none</v>
          </cell>
          <cell r="P126" t="str">
            <v>種族なし</v>
          </cell>
          <cell r="Q126" t="str">
            <v>スキル進化素材</v>
          </cell>
          <cell r="R126">
            <v>3</v>
          </cell>
          <cell r="S126" t="str">
            <v>NULL</v>
          </cell>
          <cell r="T126" t="str">
            <v>normal</v>
          </cell>
          <cell r="U126" t="str">
            <v>NULL</v>
          </cell>
          <cell r="V126" t="str">
            <v>NULL</v>
          </cell>
          <cell r="W126" t="str">
            <v>NULL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  <cell r="N127" t="str">
            <v>ヒューマン</v>
          </cell>
          <cell r="O127" t="str">
            <v>animal</v>
          </cell>
          <cell r="P127" t="str">
            <v>アニマル</v>
          </cell>
          <cell r="Q127" t="str">
            <v>バッファー</v>
          </cell>
          <cell r="R127">
            <v>3</v>
          </cell>
          <cell r="S127" t="str">
            <v>NULL</v>
          </cell>
          <cell r="T127" t="str">
            <v>normal</v>
          </cell>
          <cell r="U127" t="str">
            <v>NULL</v>
          </cell>
          <cell r="V127" t="str">
            <v>NULL</v>
          </cell>
          <cell r="W127" t="str">
            <v>NULL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  <cell r="N128" t="str">
            <v>ヒューマン</v>
          </cell>
          <cell r="O128" t="str">
            <v>animal</v>
          </cell>
          <cell r="P128" t="str">
            <v>アニマル</v>
          </cell>
          <cell r="Q128" t="str">
            <v>バッファー</v>
          </cell>
          <cell r="R128">
            <v>3</v>
          </cell>
          <cell r="S128" t="str">
            <v>NULL</v>
          </cell>
          <cell r="T128" t="str">
            <v>normal</v>
          </cell>
          <cell r="U128" t="str">
            <v>NULL</v>
          </cell>
          <cell r="V128" t="str">
            <v>NULL</v>
          </cell>
          <cell r="W128" t="str">
            <v>NULL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  <cell r="N129" t="str">
            <v>ヒューマン</v>
          </cell>
          <cell r="O129" t="str">
            <v>animal</v>
          </cell>
          <cell r="P129" t="str">
            <v>アニマル</v>
          </cell>
          <cell r="Q129" t="str">
            <v>バッファー</v>
          </cell>
          <cell r="R129">
            <v>3</v>
          </cell>
          <cell r="S129" t="str">
            <v>NULL</v>
          </cell>
          <cell r="T129" t="str">
            <v>normal</v>
          </cell>
          <cell r="U129" t="str">
            <v>NULL</v>
          </cell>
          <cell r="V129" t="str">
            <v>NULL</v>
          </cell>
          <cell r="W129" t="str">
            <v>NULL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  <cell r="N130" t="str">
            <v>ヒューマン</v>
          </cell>
          <cell r="O130" t="str">
            <v>animal</v>
          </cell>
          <cell r="P130" t="str">
            <v>アニマル</v>
          </cell>
          <cell r="Q130" t="str">
            <v>バッファー</v>
          </cell>
          <cell r="R130">
            <v>3</v>
          </cell>
          <cell r="S130" t="str">
            <v>NULL</v>
          </cell>
          <cell r="T130" t="str">
            <v>normal</v>
          </cell>
          <cell r="U130" t="str">
            <v>NULL</v>
          </cell>
          <cell r="V130" t="str">
            <v>NULL</v>
          </cell>
          <cell r="W130" t="str">
            <v>NULL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  <cell r="N131" t="str">
            <v>アニマル</v>
          </cell>
          <cell r="O131" t="str">
            <v>none</v>
          </cell>
          <cell r="P131" t="str">
            <v>種族なし</v>
          </cell>
          <cell r="Q131" t="str">
            <v>バッファー</v>
          </cell>
          <cell r="R131">
            <v>3</v>
          </cell>
          <cell r="S131" t="str">
            <v>NULL</v>
          </cell>
          <cell r="T131" t="str">
            <v>normal</v>
          </cell>
          <cell r="U131" t="str">
            <v>NULL</v>
          </cell>
          <cell r="V131" t="str">
            <v>NULL</v>
          </cell>
          <cell r="W131" t="str">
            <v>NULL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  <cell r="N132" t="str">
            <v>アニマル</v>
          </cell>
          <cell r="O132" t="str">
            <v>none</v>
          </cell>
          <cell r="P132" t="str">
            <v>種族なし</v>
          </cell>
          <cell r="Q132" t="str">
            <v>バッファー</v>
          </cell>
          <cell r="R132">
            <v>3</v>
          </cell>
          <cell r="S132" t="str">
            <v>NULL</v>
          </cell>
          <cell r="T132" t="str">
            <v>normal</v>
          </cell>
          <cell r="U132" t="str">
            <v>NULL</v>
          </cell>
          <cell r="V132" t="str">
            <v>NULL</v>
          </cell>
          <cell r="W132" t="str">
            <v>NULL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  <cell r="N133" t="str">
            <v>ヒューマン</v>
          </cell>
          <cell r="O133" t="str">
            <v>animal</v>
          </cell>
          <cell r="P133" t="str">
            <v>アニマル</v>
          </cell>
          <cell r="Q133" t="str">
            <v>バッファー</v>
          </cell>
          <cell r="R133">
            <v>3</v>
          </cell>
          <cell r="S133" t="str">
            <v>NULL</v>
          </cell>
          <cell r="T133" t="str">
            <v>normal</v>
          </cell>
          <cell r="U133" t="str">
            <v>NULL</v>
          </cell>
          <cell r="V133" t="str">
            <v>NULL</v>
          </cell>
          <cell r="W133" t="str">
            <v>NULL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  <cell r="N134" t="str">
            <v>ヒューマン</v>
          </cell>
          <cell r="O134" t="str">
            <v>animal</v>
          </cell>
          <cell r="P134" t="str">
            <v>アニマル</v>
          </cell>
          <cell r="Q134" t="str">
            <v>バッファー</v>
          </cell>
          <cell r="R134">
            <v>3</v>
          </cell>
          <cell r="S134" t="str">
            <v>NULL</v>
          </cell>
          <cell r="T134" t="str">
            <v>normal</v>
          </cell>
          <cell r="U134" t="str">
            <v>NULL</v>
          </cell>
          <cell r="V134" t="str">
            <v>NULL</v>
          </cell>
          <cell r="W134" t="str">
            <v>NULL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  <cell r="N135" t="str">
            <v>ヒューマン</v>
          </cell>
          <cell r="O135" t="str">
            <v>none</v>
          </cell>
          <cell r="P135" t="str">
            <v>種族なし</v>
          </cell>
          <cell r="Q135" t="str">
            <v>パネルコンバーター</v>
          </cell>
          <cell r="R135">
            <v>3</v>
          </cell>
          <cell r="S135" t="str">
            <v>NULL</v>
          </cell>
          <cell r="T135" t="str">
            <v>normal</v>
          </cell>
          <cell r="U135" t="str">
            <v>NULL</v>
          </cell>
          <cell r="V135" t="str">
            <v>NULL</v>
          </cell>
          <cell r="W135" t="str">
            <v>NULL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  <cell r="N136" t="str">
            <v>ヒューマン</v>
          </cell>
          <cell r="O136" t="str">
            <v>none</v>
          </cell>
          <cell r="P136" t="str">
            <v>種族なし</v>
          </cell>
          <cell r="Q136" t="str">
            <v>パネルコンバーター</v>
          </cell>
          <cell r="R136">
            <v>3</v>
          </cell>
          <cell r="S136" t="str">
            <v>NULL</v>
          </cell>
          <cell r="T136" t="str">
            <v>normal</v>
          </cell>
          <cell r="U136" t="str">
            <v>NULL</v>
          </cell>
          <cell r="V136" t="str">
            <v>NULL</v>
          </cell>
          <cell r="W136" t="str">
            <v>NULL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  <cell r="N137" t="str">
            <v>ヒューマン</v>
          </cell>
          <cell r="O137" t="str">
            <v>none</v>
          </cell>
          <cell r="P137" t="str">
            <v>種族なし</v>
          </cell>
          <cell r="Q137" t="str">
            <v>パネルコンバーター</v>
          </cell>
          <cell r="R137">
            <v>3</v>
          </cell>
          <cell r="S137" t="str">
            <v>NULL</v>
          </cell>
          <cell r="T137" t="str">
            <v>normal</v>
          </cell>
          <cell r="U137" t="str">
            <v>NULL</v>
          </cell>
          <cell r="V137" t="str">
            <v>NULL</v>
          </cell>
          <cell r="W137" t="str">
            <v>NULL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  <cell r="N138" t="str">
            <v>ヒューマン</v>
          </cell>
          <cell r="O138" t="str">
            <v>none</v>
          </cell>
          <cell r="P138" t="str">
            <v>種族なし</v>
          </cell>
          <cell r="Q138" t="str">
            <v>パネルコンバーター</v>
          </cell>
          <cell r="R138">
            <v>3</v>
          </cell>
          <cell r="S138" t="str">
            <v>NULL</v>
          </cell>
          <cell r="T138" t="str">
            <v>normal</v>
          </cell>
          <cell r="U138" t="str">
            <v>NULL</v>
          </cell>
          <cell r="V138" t="str">
            <v>NULL</v>
          </cell>
          <cell r="W138" t="str">
            <v>NULL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  <cell r="N139" t="str">
            <v>ヒューマン</v>
          </cell>
          <cell r="O139" t="str">
            <v>none</v>
          </cell>
          <cell r="P139" t="str">
            <v>種族なし</v>
          </cell>
          <cell r="Q139" t="str">
            <v>パネルコンバーター</v>
          </cell>
          <cell r="R139">
            <v>3</v>
          </cell>
          <cell r="S139" t="str">
            <v>NULL</v>
          </cell>
          <cell r="T139" t="str">
            <v>normal</v>
          </cell>
          <cell r="U139" t="str">
            <v>NULL</v>
          </cell>
          <cell r="V139" t="str">
            <v>NULL</v>
          </cell>
          <cell r="W139" t="str">
            <v>NULL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  <cell r="N140" t="str">
            <v>ヒューマン</v>
          </cell>
          <cell r="O140" t="str">
            <v>none</v>
          </cell>
          <cell r="P140" t="str">
            <v>種族なし</v>
          </cell>
          <cell r="Q140" t="str">
            <v>パネルコンバーター</v>
          </cell>
          <cell r="R140">
            <v>3</v>
          </cell>
          <cell r="S140" t="str">
            <v>NULL</v>
          </cell>
          <cell r="T140" t="str">
            <v>normal</v>
          </cell>
          <cell r="U140" t="str">
            <v>NULL</v>
          </cell>
          <cell r="V140" t="str">
            <v>NULL</v>
          </cell>
          <cell r="W140" t="str">
            <v>NULL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  <cell r="N141" t="str">
            <v>アニマル</v>
          </cell>
          <cell r="O141" t="str">
            <v>none</v>
          </cell>
          <cell r="P141" t="str">
            <v>種族なし</v>
          </cell>
          <cell r="Q141" t="str">
            <v>パネルコンバーター</v>
          </cell>
          <cell r="R141">
            <v>3</v>
          </cell>
          <cell r="S141" t="str">
            <v>NULL</v>
          </cell>
          <cell r="T141" t="str">
            <v>normal</v>
          </cell>
          <cell r="U141" t="str">
            <v>NULL</v>
          </cell>
          <cell r="V141" t="str">
            <v>NULL</v>
          </cell>
          <cell r="W141" t="str">
            <v>NULL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  <cell r="N142" t="str">
            <v>アニマル</v>
          </cell>
          <cell r="O142" t="str">
            <v>none</v>
          </cell>
          <cell r="P142" t="str">
            <v>種族なし</v>
          </cell>
          <cell r="Q142" t="str">
            <v>パネルコンバーター</v>
          </cell>
          <cell r="R142">
            <v>3</v>
          </cell>
          <cell r="S142" t="str">
            <v>NULL</v>
          </cell>
          <cell r="T142" t="str">
            <v>normal</v>
          </cell>
          <cell r="U142" t="str">
            <v>NULL</v>
          </cell>
          <cell r="V142" t="str">
            <v>NULL</v>
          </cell>
          <cell r="W142" t="str">
            <v>NULL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  <cell r="N143" t="str">
            <v>ヒューマン</v>
          </cell>
          <cell r="O143" t="str">
            <v>none</v>
          </cell>
          <cell r="P143" t="str">
            <v>種族なし</v>
          </cell>
          <cell r="Q143" t="str">
            <v>バッファー</v>
          </cell>
          <cell r="R143">
            <v>3</v>
          </cell>
          <cell r="S143" t="str">
            <v>NULL</v>
          </cell>
          <cell r="T143" t="str">
            <v>normal</v>
          </cell>
          <cell r="U143" t="str">
            <v>NULL</v>
          </cell>
          <cell r="V143" t="str">
            <v>NULL</v>
          </cell>
          <cell r="W143" t="str">
            <v>NULL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  <cell r="N144" t="str">
            <v>ヒューマン</v>
          </cell>
          <cell r="O144" t="str">
            <v>none</v>
          </cell>
          <cell r="P144" t="str">
            <v>種族なし</v>
          </cell>
          <cell r="Q144" t="str">
            <v>バッファー</v>
          </cell>
          <cell r="R144">
            <v>3</v>
          </cell>
          <cell r="S144" t="str">
            <v>NULL</v>
          </cell>
          <cell r="T144" t="str">
            <v>normal</v>
          </cell>
          <cell r="U144" t="str">
            <v>NULL</v>
          </cell>
          <cell r="V144" t="str">
            <v>NULL</v>
          </cell>
          <cell r="W144" t="str">
            <v>NULL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  <cell r="N145" t="str">
            <v>ヒューマン</v>
          </cell>
          <cell r="O145" t="str">
            <v>none</v>
          </cell>
          <cell r="P145" t="str">
            <v>種族なし</v>
          </cell>
          <cell r="Q145" t="str">
            <v>バッファー</v>
          </cell>
          <cell r="R145">
            <v>3</v>
          </cell>
          <cell r="S145" t="str">
            <v>NULL</v>
          </cell>
          <cell r="T145" t="str">
            <v>normal</v>
          </cell>
          <cell r="U145" t="str">
            <v>NULL</v>
          </cell>
          <cell r="V145" t="str">
            <v>NULL</v>
          </cell>
          <cell r="W145" t="str">
            <v>NULL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  <cell r="N146" t="str">
            <v>ヒューマン</v>
          </cell>
          <cell r="O146" t="str">
            <v>none</v>
          </cell>
          <cell r="P146" t="str">
            <v>種族なし</v>
          </cell>
          <cell r="Q146" t="str">
            <v>バッファー</v>
          </cell>
          <cell r="R146">
            <v>3</v>
          </cell>
          <cell r="S146" t="str">
            <v>NULL</v>
          </cell>
          <cell r="T146" t="str">
            <v>normal</v>
          </cell>
          <cell r="U146" t="str">
            <v>NULL</v>
          </cell>
          <cell r="V146" t="str">
            <v>NULL</v>
          </cell>
          <cell r="W146" t="str">
            <v>NULL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  <cell r="N147" t="str">
            <v>ヒューマン</v>
          </cell>
          <cell r="O147" t="str">
            <v>none</v>
          </cell>
          <cell r="P147" t="str">
            <v>種族なし</v>
          </cell>
          <cell r="Q147" t="str">
            <v>デバッファー</v>
          </cell>
          <cell r="R147">
            <v>3</v>
          </cell>
          <cell r="S147" t="str">
            <v>NULL</v>
          </cell>
          <cell r="T147" t="str">
            <v>normal</v>
          </cell>
          <cell r="U147" t="str">
            <v>NULL</v>
          </cell>
          <cell r="V147" t="str">
            <v>NULL</v>
          </cell>
          <cell r="W147" t="str">
            <v>NULL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  <cell r="N148" t="str">
            <v>ヒューマン</v>
          </cell>
          <cell r="O148" t="str">
            <v>none</v>
          </cell>
          <cell r="P148" t="str">
            <v>種族なし</v>
          </cell>
          <cell r="Q148" t="str">
            <v>デバッファー</v>
          </cell>
          <cell r="R148">
            <v>3</v>
          </cell>
          <cell r="S148" t="str">
            <v>NULL</v>
          </cell>
          <cell r="T148" t="str">
            <v>normal</v>
          </cell>
          <cell r="U148" t="str">
            <v>NULL</v>
          </cell>
          <cell r="V148" t="str">
            <v>NULL</v>
          </cell>
          <cell r="W148" t="str">
            <v>NULL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  <cell r="N149" t="str">
            <v>ヒューマン</v>
          </cell>
          <cell r="O149" t="str">
            <v>none</v>
          </cell>
          <cell r="P149" t="str">
            <v>種族なし</v>
          </cell>
          <cell r="Q149" t="str">
            <v>パネルコンバーター</v>
          </cell>
          <cell r="R149">
            <v>3</v>
          </cell>
          <cell r="S149" t="str">
            <v>NULL</v>
          </cell>
          <cell r="T149" t="str">
            <v>normal</v>
          </cell>
          <cell r="U149" t="str">
            <v>NULL</v>
          </cell>
          <cell r="V149" t="str">
            <v>NULL</v>
          </cell>
          <cell r="W149" t="str">
            <v>NULL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  <cell r="N150" t="str">
            <v>ヒューマン</v>
          </cell>
          <cell r="O150" t="str">
            <v>none</v>
          </cell>
          <cell r="P150" t="str">
            <v>種族なし</v>
          </cell>
          <cell r="Q150" t="str">
            <v>パネルコンバーター</v>
          </cell>
          <cell r="R150">
            <v>3</v>
          </cell>
          <cell r="S150" t="str">
            <v>NULL</v>
          </cell>
          <cell r="T150" t="str">
            <v>normal</v>
          </cell>
          <cell r="U150" t="str">
            <v>NULL</v>
          </cell>
          <cell r="V150" t="str">
            <v>NULL</v>
          </cell>
          <cell r="W150" t="str">
            <v>NULL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  <cell r="N151" t="str">
            <v>ヒューマン</v>
          </cell>
          <cell r="O151" t="str">
            <v>none</v>
          </cell>
          <cell r="P151" t="str">
            <v>種族なし</v>
          </cell>
          <cell r="Q151" t="str">
            <v>デバッファー</v>
          </cell>
          <cell r="R151">
            <v>3</v>
          </cell>
          <cell r="S151" t="str">
            <v>NULL</v>
          </cell>
          <cell r="T151" t="str">
            <v>normal</v>
          </cell>
          <cell r="U151" t="str">
            <v>NULL</v>
          </cell>
          <cell r="V151" t="str">
            <v>NULL</v>
          </cell>
          <cell r="W151" t="str">
            <v>NULL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  <cell r="N152" t="str">
            <v>ヒューマン</v>
          </cell>
          <cell r="O152" t="str">
            <v>none</v>
          </cell>
          <cell r="P152" t="str">
            <v>種族なし</v>
          </cell>
          <cell r="Q152" t="str">
            <v>デバッファー</v>
          </cell>
          <cell r="R152">
            <v>3</v>
          </cell>
          <cell r="S152" t="str">
            <v>NULL</v>
          </cell>
          <cell r="T152" t="str">
            <v>normal</v>
          </cell>
          <cell r="U152" t="str">
            <v>NULL</v>
          </cell>
          <cell r="V152" t="str">
            <v>NULL</v>
          </cell>
          <cell r="W152" t="str">
            <v>NULL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  <cell r="N153" t="str">
            <v>ヒューマン</v>
          </cell>
          <cell r="O153" t="str">
            <v>none</v>
          </cell>
          <cell r="P153" t="str">
            <v>種族なし</v>
          </cell>
          <cell r="Q153" t="str">
            <v>ヒーラー</v>
          </cell>
          <cell r="R153">
            <v>3</v>
          </cell>
          <cell r="S153" t="str">
            <v>NULL</v>
          </cell>
          <cell r="T153" t="str">
            <v>normal</v>
          </cell>
          <cell r="U153" t="str">
            <v>NULL</v>
          </cell>
          <cell r="V153" t="str">
            <v>NULL</v>
          </cell>
          <cell r="W153" t="str">
            <v>NULL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  <cell r="N154" t="str">
            <v>ヒューマン</v>
          </cell>
          <cell r="O154" t="str">
            <v>none</v>
          </cell>
          <cell r="P154" t="str">
            <v>種族なし</v>
          </cell>
          <cell r="Q154" t="str">
            <v>ヒーラー</v>
          </cell>
          <cell r="R154">
            <v>3</v>
          </cell>
          <cell r="S154" t="str">
            <v>NULL</v>
          </cell>
          <cell r="T154" t="str">
            <v>normal</v>
          </cell>
          <cell r="U154" t="str">
            <v>NULL</v>
          </cell>
          <cell r="V154" t="str">
            <v>NULL</v>
          </cell>
          <cell r="W154" t="str">
            <v>NULL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  <cell r="N155" t="str">
            <v>ヒューマン</v>
          </cell>
          <cell r="O155" t="str">
            <v>none</v>
          </cell>
          <cell r="P155" t="str">
            <v>種族なし</v>
          </cell>
          <cell r="Q155" t="str">
            <v>ヒーラー</v>
          </cell>
          <cell r="R155">
            <v>3</v>
          </cell>
          <cell r="S155" t="str">
            <v>NULL</v>
          </cell>
          <cell r="T155" t="str">
            <v>normal</v>
          </cell>
          <cell r="U155" t="str">
            <v>NULL</v>
          </cell>
          <cell r="V155" t="str">
            <v>NULL</v>
          </cell>
          <cell r="W155" t="str">
            <v>NULL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  <cell r="N156" t="str">
            <v>ヒューマン</v>
          </cell>
          <cell r="O156" t="str">
            <v>none</v>
          </cell>
          <cell r="P156" t="str">
            <v>種族なし</v>
          </cell>
          <cell r="Q156" t="str">
            <v>ヒーラー</v>
          </cell>
          <cell r="R156">
            <v>3</v>
          </cell>
          <cell r="S156" t="str">
            <v>NULL</v>
          </cell>
          <cell r="T156" t="str">
            <v>normal</v>
          </cell>
          <cell r="U156" t="str">
            <v>NULL</v>
          </cell>
          <cell r="V156" t="str">
            <v>NULL</v>
          </cell>
          <cell r="W156" t="str">
            <v>NULL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  <cell r="N157" t="str">
            <v>ヒューマン</v>
          </cell>
          <cell r="O157" t="str">
            <v>none</v>
          </cell>
          <cell r="P157" t="str">
            <v>種族なし</v>
          </cell>
          <cell r="Q157" t="str">
            <v>デバッファー</v>
          </cell>
          <cell r="R157">
            <v>3</v>
          </cell>
          <cell r="S157" t="str">
            <v>NULL</v>
          </cell>
          <cell r="T157" t="str">
            <v>normal</v>
          </cell>
          <cell r="U157" t="str">
            <v>NULL</v>
          </cell>
          <cell r="V157" t="str">
            <v>NULL</v>
          </cell>
          <cell r="W157" t="str">
            <v>NULL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  <cell r="N158" t="str">
            <v>ヒューマン</v>
          </cell>
          <cell r="O158" t="str">
            <v>none</v>
          </cell>
          <cell r="P158" t="str">
            <v>種族なし</v>
          </cell>
          <cell r="Q158" t="str">
            <v>デバッファー</v>
          </cell>
          <cell r="R158">
            <v>3</v>
          </cell>
          <cell r="S158" t="str">
            <v>NULL</v>
          </cell>
          <cell r="T158" t="str">
            <v>normal</v>
          </cell>
          <cell r="U158" t="str">
            <v>NULL</v>
          </cell>
          <cell r="V158" t="str">
            <v>NULL</v>
          </cell>
          <cell r="W158" t="str">
            <v>NULL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  <cell r="N159" t="str">
            <v>ヒューマン</v>
          </cell>
          <cell r="O159" t="str">
            <v>none</v>
          </cell>
          <cell r="P159" t="str">
            <v>種族なし</v>
          </cell>
          <cell r="Q159" t="str">
            <v>アタッカー</v>
          </cell>
          <cell r="R159">
            <v>3</v>
          </cell>
          <cell r="S159" t="str">
            <v>NULL</v>
          </cell>
          <cell r="T159" t="str">
            <v>normal</v>
          </cell>
          <cell r="U159" t="str">
            <v>NULL</v>
          </cell>
          <cell r="V159" t="str">
            <v>NULL</v>
          </cell>
          <cell r="W159" t="str">
            <v>NULL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  <cell r="N160" t="str">
            <v>ヒューマン</v>
          </cell>
          <cell r="O160" t="str">
            <v>none</v>
          </cell>
          <cell r="P160" t="str">
            <v>種族なし</v>
          </cell>
          <cell r="Q160" t="str">
            <v>アタッカー</v>
          </cell>
          <cell r="R160">
            <v>3</v>
          </cell>
          <cell r="S160" t="str">
            <v>NULL</v>
          </cell>
          <cell r="T160" t="str">
            <v>normal</v>
          </cell>
          <cell r="U160" t="str">
            <v>NULL</v>
          </cell>
          <cell r="V160" t="str">
            <v>NULL</v>
          </cell>
          <cell r="W160" t="str">
            <v>NULL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  <cell r="N161" t="str">
            <v>ヒューマン</v>
          </cell>
          <cell r="O161" t="str">
            <v>none</v>
          </cell>
          <cell r="P161" t="str">
            <v>種族なし</v>
          </cell>
          <cell r="Q161" t="str">
            <v>バッファー</v>
          </cell>
          <cell r="R161">
            <v>3</v>
          </cell>
          <cell r="S161" t="str">
            <v>NULL</v>
          </cell>
          <cell r="T161" t="str">
            <v>normal</v>
          </cell>
          <cell r="U161" t="str">
            <v>NULL</v>
          </cell>
          <cell r="V161" t="str">
            <v>NULL</v>
          </cell>
          <cell r="W161" t="str">
            <v>NULL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  <cell r="N162" t="str">
            <v>ヒューマン</v>
          </cell>
          <cell r="O162" t="str">
            <v>none</v>
          </cell>
          <cell r="P162" t="str">
            <v>種族なし</v>
          </cell>
          <cell r="Q162" t="str">
            <v>バッファー</v>
          </cell>
          <cell r="R162">
            <v>3</v>
          </cell>
          <cell r="S162" t="str">
            <v>NULL</v>
          </cell>
          <cell r="T162" t="str">
            <v>normal</v>
          </cell>
          <cell r="U162" t="str">
            <v>NULL</v>
          </cell>
          <cell r="V162" t="str">
            <v>NULL</v>
          </cell>
          <cell r="W162" t="str">
            <v>NULL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  <cell r="N163" t="str">
            <v>ヒューマン</v>
          </cell>
          <cell r="O163" t="str">
            <v>none</v>
          </cell>
          <cell r="P163" t="str">
            <v>種族なし</v>
          </cell>
          <cell r="Q163" t="str">
            <v>デバッファー</v>
          </cell>
          <cell r="R163">
            <v>3</v>
          </cell>
          <cell r="S163" t="str">
            <v>NULL</v>
          </cell>
          <cell r="T163" t="str">
            <v>normal</v>
          </cell>
          <cell r="U163" t="str">
            <v>NULL</v>
          </cell>
          <cell r="V163" t="str">
            <v>NULL</v>
          </cell>
          <cell r="W163" t="str">
            <v>NULL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  <cell r="N164" t="str">
            <v>ヒューマン</v>
          </cell>
          <cell r="O164" t="str">
            <v>none</v>
          </cell>
          <cell r="P164" t="str">
            <v>種族なし</v>
          </cell>
          <cell r="Q164" t="str">
            <v>デバッファー</v>
          </cell>
          <cell r="R164">
            <v>3</v>
          </cell>
          <cell r="S164" t="str">
            <v>NULL</v>
          </cell>
          <cell r="T164" t="str">
            <v>normal</v>
          </cell>
          <cell r="U164" t="str">
            <v>NULL</v>
          </cell>
          <cell r="V164" t="str">
            <v>NULL</v>
          </cell>
          <cell r="W164" t="str">
            <v>NULL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  <cell r="N165" t="str">
            <v>ヒューマン</v>
          </cell>
          <cell r="O165" t="str">
            <v>unknown</v>
          </cell>
          <cell r="P165" t="str">
            <v>Unknown</v>
          </cell>
          <cell r="Q165" t="str">
            <v>デバッファー</v>
          </cell>
          <cell r="R165">
            <v>3</v>
          </cell>
          <cell r="S165" t="str">
            <v>NULL</v>
          </cell>
          <cell r="T165" t="str">
            <v>normal</v>
          </cell>
          <cell r="U165" t="str">
            <v>NULL</v>
          </cell>
          <cell r="V165" t="str">
            <v>NULL</v>
          </cell>
          <cell r="W165" t="str">
            <v>NULL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  <cell r="N166" t="str">
            <v>ヒューマン</v>
          </cell>
          <cell r="O166" t="str">
            <v>unknown</v>
          </cell>
          <cell r="P166" t="str">
            <v>Unknown</v>
          </cell>
          <cell r="Q166" t="str">
            <v>デバッファー</v>
          </cell>
          <cell r="R166">
            <v>3</v>
          </cell>
          <cell r="S166" t="str">
            <v>NULL</v>
          </cell>
          <cell r="T166" t="str">
            <v>normal</v>
          </cell>
          <cell r="U166" t="str">
            <v>NULL</v>
          </cell>
          <cell r="V166" t="str">
            <v>NULL</v>
          </cell>
          <cell r="W166" t="str">
            <v>NULL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  <cell r="N167" t="str">
            <v>ゴッド</v>
          </cell>
          <cell r="O167" t="str">
            <v>none</v>
          </cell>
          <cell r="P167" t="str">
            <v>種族なし</v>
          </cell>
          <cell r="Q167" t="str">
            <v>アタッカー</v>
          </cell>
          <cell r="R167">
            <v>3</v>
          </cell>
          <cell r="S167" t="str">
            <v>NULL</v>
          </cell>
          <cell r="T167" t="str">
            <v>normal</v>
          </cell>
          <cell r="U167" t="str">
            <v>NULL</v>
          </cell>
          <cell r="V167" t="str">
            <v>NULL</v>
          </cell>
          <cell r="W167" t="str">
            <v>NULL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  <cell r="N168" t="str">
            <v>ゴッド</v>
          </cell>
          <cell r="O168" t="str">
            <v>none</v>
          </cell>
          <cell r="P168" t="str">
            <v>種族なし</v>
          </cell>
          <cell r="Q168" t="str">
            <v>アタッカー</v>
          </cell>
          <cell r="R168">
            <v>3</v>
          </cell>
          <cell r="S168" t="str">
            <v>NULL</v>
          </cell>
          <cell r="T168" t="str">
            <v>normal</v>
          </cell>
          <cell r="U168" t="str">
            <v>NULL</v>
          </cell>
          <cell r="V168" t="str">
            <v>NULL</v>
          </cell>
          <cell r="W168" t="str">
            <v>NULL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  <cell r="N169" t="str">
            <v>ゴッド</v>
          </cell>
          <cell r="O169" t="str">
            <v>none</v>
          </cell>
          <cell r="P169" t="str">
            <v>種族なし</v>
          </cell>
          <cell r="Q169" t="str">
            <v>アタッカー</v>
          </cell>
          <cell r="R169">
            <v>3</v>
          </cell>
          <cell r="S169" t="str">
            <v>NULL</v>
          </cell>
          <cell r="T169" t="str">
            <v>normal</v>
          </cell>
          <cell r="U169" t="str">
            <v>NULL</v>
          </cell>
          <cell r="V169" t="str">
            <v>NULL</v>
          </cell>
          <cell r="W169" t="str">
            <v>NULL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  <cell r="N170" t="str">
            <v>ゴッド</v>
          </cell>
          <cell r="O170" t="str">
            <v>none</v>
          </cell>
          <cell r="P170" t="str">
            <v>種族なし</v>
          </cell>
          <cell r="Q170" t="str">
            <v>アタッカー</v>
          </cell>
          <cell r="R170">
            <v>3</v>
          </cell>
          <cell r="S170" t="str">
            <v>NULL</v>
          </cell>
          <cell r="T170" t="str">
            <v>normal</v>
          </cell>
          <cell r="U170" t="str">
            <v>NULL</v>
          </cell>
          <cell r="V170" t="str">
            <v>NULL</v>
          </cell>
          <cell r="W170" t="str">
            <v>NULL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  <cell r="N171" t="str">
            <v>ゴッド</v>
          </cell>
          <cell r="O171" t="str">
            <v>none</v>
          </cell>
          <cell r="P171" t="str">
            <v>種族なし</v>
          </cell>
          <cell r="Q171" t="str">
            <v>アタッカー</v>
          </cell>
          <cell r="R171">
            <v>3</v>
          </cell>
          <cell r="S171" t="str">
            <v>NULL</v>
          </cell>
          <cell r="T171" t="str">
            <v>normal</v>
          </cell>
          <cell r="U171" t="str">
            <v>NULL</v>
          </cell>
          <cell r="V171" t="str">
            <v>NULL</v>
          </cell>
          <cell r="W171" t="str">
            <v>NULL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  <cell r="N172" t="str">
            <v>ゴッド</v>
          </cell>
          <cell r="O172" t="str">
            <v>none</v>
          </cell>
          <cell r="P172" t="str">
            <v>種族なし</v>
          </cell>
          <cell r="Q172" t="str">
            <v>アタッカー</v>
          </cell>
          <cell r="R172">
            <v>3</v>
          </cell>
          <cell r="S172" t="str">
            <v>NULL</v>
          </cell>
          <cell r="T172" t="str">
            <v>normal</v>
          </cell>
          <cell r="U172" t="str">
            <v>NULL</v>
          </cell>
          <cell r="V172" t="str">
            <v>NULL</v>
          </cell>
          <cell r="W172" t="str">
            <v>NULL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  <cell r="N173" t="str">
            <v>ゴッド</v>
          </cell>
          <cell r="O173" t="str">
            <v>none</v>
          </cell>
          <cell r="P173" t="str">
            <v>種族なし</v>
          </cell>
          <cell r="Q173" t="str">
            <v>アタッカー</v>
          </cell>
          <cell r="R173">
            <v>3</v>
          </cell>
          <cell r="S173" t="str">
            <v>NULL</v>
          </cell>
          <cell r="T173" t="str">
            <v>normal</v>
          </cell>
          <cell r="U173" t="str">
            <v>NULL</v>
          </cell>
          <cell r="V173" t="str">
            <v>NULL</v>
          </cell>
          <cell r="W173" t="str">
            <v>NULL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  <cell r="N174" t="str">
            <v>ゴッド</v>
          </cell>
          <cell r="O174" t="str">
            <v>none</v>
          </cell>
          <cell r="P174" t="str">
            <v>種族なし</v>
          </cell>
          <cell r="Q174" t="str">
            <v>アタッカー</v>
          </cell>
          <cell r="R174">
            <v>3</v>
          </cell>
          <cell r="S174" t="str">
            <v>NULL</v>
          </cell>
          <cell r="T174" t="str">
            <v>normal</v>
          </cell>
          <cell r="U174" t="str">
            <v>NULL</v>
          </cell>
          <cell r="V174" t="str">
            <v>NULL</v>
          </cell>
          <cell r="W174" t="str">
            <v>NULL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  <cell r="N175" t="str">
            <v>ゴッド</v>
          </cell>
          <cell r="O175" t="str">
            <v>none</v>
          </cell>
          <cell r="P175" t="str">
            <v>種族なし</v>
          </cell>
          <cell r="Q175" t="str">
            <v>アタッカー</v>
          </cell>
          <cell r="R175">
            <v>3</v>
          </cell>
          <cell r="S175" t="str">
            <v>NULL</v>
          </cell>
          <cell r="T175" t="str">
            <v>normal</v>
          </cell>
          <cell r="U175" t="str">
            <v>NULL</v>
          </cell>
          <cell r="V175" t="str">
            <v>NULL</v>
          </cell>
          <cell r="W175" t="str">
            <v>NULL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  <cell r="N176" t="str">
            <v>ゴッド</v>
          </cell>
          <cell r="O176" t="str">
            <v>none</v>
          </cell>
          <cell r="P176" t="str">
            <v>種族なし</v>
          </cell>
          <cell r="Q176" t="str">
            <v>アタッカー</v>
          </cell>
          <cell r="R176">
            <v>3</v>
          </cell>
          <cell r="S176" t="str">
            <v>NULL</v>
          </cell>
          <cell r="T176" t="str">
            <v>normal</v>
          </cell>
          <cell r="U176" t="str">
            <v>NULL</v>
          </cell>
          <cell r="V176" t="str">
            <v>NULL</v>
          </cell>
          <cell r="W176" t="str">
            <v>NULL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  <cell r="N177" t="str">
            <v>ゴッド</v>
          </cell>
          <cell r="O177" t="str">
            <v>none</v>
          </cell>
          <cell r="P177" t="str">
            <v>種族なし</v>
          </cell>
          <cell r="Q177" t="str">
            <v>アタッカー</v>
          </cell>
          <cell r="R177">
            <v>3</v>
          </cell>
          <cell r="S177" t="str">
            <v>NULL</v>
          </cell>
          <cell r="T177" t="str">
            <v>normal</v>
          </cell>
          <cell r="U177" t="str">
            <v>NULL</v>
          </cell>
          <cell r="V177" t="str">
            <v>NULL</v>
          </cell>
          <cell r="W177" t="str">
            <v>NULL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  <cell r="N178" t="str">
            <v>ゴッド</v>
          </cell>
          <cell r="O178" t="str">
            <v>none</v>
          </cell>
          <cell r="P178" t="str">
            <v>種族なし</v>
          </cell>
          <cell r="Q178" t="str">
            <v>アタッカー</v>
          </cell>
          <cell r="R178">
            <v>3</v>
          </cell>
          <cell r="S178" t="str">
            <v>NULL</v>
          </cell>
          <cell r="T178" t="str">
            <v>normal</v>
          </cell>
          <cell r="U178" t="str">
            <v>NULL</v>
          </cell>
          <cell r="V178" t="str">
            <v>NULL</v>
          </cell>
          <cell r="W178" t="str">
            <v>NULL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  <cell r="N179" t="str">
            <v>アニマル</v>
          </cell>
          <cell r="O179" t="str">
            <v>none</v>
          </cell>
          <cell r="P179" t="str">
            <v>種族なし</v>
          </cell>
          <cell r="Q179" t="str">
            <v>バッファー</v>
          </cell>
          <cell r="R179">
            <v>3</v>
          </cell>
          <cell r="S179" t="str">
            <v>NULL</v>
          </cell>
          <cell r="T179" t="str">
            <v>normal</v>
          </cell>
          <cell r="U179" t="str">
            <v>NULL</v>
          </cell>
          <cell r="V179" t="str">
            <v>NULL</v>
          </cell>
          <cell r="W179" t="str">
            <v>NULL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  <cell r="N180" t="str">
            <v>アニマル</v>
          </cell>
          <cell r="O180" t="str">
            <v>none</v>
          </cell>
          <cell r="P180" t="str">
            <v>種族なし</v>
          </cell>
          <cell r="Q180" t="str">
            <v>バッファー</v>
          </cell>
          <cell r="R180">
            <v>3</v>
          </cell>
          <cell r="S180" t="str">
            <v>NULL</v>
          </cell>
          <cell r="T180" t="str">
            <v>normal</v>
          </cell>
          <cell r="U180" t="str">
            <v>NULL</v>
          </cell>
          <cell r="V180" t="str">
            <v>NULL</v>
          </cell>
          <cell r="W180" t="str">
            <v>NULL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  <cell r="N181" t="str">
            <v>アニマル</v>
          </cell>
          <cell r="O181" t="str">
            <v>none</v>
          </cell>
          <cell r="P181" t="str">
            <v>種族なし</v>
          </cell>
          <cell r="Q181" t="str">
            <v>バッファー</v>
          </cell>
          <cell r="R181">
            <v>3</v>
          </cell>
          <cell r="S181" t="str">
            <v>NULL</v>
          </cell>
          <cell r="T181" t="str">
            <v>normal</v>
          </cell>
          <cell r="U181" t="str">
            <v>NULL</v>
          </cell>
          <cell r="V181" t="str">
            <v>NULL</v>
          </cell>
          <cell r="W181" t="str">
            <v>NULL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  <cell r="N182" t="str">
            <v>アニマル</v>
          </cell>
          <cell r="O182" t="str">
            <v>none</v>
          </cell>
          <cell r="P182" t="str">
            <v>種族なし</v>
          </cell>
          <cell r="Q182" t="str">
            <v>バッファー</v>
          </cell>
          <cell r="R182">
            <v>3</v>
          </cell>
          <cell r="S182" t="str">
            <v>NULL</v>
          </cell>
          <cell r="T182" t="str">
            <v>normal</v>
          </cell>
          <cell r="U182" t="str">
            <v>NULL</v>
          </cell>
          <cell r="V182" t="str">
            <v>NULL</v>
          </cell>
          <cell r="W182" t="str">
            <v>NULL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  <cell r="N183" t="str">
            <v>アニマル</v>
          </cell>
          <cell r="O183" t="str">
            <v>none</v>
          </cell>
          <cell r="P183" t="str">
            <v>種族なし</v>
          </cell>
          <cell r="Q183" t="str">
            <v>バッファー</v>
          </cell>
          <cell r="R183">
            <v>3</v>
          </cell>
          <cell r="S183" t="str">
            <v>NULL</v>
          </cell>
          <cell r="T183" t="str">
            <v>normal</v>
          </cell>
          <cell r="U183" t="str">
            <v>NULL</v>
          </cell>
          <cell r="V183" t="str">
            <v>NULL</v>
          </cell>
          <cell r="W183" t="str">
            <v>NULL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  <cell r="N184" t="str">
            <v>アニマル</v>
          </cell>
          <cell r="O184" t="str">
            <v>none</v>
          </cell>
          <cell r="P184" t="str">
            <v>種族なし</v>
          </cell>
          <cell r="Q184" t="str">
            <v>バッファー</v>
          </cell>
          <cell r="R184">
            <v>3</v>
          </cell>
          <cell r="S184" t="str">
            <v>NULL</v>
          </cell>
          <cell r="T184" t="str">
            <v>normal</v>
          </cell>
          <cell r="U184" t="str">
            <v>NULL</v>
          </cell>
          <cell r="V184" t="str">
            <v>NULL</v>
          </cell>
          <cell r="W184" t="str">
            <v>NULL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  <cell r="N185" t="str">
            <v>アニマル</v>
          </cell>
          <cell r="O185" t="str">
            <v>none</v>
          </cell>
          <cell r="P185" t="str">
            <v>種族なし</v>
          </cell>
          <cell r="Q185" t="str">
            <v>バッファー</v>
          </cell>
          <cell r="R185">
            <v>3</v>
          </cell>
          <cell r="S185" t="str">
            <v>NULL</v>
          </cell>
          <cell r="T185" t="str">
            <v>normal</v>
          </cell>
          <cell r="U185" t="str">
            <v>NULL</v>
          </cell>
          <cell r="V185" t="str">
            <v>NULL</v>
          </cell>
          <cell r="W185" t="str">
            <v>NULL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  <cell r="N186" t="str">
            <v>アニマル</v>
          </cell>
          <cell r="O186" t="str">
            <v>none</v>
          </cell>
          <cell r="P186" t="str">
            <v>種族なし</v>
          </cell>
          <cell r="Q186" t="str">
            <v>バッファー</v>
          </cell>
          <cell r="R186">
            <v>3</v>
          </cell>
          <cell r="S186" t="str">
            <v>NULL</v>
          </cell>
          <cell r="T186" t="str">
            <v>normal</v>
          </cell>
          <cell r="U186" t="str">
            <v>NULL</v>
          </cell>
          <cell r="V186" t="str">
            <v>NULL</v>
          </cell>
          <cell r="W186" t="str">
            <v>NULL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  <cell r="N187" t="str">
            <v>アニマル</v>
          </cell>
          <cell r="O187" t="str">
            <v>none</v>
          </cell>
          <cell r="P187" t="str">
            <v>種族なし</v>
          </cell>
          <cell r="Q187" t="str">
            <v>バッファー</v>
          </cell>
          <cell r="R187">
            <v>3</v>
          </cell>
          <cell r="S187" t="str">
            <v>NULL</v>
          </cell>
          <cell r="T187" t="str">
            <v>normal</v>
          </cell>
          <cell r="U187" t="str">
            <v>NULL</v>
          </cell>
          <cell r="V187" t="str">
            <v>NULL</v>
          </cell>
          <cell r="W187" t="str">
            <v>NULL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  <cell r="N188" t="str">
            <v>アニマル</v>
          </cell>
          <cell r="O188" t="str">
            <v>none</v>
          </cell>
          <cell r="P188" t="str">
            <v>種族なし</v>
          </cell>
          <cell r="Q188" t="str">
            <v>バッファー</v>
          </cell>
          <cell r="R188">
            <v>3</v>
          </cell>
          <cell r="S188" t="str">
            <v>NULL</v>
          </cell>
          <cell r="T188" t="str">
            <v>normal</v>
          </cell>
          <cell r="U188" t="str">
            <v>NULL</v>
          </cell>
          <cell r="V188" t="str">
            <v>NULL</v>
          </cell>
          <cell r="W188" t="str">
            <v>NULL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  <cell r="N189" t="str">
            <v>アニマル</v>
          </cell>
          <cell r="O189" t="str">
            <v>none</v>
          </cell>
          <cell r="P189" t="str">
            <v>種族なし</v>
          </cell>
          <cell r="Q189" t="str">
            <v>バッファー</v>
          </cell>
          <cell r="R189">
            <v>3</v>
          </cell>
          <cell r="S189" t="str">
            <v>NULL</v>
          </cell>
          <cell r="T189" t="str">
            <v>normal</v>
          </cell>
          <cell r="U189" t="str">
            <v>NULL</v>
          </cell>
          <cell r="V189" t="str">
            <v>NULL</v>
          </cell>
          <cell r="W189" t="str">
            <v>NULL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  <cell r="N190" t="str">
            <v>アニマル</v>
          </cell>
          <cell r="O190" t="str">
            <v>none</v>
          </cell>
          <cell r="P190" t="str">
            <v>種族なし</v>
          </cell>
          <cell r="Q190" t="str">
            <v>バッファー</v>
          </cell>
          <cell r="R190">
            <v>3</v>
          </cell>
          <cell r="S190" t="str">
            <v>NULL</v>
          </cell>
          <cell r="T190" t="str">
            <v>normal</v>
          </cell>
          <cell r="U190" t="str">
            <v>NULL</v>
          </cell>
          <cell r="V190" t="str">
            <v>NULL</v>
          </cell>
          <cell r="W190" t="str">
            <v>NULL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  <cell r="N191" t="str">
            <v>ヒューマン</v>
          </cell>
          <cell r="O191" t="str">
            <v>none</v>
          </cell>
          <cell r="P191" t="str">
            <v>種族なし</v>
          </cell>
          <cell r="Q191" t="str">
            <v>バッファー</v>
          </cell>
          <cell r="R191">
            <v>3</v>
          </cell>
          <cell r="S191" t="str">
            <v>NULL</v>
          </cell>
          <cell r="T191" t="str">
            <v>normal</v>
          </cell>
          <cell r="U191" t="str">
            <v>NULL</v>
          </cell>
          <cell r="V191" t="str">
            <v>NULL</v>
          </cell>
          <cell r="W191" t="str">
            <v>NULL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  <cell r="N192" t="str">
            <v>ヒューマン</v>
          </cell>
          <cell r="O192" t="str">
            <v>none</v>
          </cell>
          <cell r="P192" t="str">
            <v>種族なし</v>
          </cell>
          <cell r="Q192" t="str">
            <v>バッファー</v>
          </cell>
          <cell r="R192">
            <v>3</v>
          </cell>
          <cell r="S192" t="str">
            <v>NULL</v>
          </cell>
          <cell r="T192" t="str">
            <v>normal</v>
          </cell>
          <cell r="U192" t="str">
            <v>NULL</v>
          </cell>
          <cell r="V192" t="str">
            <v>NULL</v>
          </cell>
          <cell r="W192" t="str">
            <v>NULL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  <cell r="N193" t="str">
            <v>ヒューマン</v>
          </cell>
          <cell r="O193" t="str">
            <v>none</v>
          </cell>
          <cell r="P193" t="str">
            <v>種族なし</v>
          </cell>
          <cell r="Q193" t="str">
            <v>バッファー</v>
          </cell>
          <cell r="R193">
            <v>3</v>
          </cell>
          <cell r="S193" t="str">
            <v>NULL</v>
          </cell>
          <cell r="T193" t="str">
            <v>normal</v>
          </cell>
          <cell r="U193" t="str">
            <v>NULL</v>
          </cell>
          <cell r="V193" t="str">
            <v>NULL</v>
          </cell>
          <cell r="W193" t="str">
            <v>NULL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  <cell r="N194" t="str">
            <v>ヒューマン</v>
          </cell>
          <cell r="O194" t="str">
            <v>none</v>
          </cell>
          <cell r="P194" t="str">
            <v>種族なし</v>
          </cell>
          <cell r="Q194" t="str">
            <v>バッファー</v>
          </cell>
          <cell r="R194">
            <v>3</v>
          </cell>
          <cell r="S194" t="str">
            <v>NULL</v>
          </cell>
          <cell r="T194" t="str">
            <v>normal</v>
          </cell>
          <cell r="U194" t="str">
            <v>NULL</v>
          </cell>
          <cell r="V194" t="str">
            <v>NULL</v>
          </cell>
          <cell r="W194" t="str">
            <v>NULL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  <cell r="N195" t="str">
            <v>ヒューマン</v>
          </cell>
          <cell r="O195" t="str">
            <v>none</v>
          </cell>
          <cell r="P195" t="str">
            <v>種族なし</v>
          </cell>
          <cell r="Q195" t="str">
            <v>バッファー</v>
          </cell>
          <cell r="R195">
            <v>3</v>
          </cell>
          <cell r="S195" t="str">
            <v>NULL</v>
          </cell>
          <cell r="T195" t="str">
            <v>normal</v>
          </cell>
          <cell r="U195" t="str">
            <v>NULL</v>
          </cell>
          <cell r="V195" t="str">
            <v>NULL</v>
          </cell>
          <cell r="W195" t="str">
            <v>NULL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  <cell r="N196" t="str">
            <v>ヒューマン</v>
          </cell>
          <cell r="O196" t="str">
            <v>none</v>
          </cell>
          <cell r="P196" t="str">
            <v>種族なし</v>
          </cell>
          <cell r="Q196" t="str">
            <v>バッファー</v>
          </cell>
          <cell r="R196">
            <v>3</v>
          </cell>
          <cell r="S196" t="str">
            <v>NULL</v>
          </cell>
          <cell r="T196" t="str">
            <v>normal</v>
          </cell>
          <cell r="U196" t="str">
            <v>NULL</v>
          </cell>
          <cell r="V196" t="str">
            <v>NULL</v>
          </cell>
          <cell r="W196" t="str">
            <v>NULL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  <cell r="N197" t="str">
            <v>ヒューマン</v>
          </cell>
          <cell r="O197" t="str">
            <v>none</v>
          </cell>
          <cell r="P197" t="str">
            <v>種族なし</v>
          </cell>
          <cell r="Q197" t="str">
            <v>バッファー</v>
          </cell>
          <cell r="R197">
            <v>3</v>
          </cell>
          <cell r="S197" t="str">
            <v>NULL</v>
          </cell>
          <cell r="T197" t="str">
            <v>normal</v>
          </cell>
          <cell r="U197" t="str">
            <v>NULL</v>
          </cell>
          <cell r="V197" t="str">
            <v>NULL</v>
          </cell>
          <cell r="W197" t="str">
            <v>NULL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  <cell r="N198" t="str">
            <v>ヒューマン</v>
          </cell>
          <cell r="O198" t="str">
            <v>none</v>
          </cell>
          <cell r="P198" t="str">
            <v>種族なし</v>
          </cell>
          <cell r="Q198" t="str">
            <v>バッファー</v>
          </cell>
          <cell r="R198">
            <v>3</v>
          </cell>
          <cell r="S198" t="str">
            <v>NULL</v>
          </cell>
          <cell r="T198" t="str">
            <v>normal</v>
          </cell>
          <cell r="U198" t="str">
            <v>NULL</v>
          </cell>
          <cell r="V198" t="str">
            <v>NULL</v>
          </cell>
          <cell r="W198" t="str">
            <v>NULL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  <cell r="N199" t="str">
            <v>ヒューマン</v>
          </cell>
          <cell r="O199" t="str">
            <v>none</v>
          </cell>
          <cell r="P199" t="str">
            <v>種族なし</v>
          </cell>
          <cell r="Q199" t="str">
            <v>バッファー</v>
          </cell>
          <cell r="R199">
            <v>3</v>
          </cell>
          <cell r="S199" t="str">
            <v>NULL</v>
          </cell>
          <cell r="T199" t="str">
            <v>normal</v>
          </cell>
          <cell r="U199" t="str">
            <v>NULL</v>
          </cell>
          <cell r="V199" t="str">
            <v>NULL</v>
          </cell>
          <cell r="W199" t="str">
            <v>NULL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  <cell r="N200" t="str">
            <v>ヒューマン</v>
          </cell>
          <cell r="O200" t="str">
            <v>none</v>
          </cell>
          <cell r="P200" t="str">
            <v>種族なし</v>
          </cell>
          <cell r="Q200" t="str">
            <v>バッファー</v>
          </cell>
          <cell r="R200">
            <v>3</v>
          </cell>
          <cell r="S200" t="str">
            <v>NULL</v>
          </cell>
          <cell r="T200" t="str">
            <v>normal</v>
          </cell>
          <cell r="U200" t="str">
            <v>NULL</v>
          </cell>
          <cell r="V200" t="str">
            <v>NULL</v>
          </cell>
          <cell r="W200" t="str">
            <v>NULL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  <cell r="N201" t="str">
            <v>ヒューマン</v>
          </cell>
          <cell r="O201" t="str">
            <v>none</v>
          </cell>
          <cell r="P201" t="str">
            <v>種族なし</v>
          </cell>
          <cell r="Q201" t="str">
            <v>バッファー</v>
          </cell>
          <cell r="R201">
            <v>3</v>
          </cell>
          <cell r="S201" t="str">
            <v>NULL</v>
          </cell>
          <cell r="T201" t="str">
            <v>normal</v>
          </cell>
          <cell r="U201" t="str">
            <v>NULL</v>
          </cell>
          <cell r="V201" t="str">
            <v>NULL</v>
          </cell>
          <cell r="W201" t="str">
            <v>NULL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  <cell r="N202" t="str">
            <v>ヒューマン</v>
          </cell>
          <cell r="O202" t="str">
            <v>none</v>
          </cell>
          <cell r="P202" t="str">
            <v>種族なし</v>
          </cell>
          <cell r="Q202" t="str">
            <v>バッファー</v>
          </cell>
          <cell r="R202">
            <v>3</v>
          </cell>
          <cell r="S202" t="str">
            <v>NULL</v>
          </cell>
          <cell r="T202" t="str">
            <v>normal</v>
          </cell>
          <cell r="U202" t="str">
            <v>NULL</v>
          </cell>
          <cell r="V202" t="str">
            <v>NULL</v>
          </cell>
          <cell r="W202" t="str">
            <v>NULL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  <cell r="N203" t="str">
            <v>ゴッド</v>
          </cell>
          <cell r="O203" t="str">
            <v>none</v>
          </cell>
          <cell r="P203" t="str">
            <v>種族なし</v>
          </cell>
          <cell r="Q203" t="str">
            <v>アタッカー</v>
          </cell>
          <cell r="R203">
            <v>3</v>
          </cell>
          <cell r="S203" t="str">
            <v>NULL</v>
          </cell>
          <cell r="T203" t="str">
            <v>normal</v>
          </cell>
          <cell r="U203" t="str">
            <v>NULL</v>
          </cell>
          <cell r="V203" t="str">
            <v>NULL</v>
          </cell>
          <cell r="W203" t="str">
            <v>NULL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  <cell r="N204" t="str">
            <v>ゴッド</v>
          </cell>
          <cell r="O204" t="str">
            <v>none</v>
          </cell>
          <cell r="P204" t="str">
            <v>種族なし</v>
          </cell>
          <cell r="Q204" t="str">
            <v>アタッカー</v>
          </cell>
          <cell r="R204">
            <v>3</v>
          </cell>
          <cell r="S204" t="str">
            <v>NULL</v>
          </cell>
          <cell r="T204" t="str">
            <v>normal</v>
          </cell>
          <cell r="U204" t="str">
            <v>NULL</v>
          </cell>
          <cell r="V204" t="str">
            <v>NULL</v>
          </cell>
          <cell r="W204" t="str">
            <v>NULL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  <cell r="N205" t="str">
            <v>ゴッド</v>
          </cell>
          <cell r="O205" t="str">
            <v>none</v>
          </cell>
          <cell r="P205" t="str">
            <v>種族なし</v>
          </cell>
          <cell r="Q205" t="str">
            <v>アタッカー</v>
          </cell>
          <cell r="R205">
            <v>3</v>
          </cell>
          <cell r="S205" t="str">
            <v>NULL</v>
          </cell>
          <cell r="T205" t="str">
            <v>normal</v>
          </cell>
          <cell r="U205" t="str">
            <v>NULL</v>
          </cell>
          <cell r="V205" t="str">
            <v>NULL</v>
          </cell>
          <cell r="W205" t="str">
            <v>NULL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  <cell r="N206" t="str">
            <v>ゴッド</v>
          </cell>
          <cell r="O206" t="str">
            <v>none</v>
          </cell>
          <cell r="P206" t="str">
            <v>種族なし</v>
          </cell>
          <cell r="Q206" t="str">
            <v>アタッカー</v>
          </cell>
          <cell r="R206">
            <v>3</v>
          </cell>
          <cell r="S206" t="str">
            <v>NULL</v>
          </cell>
          <cell r="T206" t="str">
            <v>normal</v>
          </cell>
          <cell r="U206" t="str">
            <v>NULL</v>
          </cell>
          <cell r="V206" t="str">
            <v>NULL</v>
          </cell>
          <cell r="W206" t="str">
            <v>NULL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  <cell r="N207" t="str">
            <v>ゴッド</v>
          </cell>
          <cell r="O207" t="str">
            <v>none</v>
          </cell>
          <cell r="P207" t="str">
            <v>種族なし</v>
          </cell>
          <cell r="Q207" t="str">
            <v>アタッカー</v>
          </cell>
          <cell r="R207">
            <v>3</v>
          </cell>
          <cell r="S207" t="str">
            <v>NULL</v>
          </cell>
          <cell r="T207" t="str">
            <v>normal</v>
          </cell>
          <cell r="U207" t="str">
            <v>NULL</v>
          </cell>
          <cell r="V207" t="str">
            <v>NULL</v>
          </cell>
          <cell r="W207" t="str">
            <v>NULL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  <cell r="N208" t="str">
            <v>ゴッド</v>
          </cell>
          <cell r="O208" t="str">
            <v>none</v>
          </cell>
          <cell r="P208" t="str">
            <v>種族なし</v>
          </cell>
          <cell r="Q208" t="str">
            <v>アタッカー</v>
          </cell>
          <cell r="R208">
            <v>3</v>
          </cell>
          <cell r="S208" t="str">
            <v>NULL</v>
          </cell>
          <cell r="T208" t="str">
            <v>normal</v>
          </cell>
          <cell r="U208" t="str">
            <v>NULL</v>
          </cell>
          <cell r="V208" t="str">
            <v>NULL</v>
          </cell>
          <cell r="W208" t="str">
            <v>NULL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  <cell r="N209" t="str">
            <v>ゴッド</v>
          </cell>
          <cell r="O209" t="str">
            <v>none</v>
          </cell>
          <cell r="P209" t="str">
            <v>種族なし</v>
          </cell>
          <cell r="Q209" t="str">
            <v>アタッカー</v>
          </cell>
          <cell r="R209">
            <v>3</v>
          </cell>
          <cell r="S209" t="str">
            <v>NULL</v>
          </cell>
          <cell r="T209" t="str">
            <v>normal</v>
          </cell>
          <cell r="U209" t="str">
            <v>NULL</v>
          </cell>
          <cell r="V209" t="str">
            <v>NULL</v>
          </cell>
          <cell r="W209" t="str">
            <v>NULL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  <cell r="N210" t="str">
            <v>ゴッド</v>
          </cell>
          <cell r="O210" t="str">
            <v>none</v>
          </cell>
          <cell r="P210" t="str">
            <v>種族なし</v>
          </cell>
          <cell r="Q210" t="str">
            <v>アタッカー</v>
          </cell>
          <cell r="R210">
            <v>3</v>
          </cell>
          <cell r="S210" t="str">
            <v>NULL</v>
          </cell>
          <cell r="T210" t="str">
            <v>normal</v>
          </cell>
          <cell r="U210" t="str">
            <v>NULL</v>
          </cell>
          <cell r="V210" t="str">
            <v>NULL</v>
          </cell>
          <cell r="W210" t="str">
            <v>NULL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  <cell r="N211" t="str">
            <v>ゴッド</v>
          </cell>
          <cell r="O211" t="str">
            <v>none</v>
          </cell>
          <cell r="P211" t="str">
            <v>種族なし</v>
          </cell>
          <cell r="Q211" t="str">
            <v>アタッカー</v>
          </cell>
          <cell r="R211">
            <v>3</v>
          </cell>
          <cell r="S211" t="str">
            <v>NULL</v>
          </cell>
          <cell r="T211" t="str">
            <v>normal</v>
          </cell>
          <cell r="U211" t="str">
            <v>NULL</v>
          </cell>
          <cell r="V211" t="str">
            <v>NULL</v>
          </cell>
          <cell r="W211" t="str">
            <v>NULL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  <cell r="N212" t="str">
            <v>ゴッド</v>
          </cell>
          <cell r="O212" t="str">
            <v>none</v>
          </cell>
          <cell r="P212" t="str">
            <v>種族なし</v>
          </cell>
          <cell r="Q212" t="str">
            <v>アタッカー</v>
          </cell>
          <cell r="R212">
            <v>3</v>
          </cell>
          <cell r="S212" t="str">
            <v>NULL</v>
          </cell>
          <cell r="T212" t="str">
            <v>normal</v>
          </cell>
          <cell r="U212" t="str">
            <v>NULL</v>
          </cell>
          <cell r="V212" t="str">
            <v>NULL</v>
          </cell>
          <cell r="W212" t="str">
            <v>NULL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  <cell r="N213" t="str">
            <v>ゴッド</v>
          </cell>
          <cell r="O213" t="str">
            <v>none</v>
          </cell>
          <cell r="P213" t="str">
            <v>種族なし</v>
          </cell>
          <cell r="Q213" t="str">
            <v>アタッカー</v>
          </cell>
          <cell r="R213">
            <v>3</v>
          </cell>
          <cell r="S213" t="str">
            <v>NULL</v>
          </cell>
          <cell r="T213" t="str">
            <v>normal</v>
          </cell>
          <cell r="U213" t="str">
            <v>NULL</v>
          </cell>
          <cell r="V213" t="str">
            <v>NULL</v>
          </cell>
          <cell r="W213" t="str">
            <v>NULL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  <cell r="N214" t="str">
            <v>ゴッド</v>
          </cell>
          <cell r="O214" t="str">
            <v>none</v>
          </cell>
          <cell r="P214" t="str">
            <v>種族なし</v>
          </cell>
          <cell r="Q214" t="str">
            <v>アタッカー</v>
          </cell>
          <cell r="R214">
            <v>3</v>
          </cell>
          <cell r="S214" t="str">
            <v>NULL</v>
          </cell>
          <cell r="T214" t="str">
            <v>normal</v>
          </cell>
          <cell r="U214" t="str">
            <v>NULL</v>
          </cell>
          <cell r="V214" t="str">
            <v>NULL</v>
          </cell>
          <cell r="W214" t="str">
            <v>NULL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  <cell r="N215" t="str">
            <v>ゴッド</v>
          </cell>
          <cell r="O215" t="str">
            <v>none</v>
          </cell>
          <cell r="P215" t="str">
            <v>種族なし</v>
          </cell>
          <cell r="Q215" t="str">
            <v>バッファー</v>
          </cell>
          <cell r="R215">
            <v>3</v>
          </cell>
          <cell r="S215" t="str">
            <v>NULL</v>
          </cell>
          <cell r="T215" t="str">
            <v>normal</v>
          </cell>
          <cell r="U215" t="str">
            <v>NULL</v>
          </cell>
          <cell r="V215" t="str">
            <v>NULL</v>
          </cell>
          <cell r="W215" t="str">
            <v>NULL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  <cell r="N216" t="str">
            <v>ゴッド</v>
          </cell>
          <cell r="O216" t="str">
            <v>none</v>
          </cell>
          <cell r="P216" t="str">
            <v>種族なし</v>
          </cell>
          <cell r="Q216" t="str">
            <v>バッファー</v>
          </cell>
          <cell r="R216">
            <v>3</v>
          </cell>
          <cell r="S216" t="str">
            <v>NULL</v>
          </cell>
          <cell r="T216" t="str">
            <v>normal</v>
          </cell>
          <cell r="U216" t="str">
            <v>NULL</v>
          </cell>
          <cell r="V216" t="str">
            <v>NULL</v>
          </cell>
          <cell r="W216" t="str">
            <v>NULL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  <cell r="N217" t="str">
            <v>ゴッド</v>
          </cell>
          <cell r="O217" t="str">
            <v>none</v>
          </cell>
          <cell r="P217" t="str">
            <v>種族なし</v>
          </cell>
          <cell r="Q217" t="str">
            <v>バッファー</v>
          </cell>
          <cell r="R217">
            <v>3</v>
          </cell>
          <cell r="S217" t="str">
            <v>NULL</v>
          </cell>
          <cell r="T217" t="str">
            <v>normal</v>
          </cell>
          <cell r="U217" t="str">
            <v>NULL</v>
          </cell>
          <cell r="V217" t="str">
            <v>NULL</v>
          </cell>
          <cell r="W217" t="str">
            <v>NULL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  <cell r="N218" t="str">
            <v>ドラゴン</v>
          </cell>
          <cell r="O218" t="str">
            <v>none</v>
          </cell>
          <cell r="P218" t="str">
            <v>種族なし</v>
          </cell>
          <cell r="Q218" t="str">
            <v>バッファー</v>
          </cell>
          <cell r="R218">
            <v>3</v>
          </cell>
          <cell r="S218" t="str">
            <v>NULL</v>
          </cell>
          <cell r="T218" t="str">
            <v>normal</v>
          </cell>
          <cell r="U218" t="str">
            <v>NULL</v>
          </cell>
          <cell r="V218" t="str">
            <v>NULL</v>
          </cell>
          <cell r="W218" t="str">
            <v>NULL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  <cell r="N219" t="str">
            <v>ドラゴン</v>
          </cell>
          <cell r="O219" t="str">
            <v>none</v>
          </cell>
          <cell r="P219" t="str">
            <v>種族なし</v>
          </cell>
          <cell r="Q219" t="str">
            <v>バッファー</v>
          </cell>
          <cell r="R219">
            <v>3</v>
          </cell>
          <cell r="S219" t="str">
            <v>NULL</v>
          </cell>
          <cell r="T219" t="str">
            <v>normal</v>
          </cell>
          <cell r="U219" t="str">
            <v>NULL</v>
          </cell>
          <cell r="V219" t="str">
            <v>NULL</v>
          </cell>
          <cell r="W219" t="str">
            <v>NULL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  <cell r="N220" t="str">
            <v>ドラゴン</v>
          </cell>
          <cell r="O220" t="str">
            <v>none</v>
          </cell>
          <cell r="P220" t="str">
            <v>種族なし</v>
          </cell>
          <cell r="Q220" t="str">
            <v>バッファー</v>
          </cell>
          <cell r="R220">
            <v>3</v>
          </cell>
          <cell r="S220" t="str">
            <v>NULL</v>
          </cell>
          <cell r="T220" t="str">
            <v>normal</v>
          </cell>
          <cell r="U220" t="str">
            <v>NULL</v>
          </cell>
          <cell r="V220" t="str">
            <v>NULL</v>
          </cell>
          <cell r="W220" t="str">
            <v>NULL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  <cell r="N221" t="str">
            <v>ゴッド</v>
          </cell>
          <cell r="O221" t="str">
            <v>none</v>
          </cell>
          <cell r="P221" t="str">
            <v>種族なし</v>
          </cell>
          <cell r="Q221" t="str">
            <v>アタッカー</v>
          </cell>
          <cell r="R221">
            <v>3</v>
          </cell>
          <cell r="S221" t="str">
            <v>NULL</v>
          </cell>
          <cell r="T221" t="str">
            <v>normal</v>
          </cell>
          <cell r="U221" t="str">
            <v>NULL</v>
          </cell>
          <cell r="V221" t="str">
            <v>NULL</v>
          </cell>
          <cell r="W221" t="str">
            <v>NULL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  <cell r="N222" t="str">
            <v>ゴッド</v>
          </cell>
          <cell r="O222" t="str">
            <v>none</v>
          </cell>
          <cell r="P222" t="str">
            <v>種族なし</v>
          </cell>
          <cell r="Q222" t="str">
            <v>アタッカー</v>
          </cell>
          <cell r="R222">
            <v>3</v>
          </cell>
          <cell r="S222" t="str">
            <v>NULL</v>
          </cell>
          <cell r="T222" t="str">
            <v>normal</v>
          </cell>
          <cell r="U222" t="str">
            <v>NULL</v>
          </cell>
          <cell r="V222" t="str">
            <v>NULL</v>
          </cell>
          <cell r="W222" t="str">
            <v>NULL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  <cell r="N223" t="str">
            <v>ゴッド</v>
          </cell>
          <cell r="O223" t="str">
            <v>none</v>
          </cell>
          <cell r="P223" t="str">
            <v>種族なし</v>
          </cell>
          <cell r="Q223" t="str">
            <v>アタッカー</v>
          </cell>
          <cell r="R223">
            <v>3</v>
          </cell>
          <cell r="S223" t="str">
            <v>NULL</v>
          </cell>
          <cell r="T223" t="str">
            <v>normal</v>
          </cell>
          <cell r="U223" t="str">
            <v>NULL</v>
          </cell>
          <cell r="V223" t="str">
            <v>NULL</v>
          </cell>
          <cell r="W223" t="str">
            <v>NULL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  <cell r="N224" t="str">
            <v>ヒューマン</v>
          </cell>
          <cell r="O224" t="str">
            <v>none</v>
          </cell>
          <cell r="P224" t="str">
            <v>種族なし</v>
          </cell>
          <cell r="Q224" t="str">
            <v>バッファー</v>
          </cell>
          <cell r="R224">
            <v>3</v>
          </cell>
          <cell r="S224" t="str">
            <v>NULL</v>
          </cell>
          <cell r="T224" t="str">
            <v>normal</v>
          </cell>
          <cell r="U224" t="str">
            <v>NULL</v>
          </cell>
          <cell r="V224" t="str">
            <v>NULL</v>
          </cell>
          <cell r="W224" t="str">
            <v>NULL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  <cell r="N225" t="str">
            <v>ヒューマン</v>
          </cell>
          <cell r="O225" t="str">
            <v>none</v>
          </cell>
          <cell r="P225" t="str">
            <v>種族なし</v>
          </cell>
          <cell r="Q225" t="str">
            <v>バッファー</v>
          </cell>
          <cell r="R225">
            <v>3</v>
          </cell>
          <cell r="S225" t="str">
            <v>NULL</v>
          </cell>
          <cell r="T225" t="str">
            <v>normal</v>
          </cell>
          <cell r="U225" t="str">
            <v>NULL</v>
          </cell>
          <cell r="V225" t="str">
            <v>NULL</v>
          </cell>
          <cell r="W225" t="str">
            <v>NULL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  <cell r="N226" t="str">
            <v>ヒューマン</v>
          </cell>
          <cell r="O226" t="str">
            <v>none</v>
          </cell>
          <cell r="P226" t="str">
            <v>種族なし</v>
          </cell>
          <cell r="Q226" t="str">
            <v>バッファー</v>
          </cell>
          <cell r="R226">
            <v>3</v>
          </cell>
          <cell r="S226" t="str">
            <v>NULL</v>
          </cell>
          <cell r="T226" t="str">
            <v>normal</v>
          </cell>
          <cell r="U226" t="str">
            <v>NULL</v>
          </cell>
          <cell r="V226" t="str">
            <v>NULL</v>
          </cell>
          <cell r="W226" t="str">
            <v>NULL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  <cell r="N227" t="str">
            <v>ゴッド</v>
          </cell>
          <cell r="O227" t="str">
            <v>none</v>
          </cell>
          <cell r="P227" t="str">
            <v>種族なし</v>
          </cell>
          <cell r="Q227" t="str">
            <v>アタッカー</v>
          </cell>
          <cell r="R227">
            <v>3</v>
          </cell>
          <cell r="S227" t="str">
            <v>NULL</v>
          </cell>
          <cell r="T227" t="str">
            <v>normal</v>
          </cell>
          <cell r="U227" t="str">
            <v>NULL</v>
          </cell>
          <cell r="V227" t="str">
            <v>NULL</v>
          </cell>
          <cell r="W227" t="str">
            <v>NULL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  <cell r="N228" t="str">
            <v>ゴッド</v>
          </cell>
          <cell r="O228" t="str">
            <v>none</v>
          </cell>
          <cell r="P228" t="str">
            <v>種族なし</v>
          </cell>
          <cell r="Q228" t="str">
            <v>アタッカー</v>
          </cell>
          <cell r="R228">
            <v>3</v>
          </cell>
          <cell r="S228" t="str">
            <v>NULL</v>
          </cell>
          <cell r="T228" t="str">
            <v>normal</v>
          </cell>
          <cell r="U228" t="str">
            <v>NULL</v>
          </cell>
          <cell r="V228" t="str">
            <v>NULL</v>
          </cell>
          <cell r="W228" t="str">
            <v>NULL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  <cell r="N229" t="str">
            <v>ゴッド</v>
          </cell>
          <cell r="O229" t="str">
            <v>none</v>
          </cell>
          <cell r="P229" t="str">
            <v>種族なし</v>
          </cell>
          <cell r="Q229" t="str">
            <v>アタッカー</v>
          </cell>
          <cell r="R229">
            <v>3</v>
          </cell>
          <cell r="S229" t="str">
            <v>NULL</v>
          </cell>
          <cell r="T229" t="str">
            <v>normal</v>
          </cell>
          <cell r="U229" t="str">
            <v>NULL</v>
          </cell>
          <cell r="V229" t="str">
            <v>NULL</v>
          </cell>
          <cell r="W229" t="str">
            <v>NULL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  <cell r="N230" t="str">
            <v>ドラゴン</v>
          </cell>
          <cell r="O230" t="str">
            <v>none</v>
          </cell>
          <cell r="P230" t="str">
            <v>種族なし</v>
          </cell>
          <cell r="Q230" t="str">
            <v>バッファー</v>
          </cell>
          <cell r="R230">
            <v>3</v>
          </cell>
          <cell r="S230" t="str">
            <v>NULL</v>
          </cell>
          <cell r="T230" t="str">
            <v>normal</v>
          </cell>
          <cell r="U230" t="str">
            <v>NULL</v>
          </cell>
          <cell r="V230" t="str">
            <v>NULL</v>
          </cell>
          <cell r="W230" t="str">
            <v>NULL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  <cell r="N231" t="str">
            <v>ドラゴン</v>
          </cell>
          <cell r="O231" t="str">
            <v>none</v>
          </cell>
          <cell r="P231" t="str">
            <v>種族なし</v>
          </cell>
          <cell r="Q231" t="str">
            <v>バッファー</v>
          </cell>
          <cell r="R231">
            <v>3</v>
          </cell>
          <cell r="S231" t="str">
            <v>NULL</v>
          </cell>
          <cell r="T231" t="str">
            <v>normal</v>
          </cell>
          <cell r="U231" t="str">
            <v>NULL</v>
          </cell>
          <cell r="V231" t="str">
            <v>NULL</v>
          </cell>
          <cell r="W231" t="str">
            <v>NULL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  <cell r="N232" t="str">
            <v>ドラゴン</v>
          </cell>
          <cell r="O232" t="str">
            <v>none</v>
          </cell>
          <cell r="P232" t="str">
            <v>種族なし</v>
          </cell>
          <cell r="Q232" t="str">
            <v>バッファー</v>
          </cell>
          <cell r="R232">
            <v>3</v>
          </cell>
          <cell r="S232" t="str">
            <v>NULL</v>
          </cell>
          <cell r="T232" t="str">
            <v>normal</v>
          </cell>
          <cell r="U232" t="str">
            <v>NULL</v>
          </cell>
          <cell r="V232" t="str">
            <v>NULL</v>
          </cell>
          <cell r="W232" t="str">
            <v>NULL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  <cell r="N233" t="str">
            <v>ヒューマン</v>
          </cell>
          <cell r="O233" t="str">
            <v>none</v>
          </cell>
          <cell r="P233" t="str">
            <v>種族なし</v>
          </cell>
          <cell r="Q233" t="str">
            <v>デバッファー</v>
          </cell>
          <cell r="R233">
            <v>3</v>
          </cell>
          <cell r="S233" t="str">
            <v>NULL</v>
          </cell>
          <cell r="T233" t="str">
            <v>normal</v>
          </cell>
          <cell r="U233" t="str">
            <v>NULL</v>
          </cell>
          <cell r="V233" t="str">
            <v>NULL</v>
          </cell>
          <cell r="W233" t="str">
            <v>NULL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  <cell r="N234" t="str">
            <v>ヒューマン</v>
          </cell>
          <cell r="O234" t="str">
            <v>none</v>
          </cell>
          <cell r="P234" t="str">
            <v>種族なし</v>
          </cell>
          <cell r="Q234" t="str">
            <v>デバッファー</v>
          </cell>
          <cell r="R234">
            <v>3</v>
          </cell>
          <cell r="S234" t="str">
            <v>NULL</v>
          </cell>
          <cell r="T234" t="str">
            <v>normal</v>
          </cell>
          <cell r="U234" t="str">
            <v>NULL</v>
          </cell>
          <cell r="V234" t="str">
            <v>NULL</v>
          </cell>
          <cell r="W234" t="str">
            <v>NULL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  <cell r="N235" t="str">
            <v>ヒューマン</v>
          </cell>
          <cell r="O235" t="str">
            <v>none</v>
          </cell>
          <cell r="P235" t="str">
            <v>種族なし</v>
          </cell>
          <cell r="Q235" t="str">
            <v>デバッファー</v>
          </cell>
          <cell r="R235">
            <v>3</v>
          </cell>
          <cell r="S235" t="str">
            <v>NULL</v>
          </cell>
          <cell r="T235" t="str">
            <v>normal</v>
          </cell>
          <cell r="U235" t="str">
            <v>NULL</v>
          </cell>
          <cell r="V235" t="str">
            <v>NULL</v>
          </cell>
          <cell r="W235" t="str">
            <v>NULL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  <cell r="N236" t="str">
            <v>ゴッド</v>
          </cell>
          <cell r="O236" t="str">
            <v>none</v>
          </cell>
          <cell r="P236" t="str">
            <v>種族なし</v>
          </cell>
          <cell r="Q236" t="str">
            <v>アタッカー</v>
          </cell>
          <cell r="R236">
            <v>3</v>
          </cell>
          <cell r="S236" t="str">
            <v>NULL</v>
          </cell>
          <cell r="T236" t="str">
            <v>normal</v>
          </cell>
          <cell r="U236" t="str">
            <v>NULL</v>
          </cell>
          <cell r="V236" t="str">
            <v>NULL</v>
          </cell>
          <cell r="W236" t="str">
            <v>NULL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  <cell r="N237" t="str">
            <v>ゴッド</v>
          </cell>
          <cell r="O237" t="str">
            <v>none</v>
          </cell>
          <cell r="P237" t="str">
            <v>種族なし</v>
          </cell>
          <cell r="Q237" t="str">
            <v>アタッカー</v>
          </cell>
          <cell r="R237">
            <v>3</v>
          </cell>
          <cell r="S237" t="str">
            <v>NULL</v>
          </cell>
          <cell r="T237" t="str">
            <v>normal</v>
          </cell>
          <cell r="U237" t="str">
            <v>NULL</v>
          </cell>
          <cell r="V237" t="str">
            <v>NULL</v>
          </cell>
          <cell r="W237" t="str">
            <v>NULL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  <cell r="N238" t="str">
            <v>ゴッド</v>
          </cell>
          <cell r="O238" t="str">
            <v>none</v>
          </cell>
          <cell r="P238" t="str">
            <v>種族なし</v>
          </cell>
          <cell r="Q238" t="str">
            <v>アタッカー</v>
          </cell>
          <cell r="R238">
            <v>3</v>
          </cell>
          <cell r="S238" t="str">
            <v>NULL</v>
          </cell>
          <cell r="T238" t="str">
            <v>normal</v>
          </cell>
          <cell r="U238" t="str">
            <v>NULL</v>
          </cell>
          <cell r="V238" t="str">
            <v>NULL</v>
          </cell>
          <cell r="W238" t="str">
            <v>NULL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  <cell r="N239" t="str">
            <v>マシン</v>
          </cell>
          <cell r="O239" t="str">
            <v>god</v>
          </cell>
          <cell r="P239" t="str">
            <v>ゴッド</v>
          </cell>
          <cell r="Q239" t="str">
            <v>パネルコンバーター</v>
          </cell>
          <cell r="R239">
            <v>3</v>
          </cell>
          <cell r="S239" t="str">
            <v>NULL</v>
          </cell>
          <cell r="T239" t="str">
            <v>normal</v>
          </cell>
          <cell r="U239" t="str">
            <v>NULL</v>
          </cell>
          <cell r="V239" t="str">
            <v>NULL</v>
          </cell>
          <cell r="W239" t="str">
            <v>NULL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  <cell r="N240" t="str">
            <v>マシン</v>
          </cell>
          <cell r="O240" t="str">
            <v>god</v>
          </cell>
          <cell r="P240" t="str">
            <v>ゴッド</v>
          </cell>
          <cell r="Q240" t="str">
            <v>パネルコンバーター</v>
          </cell>
          <cell r="R240">
            <v>3</v>
          </cell>
          <cell r="S240" t="str">
            <v>NULL</v>
          </cell>
          <cell r="T240" t="str">
            <v>normal</v>
          </cell>
          <cell r="U240" t="str">
            <v>NULL</v>
          </cell>
          <cell r="V240" t="str">
            <v>NULL</v>
          </cell>
          <cell r="W240" t="str">
            <v>NULL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  <cell r="N241" t="str">
            <v>マシン</v>
          </cell>
          <cell r="O241" t="str">
            <v>god</v>
          </cell>
          <cell r="P241" t="str">
            <v>ゴッド</v>
          </cell>
          <cell r="Q241" t="str">
            <v>パネルコンバーター</v>
          </cell>
          <cell r="R241">
            <v>3</v>
          </cell>
          <cell r="S241" t="str">
            <v>NULL</v>
          </cell>
          <cell r="T241" t="str">
            <v>normal</v>
          </cell>
          <cell r="U241" t="str">
            <v>NULL</v>
          </cell>
          <cell r="V241" t="str">
            <v>NULL</v>
          </cell>
          <cell r="W241" t="str">
            <v>NULL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  <cell r="N242" t="str">
            <v>マシン</v>
          </cell>
          <cell r="O242" t="str">
            <v>god</v>
          </cell>
          <cell r="P242" t="str">
            <v>ゴッド</v>
          </cell>
          <cell r="Q242" t="str">
            <v>アタッカー</v>
          </cell>
          <cell r="R242">
            <v>3</v>
          </cell>
          <cell r="S242" t="str">
            <v>NULL</v>
          </cell>
          <cell r="T242" t="str">
            <v>normal</v>
          </cell>
          <cell r="U242" t="str">
            <v>NULL</v>
          </cell>
          <cell r="V242" t="str">
            <v>NULL</v>
          </cell>
          <cell r="W242" t="str">
            <v>NULL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  <cell r="N243" t="str">
            <v>マシン</v>
          </cell>
          <cell r="O243" t="str">
            <v>god</v>
          </cell>
          <cell r="P243" t="str">
            <v>ゴッド</v>
          </cell>
          <cell r="Q243" t="str">
            <v>アタッカー</v>
          </cell>
          <cell r="R243">
            <v>3</v>
          </cell>
          <cell r="S243" t="str">
            <v>NULL</v>
          </cell>
          <cell r="T243" t="str">
            <v>normal</v>
          </cell>
          <cell r="U243" t="str">
            <v>NULL</v>
          </cell>
          <cell r="V243" t="str">
            <v>NULL</v>
          </cell>
          <cell r="W243" t="str">
            <v>NULL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  <cell r="N244" t="str">
            <v>マシン</v>
          </cell>
          <cell r="O244" t="str">
            <v>god</v>
          </cell>
          <cell r="P244" t="str">
            <v>ゴッド</v>
          </cell>
          <cell r="Q244" t="str">
            <v>アタッカー</v>
          </cell>
          <cell r="R244">
            <v>3</v>
          </cell>
          <cell r="S244" t="str">
            <v>NULL</v>
          </cell>
          <cell r="T244" t="str">
            <v>normal</v>
          </cell>
          <cell r="U244" t="str">
            <v>NULL</v>
          </cell>
          <cell r="V244" t="str">
            <v>NULL</v>
          </cell>
          <cell r="W244" t="str">
            <v>NULL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  <cell r="N245" t="str">
            <v>マシン</v>
          </cell>
          <cell r="O245" t="str">
            <v>god</v>
          </cell>
          <cell r="P245" t="str">
            <v>ゴッド</v>
          </cell>
          <cell r="Q245" t="str">
            <v>バッファー</v>
          </cell>
          <cell r="R245">
            <v>3</v>
          </cell>
          <cell r="S245" t="str">
            <v>NULL</v>
          </cell>
          <cell r="T245" t="str">
            <v>normal</v>
          </cell>
          <cell r="U245" t="str">
            <v>NULL</v>
          </cell>
          <cell r="V245" t="str">
            <v>NULL</v>
          </cell>
          <cell r="W245" t="str">
            <v>NULL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  <cell r="N246" t="str">
            <v>マシン</v>
          </cell>
          <cell r="O246" t="str">
            <v>god</v>
          </cell>
          <cell r="P246" t="str">
            <v>ゴッド</v>
          </cell>
          <cell r="Q246" t="str">
            <v>バッファー</v>
          </cell>
          <cell r="R246">
            <v>3</v>
          </cell>
          <cell r="S246" t="str">
            <v>NULL</v>
          </cell>
          <cell r="T246" t="str">
            <v>normal</v>
          </cell>
          <cell r="U246" t="str">
            <v>NULL</v>
          </cell>
          <cell r="V246" t="str">
            <v>NULL</v>
          </cell>
          <cell r="W246" t="str">
            <v>NULL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  <cell r="N247" t="str">
            <v>マシン</v>
          </cell>
          <cell r="O247" t="str">
            <v>god</v>
          </cell>
          <cell r="P247" t="str">
            <v>ゴッド</v>
          </cell>
          <cell r="Q247" t="str">
            <v>バッファー</v>
          </cell>
          <cell r="R247">
            <v>3</v>
          </cell>
          <cell r="S247" t="str">
            <v>NULL</v>
          </cell>
          <cell r="T247" t="str">
            <v>normal</v>
          </cell>
          <cell r="U247" t="str">
            <v>NULL</v>
          </cell>
          <cell r="V247" t="str">
            <v>NULL</v>
          </cell>
          <cell r="W247" t="str">
            <v>NULL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  <cell r="N248" t="str">
            <v>マシン</v>
          </cell>
          <cell r="O248" t="str">
            <v>god</v>
          </cell>
          <cell r="P248" t="str">
            <v>ゴッド</v>
          </cell>
          <cell r="Q248" t="str">
            <v>アタッカー</v>
          </cell>
          <cell r="R248">
            <v>3</v>
          </cell>
          <cell r="S248" t="str">
            <v>NULL</v>
          </cell>
          <cell r="T248" t="str">
            <v>normal</v>
          </cell>
          <cell r="U248" t="str">
            <v>NULL</v>
          </cell>
          <cell r="V248" t="str">
            <v>NULL</v>
          </cell>
          <cell r="W248" t="str">
            <v>NULL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  <cell r="N249" t="str">
            <v>マシン</v>
          </cell>
          <cell r="O249" t="str">
            <v>god</v>
          </cell>
          <cell r="P249" t="str">
            <v>ゴッド</v>
          </cell>
          <cell r="Q249" t="str">
            <v>アタッカー</v>
          </cell>
          <cell r="R249">
            <v>3</v>
          </cell>
          <cell r="S249" t="str">
            <v>NULL</v>
          </cell>
          <cell r="T249" t="str">
            <v>normal</v>
          </cell>
          <cell r="U249" t="str">
            <v>NULL</v>
          </cell>
          <cell r="V249" t="str">
            <v>NULL</v>
          </cell>
          <cell r="W249" t="str">
            <v>NULL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  <cell r="N250" t="str">
            <v>マシン</v>
          </cell>
          <cell r="O250" t="str">
            <v>god</v>
          </cell>
          <cell r="P250" t="str">
            <v>ゴッド</v>
          </cell>
          <cell r="Q250" t="str">
            <v>アタッカー</v>
          </cell>
          <cell r="R250">
            <v>3</v>
          </cell>
          <cell r="S250" t="str">
            <v>NULL</v>
          </cell>
          <cell r="T250" t="str">
            <v>normal</v>
          </cell>
          <cell r="U250" t="str">
            <v>NULL</v>
          </cell>
          <cell r="V250" t="str">
            <v>NULL</v>
          </cell>
          <cell r="W250" t="str">
            <v>NULL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  <cell r="N251" t="str">
            <v>ゴッド</v>
          </cell>
          <cell r="O251" t="str">
            <v>none</v>
          </cell>
          <cell r="P251" t="str">
            <v>種族なし</v>
          </cell>
          <cell r="Q251" t="str">
            <v>アタッカー</v>
          </cell>
          <cell r="R251">
            <v>3</v>
          </cell>
          <cell r="S251" t="str">
            <v>NULL</v>
          </cell>
          <cell r="T251" t="str">
            <v>normal</v>
          </cell>
          <cell r="U251" t="str">
            <v>NULL</v>
          </cell>
          <cell r="V251" t="str">
            <v>NULL</v>
          </cell>
          <cell r="W251" t="str">
            <v>NULL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  <cell r="N252" t="str">
            <v>ゴッド</v>
          </cell>
          <cell r="O252" t="str">
            <v>none</v>
          </cell>
          <cell r="P252" t="str">
            <v>種族なし</v>
          </cell>
          <cell r="Q252" t="str">
            <v>アタッカー</v>
          </cell>
          <cell r="R252">
            <v>3</v>
          </cell>
          <cell r="S252" t="str">
            <v>NULL</v>
          </cell>
          <cell r="T252" t="str">
            <v>normal</v>
          </cell>
          <cell r="U252" t="str">
            <v>NULL</v>
          </cell>
          <cell r="V252" t="str">
            <v>NULL</v>
          </cell>
          <cell r="W252" t="str">
            <v>NULL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  <cell r="N253" t="str">
            <v>ゴッド</v>
          </cell>
          <cell r="O253" t="str">
            <v>none</v>
          </cell>
          <cell r="P253" t="str">
            <v>種族なし</v>
          </cell>
          <cell r="Q253" t="str">
            <v>アタッカー</v>
          </cell>
          <cell r="R253">
            <v>3</v>
          </cell>
          <cell r="S253" t="str">
            <v>NULL</v>
          </cell>
          <cell r="T253" t="str">
            <v>normal</v>
          </cell>
          <cell r="U253" t="str">
            <v>NULL</v>
          </cell>
          <cell r="V253" t="str">
            <v>NULL</v>
          </cell>
          <cell r="W253" t="str">
            <v>NULL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  <cell r="N254" t="str">
            <v>ゴッド</v>
          </cell>
          <cell r="O254" t="str">
            <v>none</v>
          </cell>
          <cell r="P254" t="str">
            <v>種族なし</v>
          </cell>
          <cell r="Q254" t="str">
            <v>デバッファー</v>
          </cell>
          <cell r="R254">
            <v>3</v>
          </cell>
          <cell r="S254" t="str">
            <v>NULL</v>
          </cell>
          <cell r="T254" t="str">
            <v>normal</v>
          </cell>
          <cell r="U254" t="str">
            <v>NULL</v>
          </cell>
          <cell r="V254" t="str">
            <v>NULL</v>
          </cell>
          <cell r="W254" t="str">
            <v>NULL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  <cell r="N255" t="str">
            <v>ゴッド</v>
          </cell>
          <cell r="O255" t="str">
            <v>none</v>
          </cell>
          <cell r="P255" t="str">
            <v>種族なし</v>
          </cell>
          <cell r="Q255" t="str">
            <v>デバッファー</v>
          </cell>
          <cell r="R255">
            <v>3</v>
          </cell>
          <cell r="S255" t="str">
            <v>NULL</v>
          </cell>
          <cell r="T255" t="str">
            <v>normal</v>
          </cell>
          <cell r="U255" t="str">
            <v>NULL</v>
          </cell>
          <cell r="V255" t="str">
            <v>NULL</v>
          </cell>
          <cell r="W255" t="str">
            <v>NULL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  <cell r="N256" t="str">
            <v>ゴッド</v>
          </cell>
          <cell r="O256" t="str">
            <v>none</v>
          </cell>
          <cell r="P256" t="str">
            <v>種族なし</v>
          </cell>
          <cell r="Q256" t="str">
            <v>デバッファー</v>
          </cell>
          <cell r="R256">
            <v>3</v>
          </cell>
          <cell r="S256" t="str">
            <v>NULL</v>
          </cell>
          <cell r="T256" t="str">
            <v>normal</v>
          </cell>
          <cell r="U256" t="str">
            <v>NULL</v>
          </cell>
          <cell r="V256" t="str">
            <v>NULL</v>
          </cell>
          <cell r="W256" t="str">
            <v>NULL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  <cell r="N257" t="str">
            <v>ゴッド</v>
          </cell>
          <cell r="O257" t="str">
            <v>none</v>
          </cell>
          <cell r="P257" t="str">
            <v>種族なし</v>
          </cell>
          <cell r="Q257" t="str">
            <v>アタッカー</v>
          </cell>
          <cell r="R257">
            <v>3</v>
          </cell>
          <cell r="S257" t="str">
            <v>NULL</v>
          </cell>
          <cell r="T257" t="str">
            <v>normal</v>
          </cell>
          <cell r="U257" t="str">
            <v>NULL</v>
          </cell>
          <cell r="V257" t="str">
            <v>NULL</v>
          </cell>
          <cell r="W257" t="str">
            <v>NULL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  <cell r="N258" t="str">
            <v>ゴッド</v>
          </cell>
          <cell r="O258" t="str">
            <v>none</v>
          </cell>
          <cell r="P258" t="str">
            <v>種族なし</v>
          </cell>
          <cell r="Q258" t="str">
            <v>アタッカー</v>
          </cell>
          <cell r="R258">
            <v>3</v>
          </cell>
          <cell r="S258" t="str">
            <v>NULL</v>
          </cell>
          <cell r="T258" t="str">
            <v>normal</v>
          </cell>
          <cell r="U258" t="str">
            <v>NULL</v>
          </cell>
          <cell r="V258" t="str">
            <v>NULL</v>
          </cell>
          <cell r="W258" t="str">
            <v>NULL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  <cell r="N259" t="str">
            <v>ゴッド</v>
          </cell>
          <cell r="O259" t="str">
            <v>none</v>
          </cell>
          <cell r="P259" t="str">
            <v>種族なし</v>
          </cell>
          <cell r="Q259" t="str">
            <v>アタッカー</v>
          </cell>
          <cell r="R259">
            <v>3</v>
          </cell>
          <cell r="S259" t="str">
            <v>NULL</v>
          </cell>
          <cell r="T259" t="str">
            <v>normal</v>
          </cell>
          <cell r="U259" t="str">
            <v>NULL</v>
          </cell>
          <cell r="V259" t="str">
            <v>NULL</v>
          </cell>
          <cell r="W259" t="str">
            <v>NULL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  <cell r="N260" t="str">
            <v>ドラゴン</v>
          </cell>
          <cell r="O260" t="str">
            <v>none</v>
          </cell>
          <cell r="P260" t="str">
            <v>種族なし</v>
          </cell>
          <cell r="Q260" t="str">
            <v>アタッカー</v>
          </cell>
          <cell r="R260">
            <v>3</v>
          </cell>
          <cell r="S260" t="str">
            <v>NULL</v>
          </cell>
          <cell r="T260" t="str">
            <v>normal</v>
          </cell>
          <cell r="U260" t="str">
            <v>NULL</v>
          </cell>
          <cell r="V260" t="str">
            <v>NULL</v>
          </cell>
          <cell r="W260" t="str">
            <v>NULL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  <cell r="N261" t="str">
            <v>ドラゴン</v>
          </cell>
          <cell r="O261" t="str">
            <v>none</v>
          </cell>
          <cell r="P261" t="str">
            <v>種族なし</v>
          </cell>
          <cell r="Q261" t="str">
            <v>アタッカー</v>
          </cell>
          <cell r="R261">
            <v>3</v>
          </cell>
          <cell r="S261" t="str">
            <v>NULL</v>
          </cell>
          <cell r="T261" t="str">
            <v>normal</v>
          </cell>
          <cell r="U261" t="str">
            <v>NULL</v>
          </cell>
          <cell r="V261" t="str">
            <v>NULL</v>
          </cell>
          <cell r="W261" t="str">
            <v>NULL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  <cell r="N262" t="str">
            <v>ドラゴン</v>
          </cell>
          <cell r="O262" t="str">
            <v>none</v>
          </cell>
          <cell r="P262" t="str">
            <v>種族なし</v>
          </cell>
          <cell r="Q262" t="str">
            <v>アタッカー</v>
          </cell>
          <cell r="R262">
            <v>3</v>
          </cell>
          <cell r="S262" t="str">
            <v>NULL</v>
          </cell>
          <cell r="T262" t="str">
            <v>normal</v>
          </cell>
          <cell r="U262" t="str">
            <v>NULL</v>
          </cell>
          <cell r="V262" t="str">
            <v>NULL</v>
          </cell>
          <cell r="W262" t="str">
            <v>NULL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  <cell r="N263" t="str">
            <v>アニマル</v>
          </cell>
          <cell r="O263" t="str">
            <v>none</v>
          </cell>
          <cell r="P263" t="str">
            <v>種族なし</v>
          </cell>
          <cell r="R263">
            <v>3</v>
          </cell>
          <cell r="S263" t="str">
            <v>NULL</v>
          </cell>
          <cell r="T263" t="str">
            <v>normal</v>
          </cell>
          <cell r="U263" t="str">
            <v>NULL</v>
          </cell>
          <cell r="V263" t="str">
            <v>NULL</v>
          </cell>
          <cell r="W263" t="str">
            <v>NULL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  <cell r="N264" t="str">
            <v>アニマル</v>
          </cell>
          <cell r="O264" t="str">
            <v>none</v>
          </cell>
          <cell r="P264" t="str">
            <v>種族なし</v>
          </cell>
          <cell r="R264">
            <v>3</v>
          </cell>
          <cell r="S264" t="str">
            <v>NULL</v>
          </cell>
          <cell r="T264" t="str">
            <v>normal</v>
          </cell>
          <cell r="U264" t="str">
            <v>NULL</v>
          </cell>
          <cell r="V264" t="str">
            <v>NULL</v>
          </cell>
          <cell r="W264" t="str">
            <v>NULL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  <cell r="N265" t="str">
            <v>アニマル</v>
          </cell>
          <cell r="O265" t="str">
            <v>none</v>
          </cell>
          <cell r="P265" t="str">
            <v>種族なし</v>
          </cell>
          <cell r="Q265" t="str">
            <v>ヒーラー</v>
          </cell>
          <cell r="R265">
            <v>3</v>
          </cell>
          <cell r="S265" t="str">
            <v>NULL</v>
          </cell>
          <cell r="T265" t="str">
            <v>normal</v>
          </cell>
          <cell r="U265" t="str">
            <v>NULL</v>
          </cell>
          <cell r="V265" t="str">
            <v>NULL</v>
          </cell>
          <cell r="W265" t="str">
            <v>NULL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  <cell r="N266" t="str">
            <v>アニマル</v>
          </cell>
          <cell r="O266" t="str">
            <v>none</v>
          </cell>
          <cell r="P266" t="str">
            <v>種族なし</v>
          </cell>
          <cell r="Q266" t="str">
            <v>ヒーラー</v>
          </cell>
          <cell r="R266">
            <v>3</v>
          </cell>
          <cell r="S266" t="str">
            <v>NULL</v>
          </cell>
          <cell r="T266" t="str">
            <v>normal</v>
          </cell>
          <cell r="U266" t="str">
            <v>NULL</v>
          </cell>
          <cell r="V266" t="str">
            <v>NULL</v>
          </cell>
          <cell r="W266" t="str">
            <v>NULL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  <cell r="N267" t="str">
            <v>アニマル</v>
          </cell>
          <cell r="O267" t="str">
            <v>none</v>
          </cell>
          <cell r="P267" t="str">
            <v>種族なし</v>
          </cell>
          <cell r="R267">
            <v>3</v>
          </cell>
          <cell r="S267" t="str">
            <v>NULL</v>
          </cell>
          <cell r="T267" t="str">
            <v>normal</v>
          </cell>
          <cell r="U267" t="str">
            <v>NULL</v>
          </cell>
          <cell r="V267" t="str">
            <v>NULL</v>
          </cell>
          <cell r="W267" t="str">
            <v>NULL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  <cell r="N268" t="str">
            <v>アニマル</v>
          </cell>
          <cell r="O268" t="str">
            <v>none</v>
          </cell>
          <cell r="P268" t="str">
            <v>種族なし</v>
          </cell>
          <cell r="R268">
            <v>3</v>
          </cell>
          <cell r="S268" t="str">
            <v>NULL</v>
          </cell>
          <cell r="T268" t="str">
            <v>normal</v>
          </cell>
          <cell r="U268" t="str">
            <v>NULL</v>
          </cell>
          <cell r="V268" t="str">
            <v>NULL</v>
          </cell>
          <cell r="W268" t="str">
            <v>NULL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  <cell r="N269" t="str">
            <v>アニマル</v>
          </cell>
          <cell r="O269" t="str">
            <v>none</v>
          </cell>
          <cell r="P269" t="str">
            <v>種族なし</v>
          </cell>
          <cell r="Q269" t="str">
            <v>パネルコンバーター</v>
          </cell>
          <cell r="R269">
            <v>3</v>
          </cell>
          <cell r="S269" t="str">
            <v>NULL</v>
          </cell>
          <cell r="T269" t="str">
            <v>normal</v>
          </cell>
          <cell r="U269" t="str">
            <v>NULL</v>
          </cell>
          <cell r="V269" t="str">
            <v>NULL</v>
          </cell>
          <cell r="W269" t="str">
            <v>NULL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  <cell r="N270" t="str">
            <v>アニマル</v>
          </cell>
          <cell r="O270" t="str">
            <v>none</v>
          </cell>
          <cell r="P270" t="str">
            <v>種族なし</v>
          </cell>
          <cell r="Q270" t="str">
            <v>パネルコンバーター</v>
          </cell>
          <cell r="R270">
            <v>3</v>
          </cell>
          <cell r="S270" t="str">
            <v>NULL</v>
          </cell>
          <cell r="T270" t="str">
            <v>normal</v>
          </cell>
          <cell r="U270" t="str">
            <v>NULL</v>
          </cell>
          <cell r="V270" t="str">
            <v>NULL</v>
          </cell>
          <cell r="W270" t="str">
            <v>NULL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  <cell r="N271" t="str">
            <v>ヒューマン</v>
          </cell>
          <cell r="O271" t="str">
            <v>animal</v>
          </cell>
          <cell r="P271" t="str">
            <v>アニマル</v>
          </cell>
          <cell r="Q271" t="str">
            <v>バッファー</v>
          </cell>
          <cell r="R271">
            <v>3</v>
          </cell>
          <cell r="S271" t="str">
            <v>NULL</v>
          </cell>
          <cell r="T271" t="str">
            <v>normal</v>
          </cell>
          <cell r="U271" t="str">
            <v>NULL</v>
          </cell>
          <cell r="V271" t="str">
            <v>NULL</v>
          </cell>
          <cell r="W271" t="str">
            <v>NULL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  <cell r="N272" t="str">
            <v>ヒューマン</v>
          </cell>
          <cell r="O272" t="str">
            <v>animal</v>
          </cell>
          <cell r="P272" t="str">
            <v>アニマル</v>
          </cell>
          <cell r="Q272" t="str">
            <v>バッファー</v>
          </cell>
          <cell r="R272">
            <v>3</v>
          </cell>
          <cell r="S272" t="str">
            <v>NULL</v>
          </cell>
          <cell r="T272" t="str">
            <v>normal</v>
          </cell>
          <cell r="U272" t="str">
            <v>NULL</v>
          </cell>
          <cell r="V272" t="str">
            <v>NULL</v>
          </cell>
          <cell r="W272" t="str">
            <v>NULL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  <cell r="N273" t="str">
            <v>ヒューマン</v>
          </cell>
          <cell r="O273" t="str">
            <v>none</v>
          </cell>
          <cell r="P273" t="str">
            <v>種族なし</v>
          </cell>
          <cell r="Q273" t="str">
            <v>バッファー</v>
          </cell>
          <cell r="R273">
            <v>3</v>
          </cell>
          <cell r="S273" t="str">
            <v>NULL</v>
          </cell>
          <cell r="T273" t="str">
            <v>normal</v>
          </cell>
          <cell r="U273" t="str">
            <v>NULL</v>
          </cell>
          <cell r="V273" t="str">
            <v>NULL</v>
          </cell>
          <cell r="W273" t="str">
            <v>NULL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  <cell r="N274" t="str">
            <v>ヒューマン</v>
          </cell>
          <cell r="O274" t="str">
            <v>none</v>
          </cell>
          <cell r="P274" t="str">
            <v>種族なし</v>
          </cell>
          <cell r="Q274" t="str">
            <v>バッファー</v>
          </cell>
          <cell r="R274">
            <v>3</v>
          </cell>
          <cell r="S274" t="str">
            <v>NULL</v>
          </cell>
          <cell r="T274" t="str">
            <v>normal</v>
          </cell>
          <cell r="U274" t="str">
            <v>NULL</v>
          </cell>
          <cell r="V274" t="str">
            <v>NULL</v>
          </cell>
          <cell r="W274" t="str">
            <v>NULL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  <cell r="N275" t="str">
            <v>ヒューマン</v>
          </cell>
          <cell r="O275" t="str">
            <v>animal</v>
          </cell>
          <cell r="P275" t="str">
            <v>アニマル</v>
          </cell>
          <cell r="Q275" t="str">
            <v>バッファー</v>
          </cell>
          <cell r="R275">
            <v>3</v>
          </cell>
          <cell r="S275" t="str">
            <v>NULL</v>
          </cell>
          <cell r="T275" t="str">
            <v>normal</v>
          </cell>
          <cell r="U275" t="str">
            <v>NULL</v>
          </cell>
          <cell r="V275" t="str">
            <v>NULL</v>
          </cell>
          <cell r="W275" t="str">
            <v>NULL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  <cell r="N276" t="str">
            <v>ヒューマン</v>
          </cell>
          <cell r="O276" t="str">
            <v>animal</v>
          </cell>
          <cell r="P276" t="str">
            <v>アニマル</v>
          </cell>
          <cell r="Q276" t="str">
            <v>バッファー</v>
          </cell>
          <cell r="R276">
            <v>3</v>
          </cell>
          <cell r="S276" t="str">
            <v>NULL</v>
          </cell>
          <cell r="T276" t="str">
            <v>normal</v>
          </cell>
          <cell r="U276" t="str">
            <v>NULL</v>
          </cell>
          <cell r="V276" t="str">
            <v>NULL</v>
          </cell>
          <cell r="W276" t="str">
            <v>NULL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  <cell r="N277" t="str">
            <v>ヒューマン</v>
          </cell>
          <cell r="O277" t="str">
            <v>machine</v>
          </cell>
          <cell r="P277" t="str">
            <v>マシン</v>
          </cell>
          <cell r="Q277" t="str">
            <v>バッファー</v>
          </cell>
          <cell r="R277">
            <v>3</v>
          </cell>
          <cell r="S277" t="str">
            <v>NULL</v>
          </cell>
          <cell r="T277" t="str">
            <v>normal</v>
          </cell>
          <cell r="U277" t="str">
            <v>NULL</v>
          </cell>
          <cell r="V277" t="str">
            <v>NULL</v>
          </cell>
          <cell r="W277" t="str">
            <v>NULL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  <cell r="N278" t="str">
            <v>ヒューマン</v>
          </cell>
          <cell r="O278" t="str">
            <v>machine</v>
          </cell>
          <cell r="P278" t="str">
            <v>マシン</v>
          </cell>
          <cell r="Q278" t="str">
            <v>バッファー</v>
          </cell>
          <cell r="R278">
            <v>3</v>
          </cell>
          <cell r="S278" t="str">
            <v>NULL</v>
          </cell>
          <cell r="T278" t="str">
            <v>normal</v>
          </cell>
          <cell r="U278" t="str">
            <v>NULL</v>
          </cell>
          <cell r="V278" t="str">
            <v>NULL</v>
          </cell>
          <cell r="W278" t="str">
            <v>NULL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  <cell r="N279" t="str">
            <v>ゴッド</v>
          </cell>
          <cell r="O279" t="str">
            <v>none</v>
          </cell>
          <cell r="P279" t="str">
            <v>種族なし</v>
          </cell>
          <cell r="Q279" t="str">
            <v>アタッカー</v>
          </cell>
          <cell r="R279">
            <v>3</v>
          </cell>
          <cell r="S279" t="str">
            <v>NULL</v>
          </cell>
          <cell r="T279" t="str">
            <v>normal</v>
          </cell>
          <cell r="U279" t="str">
            <v>NULL</v>
          </cell>
          <cell r="V279" t="str">
            <v>NULL</v>
          </cell>
          <cell r="W279" t="str">
            <v>NULL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  <cell r="N280" t="str">
            <v>ゴッド</v>
          </cell>
          <cell r="O280" t="str">
            <v>none</v>
          </cell>
          <cell r="P280" t="str">
            <v>種族なし</v>
          </cell>
          <cell r="Q280" t="str">
            <v>アタッカー</v>
          </cell>
          <cell r="R280">
            <v>3</v>
          </cell>
          <cell r="S280" t="str">
            <v>NULL</v>
          </cell>
          <cell r="T280" t="str">
            <v>normal</v>
          </cell>
          <cell r="U280" t="str">
            <v>NULL</v>
          </cell>
          <cell r="V280" t="str">
            <v>NULL</v>
          </cell>
          <cell r="W280" t="str">
            <v>NULL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  <cell r="N281" t="str">
            <v>ドラゴン</v>
          </cell>
          <cell r="O281" t="str">
            <v>machine</v>
          </cell>
          <cell r="P281" t="str">
            <v>マシン</v>
          </cell>
          <cell r="R281">
            <v>3</v>
          </cell>
          <cell r="S281" t="str">
            <v>NULL</v>
          </cell>
          <cell r="T281" t="str">
            <v>normal</v>
          </cell>
          <cell r="U281" t="str">
            <v>NULL</v>
          </cell>
          <cell r="V281" t="str">
            <v>NULL</v>
          </cell>
          <cell r="W281" t="str">
            <v>NULL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  <cell r="N282" t="str">
            <v>ドラゴン</v>
          </cell>
          <cell r="O282" t="str">
            <v>machine</v>
          </cell>
          <cell r="P282" t="str">
            <v>マシン</v>
          </cell>
          <cell r="R282">
            <v>3</v>
          </cell>
          <cell r="S282" t="str">
            <v>NULL</v>
          </cell>
          <cell r="T282" t="str">
            <v>normal</v>
          </cell>
          <cell r="U282" t="str">
            <v>NULL</v>
          </cell>
          <cell r="V282" t="str">
            <v>NULL</v>
          </cell>
          <cell r="W282" t="str">
            <v>NULL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  <cell r="N283" t="str">
            <v>ドラゴン</v>
          </cell>
          <cell r="O283" t="str">
            <v>machine</v>
          </cell>
          <cell r="P283" t="str">
            <v>マシン</v>
          </cell>
          <cell r="Q283" t="str">
            <v>スキルサポーター</v>
          </cell>
          <cell r="R283">
            <v>3</v>
          </cell>
          <cell r="S283" t="str">
            <v>NULL</v>
          </cell>
          <cell r="T283" t="str">
            <v>normal</v>
          </cell>
          <cell r="U283" t="str">
            <v>NULL</v>
          </cell>
          <cell r="V283" t="str">
            <v>NULL</v>
          </cell>
          <cell r="W283" t="str">
            <v>NULL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  <cell r="N284" t="str">
            <v>ドラゴン</v>
          </cell>
          <cell r="O284" t="str">
            <v>machine</v>
          </cell>
          <cell r="P284" t="str">
            <v>マシン</v>
          </cell>
          <cell r="Q284" t="str">
            <v>スキルサポーター</v>
          </cell>
          <cell r="R284">
            <v>3</v>
          </cell>
          <cell r="S284" t="str">
            <v>NULL</v>
          </cell>
          <cell r="T284" t="str">
            <v>normal</v>
          </cell>
          <cell r="U284" t="str">
            <v>NULL</v>
          </cell>
          <cell r="V284" t="str">
            <v>NULL</v>
          </cell>
          <cell r="W284" t="str">
            <v>NULL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  <cell r="N285" t="str">
            <v>ドラゴン</v>
          </cell>
          <cell r="O285" t="str">
            <v>machine</v>
          </cell>
          <cell r="P285" t="str">
            <v>マシン</v>
          </cell>
          <cell r="Q285" t="str">
            <v>バッファー</v>
          </cell>
          <cell r="R285">
            <v>3</v>
          </cell>
          <cell r="S285" t="str">
            <v>NULL</v>
          </cell>
          <cell r="T285" t="str">
            <v>normal</v>
          </cell>
          <cell r="U285" t="str">
            <v>NULL</v>
          </cell>
          <cell r="V285" t="str">
            <v>NULL</v>
          </cell>
          <cell r="W285" t="str">
            <v>NULL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  <cell r="N286" t="str">
            <v>ドラゴン</v>
          </cell>
          <cell r="O286" t="str">
            <v>machine</v>
          </cell>
          <cell r="P286" t="str">
            <v>マシン</v>
          </cell>
          <cell r="Q286" t="str">
            <v>バッファー</v>
          </cell>
          <cell r="R286">
            <v>3</v>
          </cell>
          <cell r="S286" t="str">
            <v>NULL</v>
          </cell>
          <cell r="T286" t="str">
            <v>normal</v>
          </cell>
          <cell r="U286" t="str">
            <v>NULL</v>
          </cell>
          <cell r="V286" t="str">
            <v>NULL</v>
          </cell>
          <cell r="W286" t="str">
            <v>NULL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  <cell r="N287" t="str">
            <v>ドラゴン</v>
          </cell>
          <cell r="O287" t="str">
            <v>machine</v>
          </cell>
          <cell r="P287" t="str">
            <v>マシン</v>
          </cell>
          <cell r="R287">
            <v>3</v>
          </cell>
          <cell r="S287" t="str">
            <v>NULL</v>
          </cell>
          <cell r="T287" t="str">
            <v>normal</v>
          </cell>
          <cell r="U287" t="str">
            <v>NULL</v>
          </cell>
          <cell r="V287" t="str">
            <v>NULL</v>
          </cell>
          <cell r="W287" t="str">
            <v>NULL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  <cell r="N288" t="str">
            <v>ドラゴン</v>
          </cell>
          <cell r="O288" t="str">
            <v>machine</v>
          </cell>
          <cell r="P288" t="str">
            <v>マシン</v>
          </cell>
          <cell r="R288">
            <v>3</v>
          </cell>
          <cell r="S288" t="str">
            <v>NULL</v>
          </cell>
          <cell r="T288" t="str">
            <v>normal</v>
          </cell>
          <cell r="U288" t="str">
            <v>NULL</v>
          </cell>
          <cell r="V288" t="str">
            <v>NULL</v>
          </cell>
          <cell r="W288" t="str">
            <v>NULL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  <cell r="N289" t="str">
            <v>ヒューマン</v>
          </cell>
          <cell r="O289" t="str">
            <v>none</v>
          </cell>
          <cell r="P289" t="str">
            <v>種族なし</v>
          </cell>
          <cell r="Q289" t="str">
            <v>アタッカー</v>
          </cell>
          <cell r="R289">
            <v>3</v>
          </cell>
          <cell r="S289" t="str">
            <v>NULL</v>
          </cell>
          <cell r="T289" t="str">
            <v>normal</v>
          </cell>
          <cell r="U289" t="str">
            <v>NULL</v>
          </cell>
          <cell r="V289" t="str">
            <v>NULL</v>
          </cell>
          <cell r="W289" t="str">
            <v>NULL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  <cell r="N290" t="str">
            <v>ヒューマン</v>
          </cell>
          <cell r="O290" t="str">
            <v>none</v>
          </cell>
          <cell r="P290" t="str">
            <v>種族なし</v>
          </cell>
          <cell r="Q290" t="str">
            <v>アタッカー</v>
          </cell>
          <cell r="R290">
            <v>3</v>
          </cell>
          <cell r="S290" t="str">
            <v>NULL</v>
          </cell>
          <cell r="T290" t="str">
            <v>normal</v>
          </cell>
          <cell r="U290" t="str">
            <v>NULL</v>
          </cell>
          <cell r="V290" t="str">
            <v>NULL</v>
          </cell>
          <cell r="W290" t="str">
            <v>NULL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  <cell r="N291" t="str">
            <v>ヒューマン</v>
          </cell>
          <cell r="O291" t="str">
            <v>none</v>
          </cell>
          <cell r="P291" t="str">
            <v>種族なし</v>
          </cell>
          <cell r="Q291" t="str">
            <v>アタッカー</v>
          </cell>
          <cell r="R291">
            <v>3</v>
          </cell>
          <cell r="S291" t="str">
            <v>NULL</v>
          </cell>
          <cell r="T291" t="str">
            <v>normal</v>
          </cell>
          <cell r="U291" t="str">
            <v>NULL</v>
          </cell>
          <cell r="V291" t="str">
            <v>NULL</v>
          </cell>
          <cell r="W291" t="str">
            <v>NULL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  <cell r="N292" t="str">
            <v>ヒューマン</v>
          </cell>
          <cell r="O292" t="str">
            <v>none</v>
          </cell>
          <cell r="P292" t="str">
            <v>種族なし</v>
          </cell>
          <cell r="Q292" t="str">
            <v>アタッカー</v>
          </cell>
          <cell r="R292">
            <v>3</v>
          </cell>
          <cell r="S292" t="str">
            <v>NULL</v>
          </cell>
          <cell r="T292" t="str">
            <v>normal</v>
          </cell>
          <cell r="U292" t="str">
            <v>NULL</v>
          </cell>
          <cell r="V292" t="str">
            <v>NULL</v>
          </cell>
          <cell r="W292" t="str">
            <v>NULL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  <cell r="N293" t="str">
            <v>ヒューマン</v>
          </cell>
          <cell r="O293" t="str">
            <v>none</v>
          </cell>
          <cell r="P293" t="str">
            <v>種族なし</v>
          </cell>
          <cell r="Q293" t="str">
            <v>アタッカー</v>
          </cell>
          <cell r="R293">
            <v>3</v>
          </cell>
          <cell r="S293" t="str">
            <v>NULL</v>
          </cell>
          <cell r="T293" t="str">
            <v>normal</v>
          </cell>
          <cell r="U293" t="str">
            <v>NULL</v>
          </cell>
          <cell r="V293" t="str">
            <v>NULL</v>
          </cell>
          <cell r="W293" t="str">
            <v>NULL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  <cell r="N294" t="str">
            <v>ヒューマン</v>
          </cell>
          <cell r="O294" t="str">
            <v>none</v>
          </cell>
          <cell r="P294" t="str">
            <v>種族なし</v>
          </cell>
          <cell r="Q294" t="str">
            <v>アタッカー</v>
          </cell>
          <cell r="R294">
            <v>3</v>
          </cell>
          <cell r="S294" t="str">
            <v>NULL</v>
          </cell>
          <cell r="T294" t="str">
            <v>normal</v>
          </cell>
          <cell r="U294" t="str">
            <v>NULL</v>
          </cell>
          <cell r="V294" t="str">
            <v>NULL</v>
          </cell>
          <cell r="W294" t="str">
            <v>NULL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  <cell r="N295" t="str">
            <v>アニマル</v>
          </cell>
          <cell r="O295" t="str">
            <v>none</v>
          </cell>
          <cell r="P295" t="str">
            <v>種族なし</v>
          </cell>
          <cell r="Q295" t="str">
            <v>アタッカー</v>
          </cell>
          <cell r="R295">
            <v>3</v>
          </cell>
          <cell r="S295" t="str">
            <v>NULL</v>
          </cell>
          <cell r="T295" t="str">
            <v>normal</v>
          </cell>
          <cell r="U295" t="str">
            <v>NULL</v>
          </cell>
          <cell r="V295" t="str">
            <v>NULL</v>
          </cell>
          <cell r="W295" t="str">
            <v>NULL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  <cell r="N296" t="str">
            <v>アニマル</v>
          </cell>
          <cell r="O296" t="str">
            <v>none</v>
          </cell>
          <cell r="P296" t="str">
            <v>種族なし</v>
          </cell>
          <cell r="Q296" t="str">
            <v>アタッカー</v>
          </cell>
          <cell r="R296">
            <v>3</v>
          </cell>
          <cell r="S296" t="str">
            <v>NULL</v>
          </cell>
          <cell r="T296" t="str">
            <v>normal</v>
          </cell>
          <cell r="U296" t="str">
            <v>NULL</v>
          </cell>
          <cell r="V296" t="str">
            <v>NULL</v>
          </cell>
          <cell r="W296" t="str">
            <v>NULL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  <cell r="N297" t="str">
            <v>ゴッド</v>
          </cell>
          <cell r="O297" t="str">
            <v>none</v>
          </cell>
          <cell r="P297" t="str">
            <v>種族なし</v>
          </cell>
          <cell r="R297">
            <v>3</v>
          </cell>
          <cell r="S297" t="str">
            <v>NULL</v>
          </cell>
          <cell r="T297" t="str">
            <v>normal</v>
          </cell>
          <cell r="U297" t="str">
            <v>NULL</v>
          </cell>
          <cell r="V297" t="str">
            <v>NULL</v>
          </cell>
          <cell r="W297" t="str">
            <v>NULL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  <cell r="N298" t="str">
            <v>ゴッド</v>
          </cell>
          <cell r="O298" t="str">
            <v>none</v>
          </cell>
          <cell r="P298" t="str">
            <v>種族なし</v>
          </cell>
          <cell r="R298">
            <v>3</v>
          </cell>
          <cell r="S298" t="str">
            <v>NULL</v>
          </cell>
          <cell r="T298" t="str">
            <v>normal</v>
          </cell>
          <cell r="U298" t="str">
            <v>NULL</v>
          </cell>
          <cell r="V298" t="str">
            <v>NULL</v>
          </cell>
          <cell r="W298" t="str">
            <v>NULL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  <cell r="N299" t="str">
            <v>ヒューマン</v>
          </cell>
          <cell r="O299" t="str">
            <v>none</v>
          </cell>
          <cell r="P299" t="str">
            <v>種族なし</v>
          </cell>
          <cell r="Q299" t="str">
            <v>アタッカー</v>
          </cell>
          <cell r="R299">
            <v>3</v>
          </cell>
          <cell r="S299" t="str">
            <v>NULL</v>
          </cell>
          <cell r="T299" t="str">
            <v>normal</v>
          </cell>
          <cell r="U299" t="str">
            <v>NULL</v>
          </cell>
          <cell r="V299" t="str">
            <v>NULL</v>
          </cell>
          <cell r="W299" t="str">
            <v>NULL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  <cell r="N300" t="str">
            <v>ヒューマン</v>
          </cell>
          <cell r="O300" t="str">
            <v>none</v>
          </cell>
          <cell r="P300" t="str">
            <v>種族なし</v>
          </cell>
          <cell r="Q300" t="str">
            <v>アタッカー</v>
          </cell>
          <cell r="R300">
            <v>3</v>
          </cell>
          <cell r="S300" t="str">
            <v>NULL</v>
          </cell>
          <cell r="T300" t="str">
            <v>normal</v>
          </cell>
          <cell r="U300" t="str">
            <v>NULL</v>
          </cell>
          <cell r="V300" t="str">
            <v>NULL</v>
          </cell>
          <cell r="W300" t="str">
            <v>NULL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  <cell r="N301" t="str">
            <v>ヒューマン</v>
          </cell>
          <cell r="O301" t="str">
            <v>none</v>
          </cell>
          <cell r="P301" t="str">
            <v>種族なし</v>
          </cell>
          <cell r="Q301" t="str">
            <v>デバッファー</v>
          </cell>
          <cell r="R301">
            <v>3</v>
          </cell>
          <cell r="S301" t="str">
            <v>NULL</v>
          </cell>
          <cell r="T301" t="str">
            <v>normal</v>
          </cell>
          <cell r="U301" t="str">
            <v>NULL</v>
          </cell>
          <cell r="V301" t="str">
            <v>NULL</v>
          </cell>
          <cell r="W301" t="str">
            <v>NULL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  <cell r="N302" t="str">
            <v>ヒューマン</v>
          </cell>
          <cell r="O302" t="str">
            <v>none</v>
          </cell>
          <cell r="P302" t="str">
            <v>種族なし</v>
          </cell>
          <cell r="Q302" t="str">
            <v>デバッファー</v>
          </cell>
          <cell r="R302">
            <v>3</v>
          </cell>
          <cell r="S302" t="str">
            <v>NULL</v>
          </cell>
          <cell r="T302" t="str">
            <v>normal</v>
          </cell>
          <cell r="U302" t="str">
            <v>NULL</v>
          </cell>
          <cell r="V302" t="str">
            <v>NULL</v>
          </cell>
          <cell r="W302" t="str">
            <v>NULL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  <cell r="N303" t="str">
            <v>ヒューマン</v>
          </cell>
          <cell r="O303" t="str">
            <v>none</v>
          </cell>
          <cell r="P303" t="str">
            <v>種族なし</v>
          </cell>
          <cell r="Q303" t="str">
            <v>アタッカー</v>
          </cell>
          <cell r="R303">
            <v>3</v>
          </cell>
          <cell r="S303" t="str">
            <v>NULL</v>
          </cell>
          <cell r="T303" t="str">
            <v>normal</v>
          </cell>
          <cell r="U303" t="str">
            <v>NULL</v>
          </cell>
          <cell r="V303" t="str">
            <v>NULL</v>
          </cell>
          <cell r="W303" t="str">
            <v>NULL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  <cell r="N304" t="str">
            <v>ヒューマン</v>
          </cell>
          <cell r="O304" t="str">
            <v>none</v>
          </cell>
          <cell r="P304" t="str">
            <v>種族なし</v>
          </cell>
          <cell r="Q304" t="str">
            <v>アタッカー</v>
          </cell>
          <cell r="R304">
            <v>3</v>
          </cell>
          <cell r="S304" t="str">
            <v>NULL</v>
          </cell>
          <cell r="T304" t="str">
            <v>normal</v>
          </cell>
          <cell r="U304" t="str">
            <v>NULL</v>
          </cell>
          <cell r="V304" t="str">
            <v>NULL</v>
          </cell>
          <cell r="W304" t="str">
            <v>NULL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  <cell r="N305" t="str">
            <v>ヒューマン</v>
          </cell>
          <cell r="O305" t="str">
            <v>none</v>
          </cell>
          <cell r="P305" t="str">
            <v>種族なし</v>
          </cell>
          <cell r="Q305" t="str">
            <v>アタッカー</v>
          </cell>
          <cell r="R305">
            <v>3</v>
          </cell>
          <cell r="S305" t="str">
            <v>NULL</v>
          </cell>
          <cell r="T305" t="str">
            <v>normal</v>
          </cell>
          <cell r="U305" t="str">
            <v>NULL</v>
          </cell>
          <cell r="V305" t="str">
            <v>NULL</v>
          </cell>
          <cell r="W305" t="str">
            <v>NULL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  <cell r="N306" t="str">
            <v>ヒューマン</v>
          </cell>
          <cell r="O306" t="str">
            <v>none</v>
          </cell>
          <cell r="P306" t="str">
            <v>種族なし</v>
          </cell>
          <cell r="Q306" t="str">
            <v>アタッカー</v>
          </cell>
          <cell r="R306">
            <v>3</v>
          </cell>
          <cell r="S306" t="str">
            <v>NULL</v>
          </cell>
          <cell r="T306" t="str">
            <v>normal</v>
          </cell>
          <cell r="U306" t="str">
            <v>NULL</v>
          </cell>
          <cell r="V306" t="str">
            <v>NULL</v>
          </cell>
          <cell r="W306" t="str">
            <v>NULL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  <cell r="N307" t="str">
            <v>アニマル</v>
          </cell>
          <cell r="O307" t="str">
            <v>none</v>
          </cell>
          <cell r="P307" t="str">
            <v>種族なし</v>
          </cell>
          <cell r="Q307" t="str">
            <v>アタッカー</v>
          </cell>
          <cell r="R307">
            <v>3</v>
          </cell>
          <cell r="S307" t="str">
            <v>NULL</v>
          </cell>
          <cell r="T307" t="str">
            <v>normal</v>
          </cell>
          <cell r="U307" t="str">
            <v>NULL</v>
          </cell>
          <cell r="V307" t="str">
            <v>NULL</v>
          </cell>
          <cell r="W307" t="str">
            <v>NULL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  <cell r="N308" t="str">
            <v>アニマル</v>
          </cell>
          <cell r="O308" t="str">
            <v>none</v>
          </cell>
          <cell r="P308" t="str">
            <v>種族なし</v>
          </cell>
          <cell r="Q308" t="str">
            <v>アタッカー</v>
          </cell>
          <cell r="R308">
            <v>3</v>
          </cell>
          <cell r="S308" t="str">
            <v>NULL</v>
          </cell>
          <cell r="T308" t="str">
            <v>normal</v>
          </cell>
          <cell r="U308" t="str">
            <v>NULL</v>
          </cell>
          <cell r="V308" t="str">
            <v>NULL</v>
          </cell>
          <cell r="W308" t="str">
            <v>NULL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  <cell r="N309" t="str">
            <v>アニマル</v>
          </cell>
          <cell r="O309" t="str">
            <v>none</v>
          </cell>
          <cell r="P309" t="str">
            <v>種族なし</v>
          </cell>
          <cell r="Q309" t="str">
            <v>バッファー</v>
          </cell>
          <cell r="R309">
            <v>3</v>
          </cell>
          <cell r="S309" t="str">
            <v>NULL</v>
          </cell>
          <cell r="T309" t="str">
            <v>normal</v>
          </cell>
          <cell r="U309" t="str">
            <v>NULL</v>
          </cell>
          <cell r="V309" t="str">
            <v>NULL</v>
          </cell>
          <cell r="W309" t="str">
            <v>NULL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  <cell r="N310" t="str">
            <v>アニマル</v>
          </cell>
          <cell r="O310" t="str">
            <v>none</v>
          </cell>
          <cell r="P310" t="str">
            <v>種族なし</v>
          </cell>
          <cell r="Q310" t="str">
            <v>バッファー</v>
          </cell>
          <cell r="R310">
            <v>3</v>
          </cell>
          <cell r="S310" t="str">
            <v>NULL</v>
          </cell>
          <cell r="T310" t="str">
            <v>normal</v>
          </cell>
          <cell r="U310" t="str">
            <v>NULL</v>
          </cell>
          <cell r="V310" t="str">
            <v>NULL</v>
          </cell>
          <cell r="W310" t="str">
            <v>NULL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  <cell r="N311" t="str">
            <v>アニマル</v>
          </cell>
          <cell r="O311" t="str">
            <v>none</v>
          </cell>
          <cell r="P311" t="str">
            <v>種族なし</v>
          </cell>
          <cell r="Q311" t="str">
            <v>ヒーラー</v>
          </cell>
          <cell r="R311">
            <v>3</v>
          </cell>
          <cell r="S311" t="str">
            <v>NULL</v>
          </cell>
          <cell r="T311" t="str">
            <v>normal</v>
          </cell>
          <cell r="U311" t="str">
            <v>NULL</v>
          </cell>
          <cell r="V311" t="str">
            <v>NULL</v>
          </cell>
          <cell r="W311" t="str">
            <v>NULL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  <cell r="N312" t="str">
            <v>アニマル</v>
          </cell>
          <cell r="O312" t="str">
            <v>none</v>
          </cell>
          <cell r="P312" t="str">
            <v>種族なし</v>
          </cell>
          <cell r="Q312" t="str">
            <v>ヒーラー</v>
          </cell>
          <cell r="R312">
            <v>3</v>
          </cell>
          <cell r="S312" t="str">
            <v>NULL</v>
          </cell>
          <cell r="T312" t="str">
            <v>normal</v>
          </cell>
          <cell r="U312" t="str">
            <v>NULL</v>
          </cell>
          <cell r="V312" t="str">
            <v>NULL</v>
          </cell>
          <cell r="W312" t="str">
            <v>NULL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  <cell r="N313" t="str">
            <v>アニマル</v>
          </cell>
          <cell r="O313" t="str">
            <v>none</v>
          </cell>
          <cell r="P313" t="str">
            <v>種族なし</v>
          </cell>
          <cell r="Q313" t="str">
            <v>バッファー</v>
          </cell>
          <cell r="R313">
            <v>3</v>
          </cell>
          <cell r="S313" t="str">
            <v>NULL</v>
          </cell>
          <cell r="T313" t="str">
            <v>normal</v>
          </cell>
          <cell r="U313" t="str">
            <v>NULL</v>
          </cell>
          <cell r="V313" t="str">
            <v>NULL</v>
          </cell>
          <cell r="W313" t="str">
            <v>NULL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  <cell r="N314" t="str">
            <v>アニマル</v>
          </cell>
          <cell r="O314" t="str">
            <v>none</v>
          </cell>
          <cell r="P314" t="str">
            <v>種族なし</v>
          </cell>
          <cell r="Q314" t="str">
            <v>バッファー</v>
          </cell>
          <cell r="R314">
            <v>3</v>
          </cell>
          <cell r="S314" t="str">
            <v>NULL</v>
          </cell>
          <cell r="T314" t="str">
            <v>normal</v>
          </cell>
          <cell r="U314" t="str">
            <v>NULL</v>
          </cell>
          <cell r="V314" t="str">
            <v>NULL</v>
          </cell>
          <cell r="W314" t="str">
            <v>NULL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  <cell r="N315" t="str">
            <v>ヒューマン</v>
          </cell>
          <cell r="O315" t="str">
            <v>none</v>
          </cell>
          <cell r="P315" t="str">
            <v>種族なし</v>
          </cell>
          <cell r="R315">
            <v>3</v>
          </cell>
          <cell r="S315" t="str">
            <v>NULL</v>
          </cell>
          <cell r="T315" t="str">
            <v>normal</v>
          </cell>
          <cell r="U315" t="str">
            <v>NULL</v>
          </cell>
          <cell r="V315" t="str">
            <v>NULL</v>
          </cell>
          <cell r="W315" t="str">
            <v>NULL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  <cell r="N316" t="str">
            <v>ヒューマン</v>
          </cell>
          <cell r="O316" t="str">
            <v>none</v>
          </cell>
          <cell r="P316" t="str">
            <v>種族なし</v>
          </cell>
          <cell r="R316">
            <v>3</v>
          </cell>
          <cell r="S316" t="str">
            <v>NULL</v>
          </cell>
          <cell r="T316" t="str">
            <v>normal</v>
          </cell>
          <cell r="U316" t="str">
            <v>NULL</v>
          </cell>
          <cell r="V316" t="str">
            <v>NULL</v>
          </cell>
          <cell r="W316" t="str">
            <v>NULL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  <cell r="N317" t="str">
            <v>ヒューマン</v>
          </cell>
          <cell r="O317" t="str">
            <v>none</v>
          </cell>
          <cell r="P317" t="str">
            <v>種族なし</v>
          </cell>
          <cell r="R317">
            <v>3</v>
          </cell>
          <cell r="S317" t="str">
            <v>NULL</v>
          </cell>
          <cell r="T317" t="str">
            <v>normal</v>
          </cell>
          <cell r="U317" t="str">
            <v>NULL</v>
          </cell>
          <cell r="V317" t="str">
            <v>NULL</v>
          </cell>
          <cell r="W317" t="str">
            <v>NULL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  <cell r="N318" t="str">
            <v>ヒューマン</v>
          </cell>
          <cell r="O318" t="str">
            <v>none</v>
          </cell>
          <cell r="P318" t="str">
            <v>種族なし</v>
          </cell>
          <cell r="R318">
            <v>3</v>
          </cell>
          <cell r="S318" t="str">
            <v>NULL</v>
          </cell>
          <cell r="T318" t="str">
            <v>normal</v>
          </cell>
          <cell r="U318" t="str">
            <v>NULL</v>
          </cell>
          <cell r="V318" t="str">
            <v>NULL</v>
          </cell>
          <cell r="W318" t="str">
            <v>NULL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  <cell r="N319" t="str">
            <v>ヒューマン</v>
          </cell>
          <cell r="O319" t="str">
            <v>none</v>
          </cell>
          <cell r="P319" t="str">
            <v>種族なし</v>
          </cell>
          <cell r="Q319" t="str">
            <v>ヒーラー</v>
          </cell>
          <cell r="R319">
            <v>3</v>
          </cell>
          <cell r="S319" t="str">
            <v>NULL</v>
          </cell>
          <cell r="T319" t="str">
            <v>normal</v>
          </cell>
          <cell r="U319" t="str">
            <v>NULL</v>
          </cell>
          <cell r="V319" t="str">
            <v>NULL</v>
          </cell>
          <cell r="W319" t="str">
            <v>NULL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  <cell r="N320" t="str">
            <v>ヒューマン</v>
          </cell>
          <cell r="O320" t="str">
            <v>none</v>
          </cell>
          <cell r="P320" t="str">
            <v>種族なし</v>
          </cell>
          <cell r="Q320" t="str">
            <v>ヒーラー</v>
          </cell>
          <cell r="R320">
            <v>3</v>
          </cell>
          <cell r="S320" t="str">
            <v>NULL</v>
          </cell>
          <cell r="T320" t="str">
            <v>normal</v>
          </cell>
          <cell r="U320" t="str">
            <v>NULL</v>
          </cell>
          <cell r="V320" t="str">
            <v>NULL</v>
          </cell>
          <cell r="W320" t="str">
            <v>NULL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  <cell r="N321" t="str">
            <v>ヒューマン</v>
          </cell>
          <cell r="O321" t="str">
            <v>none</v>
          </cell>
          <cell r="P321" t="str">
            <v>種族なし</v>
          </cell>
          <cell r="R321">
            <v>3</v>
          </cell>
          <cell r="S321" t="str">
            <v>NULL</v>
          </cell>
          <cell r="T321" t="str">
            <v>normal</v>
          </cell>
          <cell r="U321" t="str">
            <v>NULL</v>
          </cell>
          <cell r="V321" t="str">
            <v>NULL</v>
          </cell>
          <cell r="W321" t="str">
            <v>NULL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  <cell r="N322" t="str">
            <v>ヒューマン</v>
          </cell>
          <cell r="O322" t="str">
            <v>none</v>
          </cell>
          <cell r="P322" t="str">
            <v>種族なし</v>
          </cell>
          <cell r="R322">
            <v>3</v>
          </cell>
          <cell r="S322" t="str">
            <v>NULL</v>
          </cell>
          <cell r="T322" t="str">
            <v>normal</v>
          </cell>
          <cell r="U322" t="str">
            <v>NULL</v>
          </cell>
          <cell r="V322" t="str">
            <v>NULL</v>
          </cell>
          <cell r="W322" t="str">
            <v>NULL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  <cell r="N323" t="str">
            <v>ヒューマン</v>
          </cell>
          <cell r="O323" t="str">
            <v>none</v>
          </cell>
          <cell r="P323" t="str">
            <v>種族なし</v>
          </cell>
          <cell r="R323">
            <v>3</v>
          </cell>
          <cell r="S323" t="str">
            <v>NULL</v>
          </cell>
          <cell r="T323" t="str">
            <v>normal</v>
          </cell>
          <cell r="U323" t="str">
            <v>NULL</v>
          </cell>
          <cell r="V323" t="str">
            <v>NULL</v>
          </cell>
          <cell r="W323" t="str">
            <v>NULL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  <cell r="N324" t="str">
            <v>ヒューマン</v>
          </cell>
          <cell r="O324" t="str">
            <v>none</v>
          </cell>
          <cell r="P324" t="str">
            <v>種族なし</v>
          </cell>
          <cell r="R324">
            <v>3</v>
          </cell>
          <cell r="S324" t="str">
            <v>NULL</v>
          </cell>
          <cell r="T324" t="str">
            <v>normal</v>
          </cell>
          <cell r="U324" t="str">
            <v>NULL</v>
          </cell>
          <cell r="V324" t="str">
            <v>NULL</v>
          </cell>
          <cell r="W324" t="str">
            <v>NULL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  <cell r="N325" t="str">
            <v>ヒューマン</v>
          </cell>
          <cell r="O325" t="str">
            <v>none</v>
          </cell>
          <cell r="P325" t="str">
            <v>種族なし</v>
          </cell>
          <cell r="Q325" t="str">
            <v>アタッカー</v>
          </cell>
          <cell r="R325">
            <v>3</v>
          </cell>
          <cell r="S325" t="str">
            <v>NULL</v>
          </cell>
          <cell r="T325" t="str">
            <v>normal</v>
          </cell>
          <cell r="U325" t="str">
            <v>NULL</v>
          </cell>
          <cell r="V325" t="str">
            <v>NULL</v>
          </cell>
          <cell r="W325" t="str">
            <v>NULL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  <cell r="N326" t="str">
            <v>ヒューマン</v>
          </cell>
          <cell r="O326" t="str">
            <v>none</v>
          </cell>
          <cell r="P326" t="str">
            <v>種族なし</v>
          </cell>
          <cell r="Q326" t="str">
            <v>アタッカー</v>
          </cell>
          <cell r="R326">
            <v>3</v>
          </cell>
          <cell r="S326" t="str">
            <v>NULL</v>
          </cell>
          <cell r="T326" t="str">
            <v>normal</v>
          </cell>
          <cell r="U326" t="str">
            <v>NULL</v>
          </cell>
          <cell r="V326" t="str">
            <v>NULL</v>
          </cell>
          <cell r="W326" t="str">
            <v>NULL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  <cell r="N327" t="str">
            <v>ヒューマン</v>
          </cell>
          <cell r="O327" t="str">
            <v>none</v>
          </cell>
          <cell r="P327" t="str">
            <v>種族なし</v>
          </cell>
          <cell r="R327">
            <v>3</v>
          </cell>
          <cell r="S327" t="str">
            <v>NULL</v>
          </cell>
          <cell r="T327" t="str">
            <v>normal</v>
          </cell>
          <cell r="U327" t="str">
            <v>NULL</v>
          </cell>
          <cell r="V327" t="str">
            <v>NULL</v>
          </cell>
          <cell r="W327" t="str">
            <v>NULL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  <cell r="N328" t="str">
            <v>ヒューマン</v>
          </cell>
          <cell r="O328" t="str">
            <v>none</v>
          </cell>
          <cell r="P328" t="str">
            <v>種族なし</v>
          </cell>
          <cell r="R328">
            <v>3</v>
          </cell>
          <cell r="S328" t="str">
            <v>NULL</v>
          </cell>
          <cell r="T328" t="str">
            <v>normal</v>
          </cell>
          <cell r="U328" t="str">
            <v>NULL</v>
          </cell>
          <cell r="V328" t="str">
            <v>NULL</v>
          </cell>
          <cell r="W328" t="str">
            <v>NULL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  <cell r="N329" t="str">
            <v>ヒューマン</v>
          </cell>
          <cell r="O329" t="str">
            <v>none</v>
          </cell>
          <cell r="P329" t="str">
            <v>種族なし</v>
          </cell>
          <cell r="R329">
            <v>3</v>
          </cell>
          <cell r="S329" t="str">
            <v>NULL</v>
          </cell>
          <cell r="T329" t="str">
            <v>normal</v>
          </cell>
          <cell r="U329" t="str">
            <v>NULL</v>
          </cell>
          <cell r="V329" t="str">
            <v>NULL</v>
          </cell>
          <cell r="W329" t="str">
            <v>NULL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  <cell r="N330" t="str">
            <v>ヒューマン</v>
          </cell>
          <cell r="O330" t="str">
            <v>none</v>
          </cell>
          <cell r="P330" t="str">
            <v>種族なし</v>
          </cell>
          <cell r="R330">
            <v>1</v>
          </cell>
          <cell r="S330" t="str">
            <v>NULL</v>
          </cell>
          <cell r="T330" t="str">
            <v>normal</v>
          </cell>
          <cell r="U330" t="str">
            <v>NULL</v>
          </cell>
          <cell r="V330" t="str">
            <v>NULL</v>
          </cell>
          <cell r="W330" t="str">
            <v>NULL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  <cell r="N331" t="str">
            <v>マシン</v>
          </cell>
          <cell r="O331" t="str">
            <v>god</v>
          </cell>
          <cell r="P331" t="str">
            <v>ゴッド</v>
          </cell>
          <cell r="R331">
            <v>3</v>
          </cell>
          <cell r="S331" t="str">
            <v>NULL</v>
          </cell>
          <cell r="T331" t="str">
            <v>normal</v>
          </cell>
          <cell r="U331" t="str">
            <v>NULL</v>
          </cell>
          <cell r="V331" t="str">
            <v>NULL</v>
          </cell>
          <cell r="W331" t="str">
            <v>NULL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  <cell r="N332" t="str">
            <v>Unknown</v>
          </cell>
          <cell r="O332" t="str">
            <v>none</v>
          </cell>
          <cell r="P332" t="str">
            <v>種族なし</v>
          </cell>
          <cell r="R332">
            <v>3</v>
          </cell>
          <cell r="S332" t="str">
            <v>NULL</v>
          </cell>
          <cell r="T332" t="str">
            <v>normal</v>
          </cell>
          <cell r="U332" t="str">
            <v>NULL</v>
          </cell>
          <cell r="V332" t="str">
            <v>NULL</v>
          </cell>
          <cell r="W332" t="str">
            <v>NULL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  <cell r="N333" t="str">
            <v>Unknown</v>
          </cell>
          <cell r="O333" t="str">
            <v>none</v>
          </cell>
          <cell r="P333" t="str">
            <v>種族なし</v>
          </cell>
          <cell r="Q333" t="str">
            <v>強化素材</v>
          </cell>
          <cell r="R333">
            <v>3</v>
          </cell>
          <cell r="S333" t="str">
            <v>NULL</v>
          </cell>
          <cell r="T333" t="str">
            <v>normal</v>
          </cell>
          <cell r="U333" t="str">
            <v>NULL</v>
          </cell>
          <cell r="V333" t="str">
            <v>NULL</v>
          </cell>
          <cell r="W333" t="str">
            <v>NULL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  <cell r="N334" t="str">
            <v>Unknown</v>
          </cell>
          <cell r="O334" t="str">
            <v>none</v>
          </cell>
          <cell r="P334" t="str">
            <v>種族なし</v>
          </cell>
          <cell r="Q334" t="str">
            <v>強化素材</v>
          </cell>
          <cell r="R334">
            <v>3</v>
          </cell>
          <cell r="S334" t="str">
            <v>NULL</v>
          </cell>
          <cell r="T334" t="str">
            <v>normal</v>
          </cell>
          <cell r="U334" t="str">
            <v>NULL</v>
          </cell>
          <cell r="V334" t="str">
            <v>NULL</v>
          </cell>
          <cell r="W334" t="str">
            <v>NULL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  <cell r="N335" t="str">
            <v>Unknown</v>
          </cell>
          <cell r="O335" t="str">
            <v>none</v>
          </cell>
          <cell r="P335" t="str">
            <v>種族なし</v>
          </cell>
          <cell r="Q335" t="str">
            <v>強化素材</v>
          </cell>
          <cell r="R335">
            <v>3</v>
          </cell>
          <cell r="S335" t="str">
            <v>NULL</v>
          </cell>
          <cell r="T335" t="str">
            <v>normal</v>
          </cell>
          <cell r="U335" t="str">
            <v>NULL</v>
          </cell>
          <cell r="V335" t="str">
            <v>NULL</v>
          </cell>
          <cell r="W335" t="str">
            <v>NULL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  <cell r="N336" t="str">
            <v>Unknown</v>
          </cell>
          <cell r="O336" t="str">
            <v>none</v>
          </cell>
          <cell r="P336" t="str">
            <v>種族なし</v>
          </cell>
          <cell r="Q336" t="str">
            <v>強化素材</v>
          </cell>
          <cell r="R336">
            <v>3</v>
          </cell>
          <cell r="S336" t="str">
            <v>NULL</v>
          </cell>
          <cell r="T336" t="str">
            <v>normal</v>
          </cell>
          <cell r="U336" t="str">
            <v>NULL</v>
          </cell>
          <cell r="V336" t="str">
            <v>NULL</v>
          </cell>
          <cell r="W336" t="str">
            <v>NULL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  <cell r="N337" t="str">
            <v>Unknown</v>
          </cell>
          <cell r="O337" t="str">
            <v>none</v>
          </cell>
          <cell r="P337" t="str">
            <v>種族なし</v>
          </cell>
          <cell r="Q337" t="str">
            <v>強化素材</v>
          </cell>
          <cell r="R337">
            <v>3</v>
          </cell>
          <cell r="S337" t="str">
            <v>NULL</v>
          </cell>
          <cell r="T337" t="str">
            <v>normal</v>
          </cell>
          <cell r="U337" t="str">
            <v>NULL</v>
          </cell>
          <cell r="V337" t="str">
            <v>NULL</v>
          </cell>
          <cell r="W337" t="str">
            <v>NULL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  <cell r="N338" t="str">
            <v>Unknown</v>
          </cell>
          <cell r="O338" t="str">
            <v>none</v>
          </cell>
          <cell r="P338" t="str">
            <v>種族なし</v>
          </cell>
          <cell r="Q338" t="str">
            <v>強化素材</v>
          </cell>
          <cell r="R338">
            <v>3</v>
          </cell>
          <cell r="S338" t="str">
            <v>NULL</v>
          </cell>
          <cell r="T338" t="str">
            <v>normal</v>
          </cell>
          <cell r="U338" t="str">
            <v>NULL</v>
          </cell>
          <cell r="V338" t="str">
            <v>NULL</v>
          </cell>
          <cell r="W338" t="str">
            <v>NULL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  <cell r="N339" t="str">
            <v>Unknown</v>
          </cell>
          <cell r="O339" t="str">
            <v>none</v>
          </cell>
          <cell r="P339" t="str">
            <v>種族なし</v>
          </cell>
          <cell r="Q339" t="str">
            <v>強化素材</v>
          </cell>
          <cell r="R339">
            <v>3</v>
          </cell>
          <cell r="S339" t="str">
            <v>NULL</v>
          </cell>
          <cell r="T339" t="str">
            <v>normal</v>
          </cell>
          <cell r="U339" t="str">
            <v>NULL</v>
          </cell>
          <cell r="V339" t="str">
            <v>NULL</v>
          </cell>
          <cell r="W339" t="str">
            <v>NULL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  <cell r="N340" t="str">
            <v>Unknown</v>
          </cell>
          <cell r="O340" t="str">
            <v>none</v>
          </cell>
          <cell r="P340" t="str">
            <v>種族なし</v>
          </cell>
          <cell r="Q340" t="str">
            <v>強化素材</v>
          </cell>
          <cell r="R340">
            <v>3</v>
          </cell>
          <cell r="S340" t="str">
            <v>NULL</v>
          </cell>
          <cell r="T340" t="str">
            <v>normal</v>
          </cell>
          <cell r="U340" t="str">
            <v>NULL</v>
          </cell>
          <cell r="V340" t="str">
            <v>NULL</v>
          </cell>
          <cell r="W340" t="str">
            <v>NULL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  <cell r="N341" t="str">
            <v>Unknown</v>
          </cell>
          <cell r="O341" t="str">
            <v>none</v>
          </cell>
          <cell r="P341" t="str">
            <v>種族なし</v>
          </cell>
          <cell r="Q341" t="str">
            <v>強化素材</v>
          </cell>
          <cell r="R341">
            <v>3</v>
          </cell>
          <cell r="S341" t="str">
            <v>NULL</v>
          </cell>
          <cell r="T341" t="str">
            <v>normal</v>
          </cell>
          <cell r="U341" t="str">
            <v>NULL</v>
          </cell>
          <cell r="V341" t="str">
            <v>NULL</v>
          </cell>
          <cell r="W341" t="str">
            <v>NULL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  <cell r="N342" t="str">
            <v>Unknown</v>
          </cell>
          <cell r="O342" t="str">
            <v>none</v>
          </cell>
          <cell r="P342" t="str">
            <v>種族なし</v>
          </cell>
          <cell r="Q342" t="str">
            <v>強化素材</v>
          </cell>
          <cell r="R342">
            <v>3</v>
          </cell>
          <cell r="S342" t="str">
            <v>NULL</v>
          </cell>
          <cell r="T342" t="str">
            <v>normal</v>
          </cell>
          <cell r="U342" t="str">
            <v>NULL</v>
          </cell>
          <cell r="V342" t="str">
            <v>NULL</v>
          </cell>
          <cell r="W342" t="str">
            <v>NULL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  <cell r="N343" t="str">
            <v>Unknown</v>
          </cell>
          <cell r="O343" t="str">
            <v>none</v>
          </cell>
          <cell r="P343" t="str">
            <v>種族なし</v>
          </cell>
          <cell r="Q343" t="str">
            <v>強化素材</v>
          </cell>
          <cell r="R343">
            <v>3</v>
          </cell>
          <cell r="S343" t="str">
            <v>NULL</v>
          </cell>
          <cell r="T343" t="str">
            <v>normal</v>
          </cell>
          <cell r="U343" t="str">
            <v>NULL</v>
          </cell>
          <cell r="V343" t="str">
            <v>NULL</v>
          </cell>
          <cell r="W343" t="str">
            <v>NULL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  <cell r="N344" t="str">
            <v>Unknown</v>
          </cell>
          <cell r="O344" t="str">
            <v>none</v>
          </cell>
          <cell r="P344" t="str">
            <v>種族なし</v>
          </cell>
          <cell r="Q344" t="str">
            <v>強化素材</v>
          </cell>
          <cell r="R344">
            <v>3</v>
          </cell>
          <cell r="S344" t="str">
            <v>NULL</v>
          </cell>
          <cell r="T344" t="str">
            <v>normal</v>
          </cell>
          <cell r="U344" t="str">
            <v>NULL</v>
          </cell>
          <cell r="V344" t="str">
            <v>NULL</v>
          </cell>
          <cell r="W344" t="str">
            <v>NULL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  <cell r="N345" t="str">
            <v>Unknown</v>
          </cell>
          <cell r="O345" t="str">
            <v>none</v>
          </cell>
          <cell r="P345" t="str">
            <v>種族なし</v>
          </cell>
          <cell r="Q345" t="str">
            <v>強化素材</v>
          </cell>
          <cell r="R345">
            <v>3</v>
          </cell>
          <cell r="S345" t="str">
            <v>NULL</v>
          </cell>
          <cell r="T345" t="str">
            <v>normal</v>
          </cell>
          <cell r="U345" t="str">
            <v>NULL</v>
          </cell>
          <cell r="V345" t="str">
            <v>NULL</v>
          </cell>
          <cell r="W345" t="str">
            <v>NULL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  <cell r="N346" t="str">
            <v>Unknown</v>
          </cell>
          <cell r="O346" t="str">
            <v>none</v>
          </cell>
          <cell r="P346" t="str">
            <v>種族なし</v>
          </cell>
          <cell r="Q346" t="str">
            <v>強化素材</v>
          </cell>
          <cell r="R346">
            <v>3</v>
          </cell>
          <cell r="S346" t="str">
            <v>NULL</v>
          </cell>
          <cell r="T346" t="str">
            <v>normal</v>
          </cell>
          <cell r="U346" t="str">
            <v>NULL</v>
          </cell>
          <cell r="V346" t="str">
            <v>NULL</v>
          </cell>
          <cell r="W346" t="str">
            <v>NULL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  <cell r="N347" t="str">
            <v>Unknown</v>
          </cell>
          <cell r="O347" t="str">
            <v>none</v>
          </cell>
          <cell r="P347" t="str">
            <v>種族なし</v>
          </cell>
          <cell r="Q347" t="str">
            <v>強化素材</v>
          </cell>
          <cell r="R347">
            <v>3</v>
          </cell>
          <cell r="S347" t="str">
            <v>NULL</v>
          </cell>
          <cell r="T347" t="str">
            <v>normal</v>
          </cell>
          <cell r="U347" t="str">
            <v>NULL</v>
          </cell>
          <cell r="V347" t="str">
            <v>NULL</v>
          </cell>
          <cell r="W347" t="str">
            <v>NULL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  <cell r="N348" t="str">
            <v>Unknown</v>
          </cell>
          <cell r="O348" t="str">
            <v>none</v>
          </cell>
          <cell r="P348" t="str">
            <v>種族なし</v>
          </cell>
          <cell r="Q348" t="str">
            <v>強化素材</v>
          </cell>
          <cell r="R348">
            <v>3</v>
          </cell>
          <cell r="S348" t="str">
            <v>NULL</v>
          </cell>
          <cell r="T348" t="str">
            <v>normal</v>
          </cell>
          <cell r="U348" t="str">
            <v>NULL</v>
          </cell>
          <cell r="V348" t="str">
            <v>NULL</v>
          </cell>
          <cell r="W348" t="str">
            <v>NULL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  <cell r="N349" t="str">
            <v>Unknown</v>
          </cell>
          <cell r="O349" t="str">
            <v>none</v>
          </cell>
          <cell r="P349" t="str">
            <v>種族なし</v>
          </cell>
          <cell r="Q349" t="str">
            <v>強化素材</v>
          </cell>
          <cell r="R349">
            <v>3</v>
          </cell>
          <cell r="S349" t="str">
            <v>NULL</v>
          </cell>
          <cell r="T349" t="str">
            <v>normal</v>
          </cell>
          <cell r="U349" t="str">
            <v>NULL</v>
          </cell>
          <cell r="V349" t="str">
            <v>NULL</v>
          </cell>
          <cell r="W349" t="str">
            <v>NULL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  <cell r="N350" t="str">
            <v>Unknown</v>
          </cell>
          <cell r="O350" t="str">
            <v>none</v>
          </cell>
          <cell r="P350" t="str">
            <v>種族なし</v>
          </cell>
          <cell r="Q350" t="str">
            <v>強化素材</v>
          </cell>
          <cell r="R350">
            <v>3</v>
          </cell>
          <cell r="S350" t="str">
            <v>NULL</v>
          </cell>
          <cell r="T350" t="str">
            <v>normal</v>
          </cell>
          <cell r="U350" t="str">
            <v>NULL</v>
          </cell>
          <cell r="V350" t="str">
            <v>NULL</v>
          </cell>
          <cell r="W350" t="str">
            <v>NULL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  <cell r="N351" t="str">
            <v>Unknown</v>
          </cell>
          <cell r="O351" t="str">
            <v>none</v>
          </cell>
          <cell r="P351" t="str">
            <v>種族なし</v>
          </cell>
          <cell r="Q351" t="str">
            <v>強化素材</v>
          </cell>
          <cell r="R351">
            <v>3</v>
          </cell>
          <cell r="S351" t="str">
            <v>NULL</v>
          </cell>
          <cell r="T351" t="str">
            <v>normal</v>
          </cell>
          <cell r="U351" t="str">
            <v>NULL</v>
          </cell>
          <cell r="V351" t="str">
            <v>NULL</v>
          </cell>
          <cell r="W351" t="str">
            <v>NULL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  <cell r="N352" t="str">
            <v>Unknown</v>
          </cell>
          <cell r="O352" t="str">
            <v>none</v>
          </cell>
          <cell r="P352" t="str">
            <v>種族なし</v>
          </cell>
          <cell r="Q352" t="str">
            <v>強化素材</v>
          </cell>
          <cell r="R352">
            <v>3</v>
          </cell>
          <cell r="S352" t="str">
            <v>NULL</v>
          </cell>
          <cell r="T352" t="str">
            <v>normal</v>
          </cell>
          <cell r="U352" t="str">
            <v>NULL</v>
          </cell>
          <cell r="V352" t="str">
            <v>NULL</v>
          </cell>
          <cell r="W352" t="str">
            <v>NULL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  <cell r="N353" t="str">
            <v>Unknown</v>
          </cell>
          <cell r="O353" t="str">
            <v>none</v>
          </cell>
          <cell r="P353" t="str">
            <v>種族なし</v>
          </cell>
          <cell r="Q353" t="str">
            <v>強化素材</v>
          </cell>
          <cell r="R353">
            <v>3</v>
          </cell>
          <cell r="S353" t="str">
            <v>NULL</v>
          </cell>
          <cell r="T353" t="str">
            <v>normal</v>
          </cell>
          <cell r="U353" t="str">
            <v>NULL</v>
          </cell>
          <cell r="V353" t="str">
            <v>NULL</v>
          </cell>
          <cell r="W353" t="str">
            <v>NULL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  <cell r="N354" t="str">
            <v>Unknown</v>
          </cell>
          <cell r="O354" t="str">
            <v>none</v>
          </cell>
          <cell r="P354" t="str">
            <v>種族なし</v>
          </cell>
          <cell r="Q354" t="str">
            <v>強化素材</v>
          </cell>
          <cell r="R354">
            <v>3</v>
          </cell>
          <cell r="S354" t="str">
            <v>NULL</v>
          </cell>
          <cell r="T354" t="str">
            <v>normal</v>
          </cell>
          <cell r="U354" t="str">
            <v>NULL</v>
          </cell>
          <cell r="V354" t="str">
            <v>NULL</v>
          </cell>
          <cell r="W354" t="str">
            <v>NULL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  <cell r="N355" t="str">
            <v>Unknown</v>
          </cell>
          <cell r="O355" t="str">
            <v>none</v>
          </cell>
          <cell r="P355" t="str">
            <v>種族なし</v>
          </cell>
          <cell r="Q355" t="str">
            <v>強化素材</v>
          </cell>
          <cell r="R355">
            <v>3</v>
          </cell>
          <cell r="S355" t="str">
            <v>NULL</v>
          </cell>
          <cell r="T355" t="str">
            <v>normal</v>
          </cell>
          <cell r="U355" t="str">
            <v>NULL</v>
          </cell>
          <cell r="V355" t="str">
            <v>NULL</v>
          </cell>
          <cell r="W355" t="str">
            <v>NULL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  <cell r="N356" t="str">
            <v>Unknown</v>
          </cell>
          <cell r="O356" t="str">
            <v>none</v>
          </cell>
          <cell r="P356" t="str">
            <v>種族なし</v>
          </cell>
          <cell r="Q356" t="str">
            <v>強化素材</v>
          </cell>
          <cell r="R356">
            <v>3</v>
          </cell>
          <cell r="S356" t="str">
            <v>NULL</v>
          </cell>
          <cell r="T356" t="str">
            <v>normal</v>
          </cell>
          <cell r="U356" t="str">
            <v>NULL</v>
          </cell>
          <cell r="V356" t="str">
            <v>NULL</v>
          </cell>
          <cell r="W356" t="str">
            <v>NULL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  <cell r="N357" t="str">
            <v>Unknown</v>
          </cell>
          <cell r="O357" t="str">
            <v>none</v>
          </cell>
          <cell r="P357" t="str">
            <v>種族なし</v>
          </cell>
          <cell r="Q357" t="str">
            <v>進化素材</v>
          </cell>
          <cell r="R357">
            <v>3</v>
          </cell>
          <cell r="S357" t="str">
            <v>NULL</v>
          </cell>
          <cell r="T357" t="str">
            <v>normal</v>
          </cell>
          <cell r="U357" t="str">
            <v>NULL</v>
          </cell>
          <cell r="V357" t="str">
            <v>NULL</v>
          </cell>
          <cell r="W357" t="str">
            <v>NULL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  <cell r="N358" t="str">
            <v>Unknown</v>
          </cell>
          <cell r="O358" t="str">
            <v>none</v>
          </cell>
          <cell r="P358" t="str">
            <v>種族なし</v>
          </cell>
          <cell r="Q358" t="str">
            <v>進化素材</v>
          </cell>
          <cell r="R358">
            <v>3</v>
          </cell>
          <cell r="S358" t="str">
            <v>NULL</v>
          </cell>
          <cell r="T358" t="str">
            <v>normal</v>
          </cell>
          <cell r="U358" t="str">
            <v>NULL</v>
          </cell>
          <cell r="V358" t="str">
            <v>NULL</v>
          </cell>
          <cell r="W358" t="str">
            <v>NULL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  <cell r="N359" t="str">
            <v>Unknown</v>
          </cell>
          <cell r="O359" t="str">
            <v>none</v>
          </cell>
          <cell r="P359" t="str">
            <v>種族なし</v>
          </cell>
          <cell r="Q359" t="str">
            <v>進化素材</v>
          </cell>
          <cell r="R359">
            <v>3</v>
          </cell>
          <cell r="S359" t="str">
            <v>NULL</v>
          </cell>
          <cell r="T359" t="str">
            <v>normal</v>
          </cell>
          <cell r="U359" t="str">
            <v>NULL</v>
          </cell>
          <cell r="V359" t="str">
            <v>NULL</v>
          </cell>
          <cell r="W359" t="str">
            <v>NULL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  <cell r="N360" t="str">
            <v>Unknown</v>
          </cell>
          <cell r="O360" t="str">
            <v>none</v>
          </cell>
          <cell r="P360" t="str">
            <v>種族なし</v>
          </cell>
          <cell r="Q360" t="str">
            <v>進化素材</v>
          </cell>
          <cell r="R360">
            <v>3</v>
          </cell>
          <cell r="S360" t="str">
            <v>NULL</v>
          </cell>
          <cell r="T360" t="str">
            <v>normal</v>
          </cell>
          <cell r="U360" t="str">
            <v>NULL</v>
          </cell>
          <cell r="V360" t="str">
            <v>NULL</v>
          </cell>
          <cell r="W360" t="str">
            <v>NULL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  <cell r="N361" t="str">
            <v>アニマル</v>
          </cell>
          <cell r="O361" t="str">
            <v>none</v>
          </cell>
          <cell r="P361" t="str">
            <v>種族なし</v>
          </cell>
          <cell r="R361">
            <v>3</v>
          </cell>
          <cell r="S361" t="str">
            <v>NULL</v>
          </cell>
          <cell r="T361" t="str">
            <v>normal</v>
          </cell>
          <cell r="U361" t="str">
            <v>NULL</v>
          </cell>
          <cell r="V361" t="str">
            <v>NULL</v>
          </cell>
          <cell r="W361" t="str">
            <v>NULL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  <cell r="N362" t="str">
            <v>アニマル</v>
          </cell>
          <cell r="O362" t="str">
            <v>none</v>
          </cell>
          <cell r="P362" t="str">
            <v>種族なし</v>
          </cell>
          <cell r="R362">
            <v>3</v>
          </cell>
          <cell r="S362" t="str">
            <v>NULL</v>
          </cell>
          <cell r="T362" t="str">
            <v>normal</v>
          </cell>
          <cell r="U362" t="str">
            <v>NULL</v>
          </cell>
          <cell r="V362" t="str">
            <v>NULL</v>
          </cell>
          <cell r="W362" t="str">
            <v>NULL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  <cell r="N363" t="str">
            <v>アニマル</v>
          </cell>
          <cell r="O363" t="str">
            <v>human</v>
          </cell>
          <cell r="P363" t="str">
            <v>ヒューマン</v>
          </cell>
          <cell r="R363">
            <v>3</v>
          </cell>
          <cell r="S363" t="str">
            <v>NULL</v>
          </cell>
          <cell r="T363" t="str">
            <v>normal</v>
          </cell>
          <cell r="U363" t="str">
            <v>NULL</v>
          </cell>
          <cell r="V363" t="str">
            <v>NULL</v>
          </cell>
          <cell r="W363" t="str">
            <v>NULL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  <cell r="N364" t="str">
            <v>アニマル</v>
          </cell>
          <cell r="O364" t="str">
            <v>human</v>
          </cell>
          <cell r="P364" t="str">
            <v>ヒューマン</v>
          </cell>
          <cell r="R364">
            <v>3</v>
          </cell>
          <cell r="S364" t="str">
            <v>NULL</v>
          </cell>
          <cell r="T364" t="str">
            <v>normal</v>
          </cell>
          <cell r="U364" t="str">
            <v>NULL</v>
          </cell>
          <cell r="V364" t="str">
            <v>NULL</v>
          </cell>
          <cell r="W364" t="str">
            <v>NULL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  <cell r="N365" t="str">
            <v>アニマル</v>
          </cell>
          <cell r="O365" t="str">
            <v>none</v>
          </cell>
          <cell r="P365" t="str">
            <v>種族なし</v>
          </cell>
          <cell r="R365">
            <v>3</v>
          </cell>
          <cell r="S365" t="str">
            <v>NULL</v>
          </cell>
          <cell r="T365" t="str">
            <v>normal</v>
          </cell>
          <cell r="U365" t="str">
            <v>NULL</v>
          </cell>
          <cell r="V365" t="str">
            <v>NULL</v>
          </cell>
          <cell r="W365" t="str">
            <v>NULL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  <cell r="N366" t="str">
            <v>アニマル</v>
          </cell>
          <cell r="O366" t="str">
            <v>none</v>
          </cell>
          <cell r="P366" t="str">
            <v>種族なし</v>
          </cell>
          <cell r="R366">
            <v>3</v>
          </cell>
          <cell r="S366" t="str">
            <v>NULL</v>
          </cell>
          <cell r="T366" t="str">
            <v>normal</v>
          </cell>
          <cell r="U366" t="str">
            <v>NULL</v>
          </cell>
          <cell r="V366" t="str">
            <v>NULL</v>
          </cell>
          <cell r="W366" t="str">
            <v>NULL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  <cell r="N367" t="str">
            <v>アニマル</v>
          </cell>
          <cell r="O367" t="str">
            <v>none</v>
          </cell>
          <cell r="P367" t="str">
            <v>種族なし</v>
          </cell>
          <cell r="R367">
            <v>3</v>
          </cell>
          <cell r="S367" t="str">
            <v>NULL</v>
          </cell>
          <cell r="T367" t="str">
            <v>normal</v>
          </cell>
          <cell r="U367" t="str">
            <v>NULL</v>
          </cell>
          <cell r="V367" t="str">
            <v>NULL</v>
          </cell>
          <cell r="W367" t="str">
            <v>NULL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  <cell r="N368" t="str">
            <v>アニマル</v>
          </cell>
          <cell r="O368" t="str">
            <v>none</v>
          </cell>
          <cell r="P368" t="str">
            <v>種族なし</v>
          </cell>
          <cell r="R368">
            <v>3</v>
          </cell>
          <cell r="S368" t="str">
            <v>NULL</v>
          </cell>
          <cell r="T368" t="str">
            <v>normal</v>
          </cell>
          <cell r="U368" t="str">
            <v>NULL</v>
          </cell>
          <cell r="V368" t="str">
            <v>NULL</v>
          </cell>
          <cell r="W368" t="str">
            <v>NULL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  <cell r="N369" t="str">
            <v>ヒューマン</v>
          </cell>
          <cell r="O369" t="str">
            <v>machine</v>
          </cell>
          <cell r="P369" t="str">
            <v>マシン</v>
          </cell>
          <cell r="R369">
            <v>3</v>
          </cell>
          <cell r="S369" t="str">
            <v>NULL</v>
          </cell>
          <cell r="T369" t="str">
            <v>normal</v>
          </cell>
          <cell r="U369" t="str">
            <v>NULL</v>
          </cell>
          <cell r="V369" t="str">
            <v>NULL</v>
          </cell>
          <cell r="W369" t="str">
            <v>NULL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  <cell r="N370" t="str">
            <v>ヒューマン</v>
          </cell>
          <cell r="O370" t="str">
            <v>machine</v>
          </cell>
          <cell r="P370" t="str">
            <v>マシン</v>
          </cell>
          <cell r="R370">
            <v>3</v>
          </cell>
          <cell r="S370" t="str">
            <v>NULL</v>
          </cell>
          <cell r="T370" t="str">
            <v>normal</v>
          </cell>
          <cell r="U370" t="str">
            <v>NULL</v>
          </cell>
          <cell r="V370" t="str">
            <v>NULL</v>
          </cell>
          <cell r="W370" t="str">
            <v>NULL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  <cell r="N371" t="str">
            <v>Unknown</v>
          </cell>
          <cell r="O371" t="str">
            <v>none</v>
          </cell>
          <cell r="P371" t="str">
            <v>種族なし</v>
          </cell>
          <cell r="R371">
            <v>3</v>
          </cell>
          <cell r="S371" t="str">
            <v>NULL</v>
          </cell>
          <cell r="T371" t="str">
            <v>normal</v>
          </cell>
          <cell r="U371" t="str">
            <v>NULL</v>
          </cell>
          <cell r="V371" t="str">
            <v>NULL</v>
          </cell>
          <cell r="W371" t="str">
            <v>NULL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  <cell r="N372" t="str">
            <v>Unknown</v>
          </cell>
          <cell r="O372" t="str">
            <v>none</v>
          </cell>
          <cell r="P372" t="str">
            <v>種族なし</v>
          </cell>
          <cell r="R372">
            <v>3</v>
          </cell>
          <cell r="S372" t="str">
            <v>NULL</v>
          </cell>
          <cell r="T372" t="str">
            <v>normal</v>
          </cell>
          <cell r="U372" t="str">
            <v>NULL</v>
          </cell>
          <cell r="V372" t="str">
            <v>NULL</v>
          </cell>
          <cell r="W372" t="str">
            <v>NULL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  <cell r="N373" t="str">
            <v>Unknown</v>
          </cell>
          <cell r="O373" t="str">
            <v>none</v>
          </cell>
          <cell r="P373" t="str">
            <v>種族なし</v>
          </cell>
          <cell r="R373">
            <v>3</v>
          </cell>
          <cell r="S373" t="str">
            <v>NULL</v>
          </cell>
          <cell r="T373" t="str">
            <v>normal</v>
          </cell>
          <cell r="U373" t="str">
            <v>NULL</v>
          </cell>
          <cell r="V373" t="str">
            <v>NULL</v>
          </cell>
          <cell r="W373" t="str">
            <v>NULL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  <cell r="N374" t="str">
            <v>Unknown</v>
          </cell>
          <cell r="O374" t="str">
            <v>none</v>
          </cell>
          <cell r="P374" t="str">
            <v>種族なし</v>
          </cell>
          <cell r="R374">
            <v>3</v>
          </cell>
          <cell r="S374" t="str">
            <v>NULL</v>
          </cell>
          <cell r="T374" t="str">
            <v>normal</v>
          </cell>
          <cell r="U374" t="str">
            <v>NULL</v>
          </cell>
          <cell r="V374" t="str">
            <v>NULL</v>
          </cell>
          <cell r="W374" t="str">
            <v>NULL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  <cell r="N375" t="str">
            <v>アニマル</v>
          </cell>
          <cell r="O375" t="str">
            <v>none</v>
          </cell>
          <cell r="P375" t="str">
            <v>種族なし</v>
          </cell>
          <cell r="R375">
            <v>3</v>
          </cell>
          <cell r="S375" t="str">
            <v>NULL</v>
          </cell>
          <cell r="T375" t="str">
            <v>normal</v>
          </cell>
          <cell r="U375" t="str">
            <v>NULL</v>
          </cell>
          <cell r="V375" t="str">
            <v>NULL</v>
          </cell>
          <cell r="W375" t="str">
            <v>NULL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  <cell r="N376" t="str">
            <v>アニマル</v>
          </cell>
          <cell r="O376" t="str">
            <v>none</v>
          </cell>
          <cell r="P376" t="str">
            <v>種族なし</v>
          </cell>
          <cell r="R376">
            <v>3</v>
          </cell>
          <cell r="S376" t="str">
            <v>NULL</v>
          </cell>
          <cell r="T376" t="str">
            <v>normal</v>
          </cell>
          <cell r="U376" t="str">
            <v>NULL</v>
          </cell>
          <cell r="V376" t="str">
            <v>NULL</v>
          </cell>
          <cell r="W376" t="str">
            <v>NULL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  <cell r="N377" t="str">
            <v>アニマル</v>
          </cell>
          <cell r="O377" t="str">
            <v>none</v>
          </cell>
          <cell r="P377" t="str">
            <v>種族なし</v>
          </cell>
          <cell r="R377">
            <v>3</v>
          </cell>
          <cell r="S377" t="str">
            <v>NULL</v>
          </cell>
          <cell r="T377" t="str">
            <v>normal</v>
          </cell>
          <cell r="U377" t="str">
            <v>NULL</v>
          </cell>
          <cell r="V377" t="str">
            <v>NULL</v>
          </cell>
          <cell r="W377" t="str">
            <v>NULL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  <cell r="N378" t="str">
            <v>アニマル</v>
          </cell>
          <cell r="O378" t="str">
            <v>none</v>
          </cell>
          <cell r="P378" t="str">
            <v>種族なし</v>
          </cell>
          <cell r="R378">
            <v>3</v>
          </cell>
          <cell r="S378" t="str">
            <v>NULL</v>
          </cell>
          <cell r="T378" t="str">
            <v>normal</v>
          </cell>
          <cell r="U378" t="str">
            <v>NULL</v>
          </cell>
          <cell r="V378" t="str">
            <v>NULL</v>
          </cell>
          <cell r="W378" t="str">
            <v>NULL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  <cell r="N379" t="str">
            <v>ヒューマン</v>
          </cell>
          <cell r="O379" t="str">
            <v>none</v>
          </cell>
          <cell r="P379" t="str">
            <v>種族なし</v>
          </cell>
          <cell r="R379">
            <v>3</v>
          </cell>
          <cell r="S379" t="str">
            <v>NULL</v>
          </cell>
          <cell r="T379" t="str">
            <v>normal</v>
          </cell>
          <cell r="U379" t="str">
            <v>NULL</v>
          </cell>
          <cell r="V379" t="str">
            <v>NULL</v>
          </cell>
          <cell r="W379" t="str">
            <v>NULL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  <cell r="N380" t="str">
            <v>ヒューマン</v>
          </cell>
          <cell r="O380" t="str">
            <v>none</v>
          </cell>
          <cell r="P380" t="str">
            <v>種族なし</v>
          </cell>
          <cell r="R380">
            <v>3</v>
          </cell>
          <cell r="S380" t="str">
            <v>NULL</v>
          </cell>
          <cell r="T380" t="str">
            <v>normal</v>
          </cell>
          <cell r="U380" t="str">
            <v>NULL</v>
          </cell>
          <cell r="V380" t="str">
            <v>NULL</v>
          </cell>
          <cell r="W380" t="str">
            <v>NULL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  <cell r="N381" t="str">
            <v>ドラゴン</v>
          </cell>
          <cell r="O381" t="str">
            <v>none</v>
          </cell>
          <cell r="P381" t="str">
            <v>種族なし</v>
          </cell>
          <cell r="R381">
            <v>3</v>
          </cell>
          <cell r="S381" t="str">
            <v>NULL</v>
          </cell>
          <cell r="T381" t="str">
            <v>normal</v>
          </cell>
          <cell r="U381" t="str">
            <v>NULL</v>
          </cell>
          <cell r="V381" t="str">
            <v>NULL</v>
          </cell>
          <cell r="W381" t="str">
            <v>NULL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  <cell r="N382" t="str">
            <v>ドラゴン</v>
          </cell>
          <cell r="O382" t="str">
            <v>none</v>
          </cell>
          <cell r="P382" t="str">
            <v>種族なし</v>
          </cell>
          <cell r="R382">
            <v>3</v>
          </cell>
          <cell r="S382" t="str">
            <v>NULL</v>
          </cell>
          <cell r="T382" t="str">
            <v>normal</v>
          </cell>
          <cell r="U382" t="str">
            <v>NULL</v>
          </cell>
          <cell r="V382" t="str">
            <v>NULL</v>
          </cell>
          <cell r="W382" t="str">
            <v>NULL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  <cell r="N383" t="str">
            <v>ドラゴン</v>
          </cell>
          <cell r="O383" t="str">
            <v>none</v>
          </cell>
          <cell r="P383" t="str">
            <v>種族なし</v>
          </cell>
          <cell r="R383">
            <v>3</v>
          </cell>
          <cell r="S383" t="str">
            <v>NULL</v>
          </cell>
          <cell r="T383" t="str">
            <v>normal</v>
          </cell>
          <cell r="U383" t="str">
            <v>NULL</v>
          </cell>
          <cell r="V383" t="str">
            <v>NULL</v>
          </cell>
          <cell r="W383" t="str">
            <v>NULL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  <cell r="N384" t="str">
            <v>ドラゴン</v>
          </cell>
          <cell r="O384" t="str">
            <v>none</v>
          </cell>
          <cell r="P384" t="str">
            <v>種族なし</v>
          </cell>
          <cell r="R384">
            <v>3</v>
          </cell>
          <cell r="S384" t="str">
            <v>NULL</v>
          </cell>
          <cell r="T384" t="str">
            <v>normal</v>
          </cell>
          <cell r="U384" t="str">
            <v>NULL</v>
          </cell>
          <cell r="V384" t="str">
            <v>NULL</v>
          </cell>
          <cell r="W384" t="str">
            <v>NULL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  <cell r="N385" t="str">
            <v>ドラゴン</v>
          </cell>
          <cell r="O385" t="str">
            <v>none</v>
          </cell>
          <cell r="P385" t="str">
            <v>種族なし</v>
          </cell>
          <cell r="R385">
            <v>3</v>
          </cell>
          <cell r="S385" t="str">
            <v>NULL</v>
          </cell>
          <cell r="T385" t="str">
            <v>normal</v>
          </cell>
          <cell r="U385" t="str">
            <v>NULL</v>
          </cell>
          <cell r="V385" t="str">
            <v>NULL</v>
          </cell>
          <cell r="W385" t="str">
            <v>NULL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  <cell r="N386" t="str">
            <v>ドラゴン</v>
          </cell>
          <cell r="O386" t="str">
            <v>none</v>
          </cell>
          <cell r="P386" t="str">
            <v>種族なし</v>
          </cell>
          <cell r="R386">
            <v>3</v>
          </cell>
          <cell r="S386" t="str">
            <v>NULL</v>
          </cell>
          <cell r="T386" t="str">
            <v>normal</v>
          </cell>
          <cell r="U386" t="str">
            <v>NULL</v>
          </cell>
          <cell r="V386" t="str">
            <v>NULL</v>
          </cell>
          <cell r="W386" t="str">
            <v>NULL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  <cell r="N387" t="str">
            <v>ドラゴン</v>
          </cell>
          <cell r="O387" t="str">
            <v>none</v>
          </cell>
          <cell r="P387" t="str">
            <v>種族なし</v>
          </cell>
          <cell r="R387">
            <v>3</v>
          </cell>
          <cell r="S387" t="str">
            <v>NULL</v>
          </cell>
          <cell r="T387" t="str">
            <v>normal</v>
          </cell>
          <cell r="U387" t="str">
            <v>NULL</v>
          </cell>
          <cell r="V387" t="str">
            <v>NULL</v>
          </cell>
          <cell r="W387" t="str">
            <v>NULL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  <cell r="N388" t="str">
            <v>アニマル</v>
          </cell>
          <cell r="O388" t="str">
            <v>none</v>
          </cell>
          <cell r="P388" t="str">
            <v>種族なし</v>
          </cell>
          <cell r="R388">
            <v>3</v>
          </cell>
          <cell r="S388" t="str">
            <v>NULL</v>
          </cell>
          <cell r="T388" t="str">
            <v>normal</v>
          </cell>
          <cell r="U388" t="str">
            <v>NULL</v>
          </cell>
          <cell r="V388" t="str">
            <v>NULL</v>
          </cell>
          <cell r="W388" t="str">
            <v>NULL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  <cell r="N389" t="str">
            <v>アニマル</v>
          </cell>
          <cell r="O389" t="str">
            <v>none</v>
          </cell>
          <cell r="P389" t="str">
            <v>種族なし</v>
          </cell>
          <cell r="Q389" t="str">
            <v>アタッカー</v>
          </cell>
          <cell r="R389">
            <v>3</v>
          </cell>
          <cell r="S389" t="str">
            <v>NULL</v>
          </cell>
          <cell r="T389" t="str">
            <v>normal</v>
          </cell>
          <cell r="U389" t="str">
            <v>NULL</v>
          </cell>
          <cell r="V389" t="str">
            <v>NULL</v>
          </cell>
          <cell r="W389" t="str">
            <v>NULL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  <cell r="N390" t="str">
            <v>アニマル</v>
          </cell>
          <cell r="O390" t="str">
            <v>none</v>
          </cell>
          <cell r="P390" t="str">
            <v>種族なし</v>
          </cell>
          <cell r="Q390" t="str">
            <v>アタッカー</v>
          </cell>
          <cell r="R390">
            <v>3</v>
          </cell>
          <cell r="S390" t="str">
            <v>NULL</v>
          </cell>
          <cell r="T390" t="str">
            <v>normal</v>
          </cell>
          <cell r="U390" t="str">
            <v>NULL</v>
          </cell>
          <cell r="V390" t="str">
            <v>NULL</v>
          </cell>
          <cell r="W390" t="str">
            <v>NULL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  <cell r="N391" t="str">
            <v>ヒューマン</v>
          </cell>
          <cell r="O391" t="str">
            <v>machine</v>
          </cell>
          <cell r="P391" t="str">
            <v>マシン</v>
          </cell>
          <cell r="Q391" t="str">
            <v>アタッカー</v>
          </cell>
          <cell r="R391">
            <v>3</v>
          </cell>
          <cell r="S391" t="str">
            <v>NULL</v>
          </cell>
          <cell r="T391" t="str">
            <v>normal</v>
          </cell>
          <cell r="U391" t="str">
            <v>NULL</v>
          </cell>
          <cell r="V391" t="str">
            <v>NULL</v>
          </cell>
          <cell r="W391" t="str">
            <v>NULL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  <cell r="N392" t="str">
            <v>ヒューマン</v>
          </cell>
          <cell r="O392" t="str">
            <v>machine</v>
          </cell>
          <cell r="P392" t="str">
            <v>マシン</v>
          </cell>
          <cell r="Q392" t="str">
            <v>アタッカー</v>
          </cell>
          <cell r="R392">
            <v>3</v>
          </cell>
          <cell r="S392" t="str">
            <v>NULL</v>
          </cell>
          <cell r="T392" t="str">
            <v>normal</v>
          </cell>
          <cell r="U392" t="str">
            <v>NULL</v>
          </cell>
          <cell r="V392" t="str">
            <v>NULL</v>
          </cell>
          <cell r="W392" t="str">
            <v>NULL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  <cell r="N393" t="str">
            <v>ヒューマン</v>
          </cell>
          <cell r="O393" t="str">
            <v>machine</v>
          </cell>
          <cell r="P393" t="str">
            <v>マシン</v>
          </cell>
          <cell r="Q393" t="str">
            <v>アタッカー</v>
          </cell>
          <cell r="R393">
            <v>3</v>
          </cell>
          <cell r="S393" t="str">
            <v>NULL</v>
          </cell>
          <cell r="T393" t="str">
            <v>normal</v>
          </cell>
          <cell r="U393" t="str">
            <v>NULL</v>
          </cell>
          <cell r="V393" t="str">
            <v>NULL</v>
          </cell>
          <cell r="W393" t="str">
            <v>NULL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  <cell r="N394" t="str">
            <v>ヒューマン</v>
          </cell>
          <cell r="O394" t="str">
            <v>machine</v>
          </cell>
          <cell r="P394" t="str">
            <v>マシン</v>
          </cell>
          <cell r="Q394" t="str">
            <v>アタッカー</v>
          </cell>
          <cell r="R394">
            <v>3</v>
          </cell>
          <cell r="S394" t="str">
            <v>NULL</v>
          </cell>
          <cell r="T394" t="str">
            <v>normal</v>
          </cell>
          <cell r="U394" t="str">
            <v>NULL</v>
          </cell>
          <cell r="V394" t="str">
            <v>NULL</v>
          </cell>
          <cell r="W394" t="str">
            <v>NULL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  <cell r="N395" t="str">
            <v>ヒューマン</v>
          </cell>
          <cell r="O395" t="str">
            <v>machine</v>
          </cell>
          <cell r="P395" t="str">
            <v>マシン</v>
          </cell>
          <cell r="Q395" t="str">
            <v>アタッカー</v>
          </cell>
          <cell r="R395">
            <v>3</v>
          </cell>
          <cell r="S395" t="str">
            <v>NULL</v>
          </cell>
          <cell r="T395" t="str">
            <v>normal</v>
          </cell>
          <cell r="U395" t="str">
            <v>NULL</v>
          </cell>
          <cell r="V395" t="str">
            <v>NULL</v>
          </cell>
          <cell r="W395" t="str">
            <v>NULL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  <cell r="N396" t="str">
            <v>ヒューマン</v>
          </cell>
          <cell r="O396" t="str">
            <v>machine</v>
          </cell>
          <cell r="P396" t="str">
            <v>マシン</v>
          </cell>
          <cell r="Q396" t="str">
            <v>アタッカー</v>
          </cell>
          <cell r="R396">
            <v>3</v>
          </cell>
          <cell r="S396" t="str">
            <v>NULL</v>
          </cell>
          <cell r="T396" t="str">
            <v>normal</v>
          </cell>
          <cell r="U396" t="str">
            <v>NULL</v>
          </cell>
          <cell r="V396" t="str">
            <v>NULL</v>
          </cell>
          <cell r="W396" t="str">
            <v>NULL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  <cell r="N397" t="str">
            <v>ヒューマン</v>
          </cell>
          <cell r="O397" t="str">
            <v>machine</v>
          </cell>
          <cell r="P397" t="str">
            <v>マシン</v>
          </cell>
          <cell r="Q397" t="str">
            <v>アタッカー</v>
          </cell>
          <cell r="R397">
            <v>3</v>
          </cell>
          <cell r="S397" t="str">
            <v>NULL</v>
          </cell>
          <cell r="T397" t="str">
            <v>normal</v>
          </cell>
          <cell r="U397" t="str">
            <v>NULL</v>
          </cell>
          <cell r="V397" t="str">
            <v>NULL</v>
          </cell>
          <cell r="W397" t="str">
            <v>NULL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  <cell r="N398" t="str">
            <v>ヒューマン</v>
          </cell>
          <cell r="O398" t="str">
            <v>machine</v>
          </cell>
          <cell r="P398" t="str">
            <v>マシン</v>
          </cell>
          <cell r="Q398" t="str">
            <v>アタッカー</v>
          </cell>
          <cell r="R398">
            <v>3</v>
          </cell>
          <cell r="S398" t="str">
            <v>NULL</v>
          </cell>
          <cell r="T398" t="str">
            <v>normal</v>
          </cell>
          <cell r="U398" t="str">
            <v>NULL</v>
          </cell>
          <cell r="V398" t="str">
            <v>NULL</v>
          </cell>
          <cell r="W398" t="str">
            <v>NULL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  <cell r="N399" t="str">
            <v>ヒューマン</v>
          </cell>
          <cell r="O399" t="str">
            <v>machine</v>
          </cell>
          <cell r="P399" t="str">
            <v>マシン</v>
          </cell>
          <cell r="Q399" t="str">
            <v>アタッカー</v>
          </cell>
          <cell r="R399">
            <v>3</v>
          </cell>
          <cell r="S399" t="str">
            <v>NULL</v>
          </cell>
          <cell r="T399" t="str">
            <v>normal</v>
          </cell>
          <cell r="U399" t="str">
            <v>NULL</v>
          </cell>
          <cell r="V399" t="str">
            <v>NULL</v>
          </cell>
          <cell r="W399" t="str">
            <v>NULL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  <cell r="N400" t="str">
            <v>ヒューマン</v>
          </cell>
          <cell r="O400" t="str">
            <v>machine</v>
          </cell>
          <cell r="P400" t="str">
            <v>マシン</v>
          </cell>
          <cell r="Q400" t="str">
            <v>アタッカー</v>
          </cell>
          <cell r="R400">
            <v>3</v>
          </cell>
          <cell r="S400" t="str">
            <v>NULL</v>
          </cell>
          <cell r="T400" t="str">
            <v>normal</v>
          </cell>
          <cell r="U400" t="str">
            <v>NULL</v>
          </cell>
          <cell r="V400" t="str">
            <v>NULL</v>
          </cell>
          <cell r="W400" t="str">
            <v>NULL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  <cell r="N401" t="str">
            <v>アニマル</v>
          </cell>
          <cell r="O401" t="str">
            <v>none</v>
          </cell>
          <cell r="P401" t="str">
            <v>種族なし</v>
          </cell>
          <cell r="Q401" t="str">
            <v>アタッカー</v>
          </cell>
          <cell r="R401">
            <v>3</v>
          </cell>
          <cell r="S401" t="str">
            <v>NULL</v>
          </cell>
          <cell r="T401" t="str">
            <v>normal</v>
          </cell>
          <cell r="U401" t="str">
            <v>NULL</v>
          </cell>
          <cell r="V401" t="str">
            <v>NULL</v>
          </cell>
          <cell r="W401" t="str">
            <v>NULL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  <cell r="N402" t="str">
            <v>アニマル</v>
          </cell>
          <cell r="O402" t="str">
            <v>none</v>
          </cell>
          <cell r="P402" t="str">
            <v>種族なし</v>
          </cell>
          <cell r="Q402" t="str">
            <v>アタッカー</v>
          </cell>
          <cell r="R402">
            <v>3</v>
          </cell>
          <cell r="S402" t="str">
            <v>NULL</v>
          </cell>
          <cell r="T402" t="str">
            <v>normal</v>
          </cell>
          <cell r="U402" t="str">
            <v>NULL</v>
          </cell>
          <cell r="V402" t="str">
            <v>NULL</v>
          </cell>
          <cell r="W402" t="str">
            <v>NULL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  <cell r="N403" t="str">
            <v>アニマル</v>
          </cell>
          <cell r="O403" t="str">
            <v>none</v>
          </cell>
          <cell r="P403" t="str">
            <v>種族なし</v>
          </cell>
          <cell r="Q403" t="str">
            <v>アタッカー</v>
          </cell>
          <cell r="R403">
            <v>3</v>
          </cell>
          <cell r="S403" t="str">
            <v>NULL</v>
          </cell>
          <cell r="T403" t="str">
            <v>normal</v>
          </cell>
          <cell r="U403" t="str">
            <v>NULL</v>
          </cell>
          <cell r="V403" t="str">
            <v>NULL</v>
          </cell>
          <cell r="W403" t="str">
            <v>NULL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  <cell r="N404" t="str">
            <v>アニマル</v>
          </cell>
          <cell r="O404" t="str">
            <v>none</v>
          </cell>
          <cell r="P404" t="str">
            <v>種族なし</v>
          </cell>
          <cell r="Q404" t="str">
            <v>アタッカー</v>
          </cell>
          <cell r="R404">
            <v>3</v>
          </cell>
          <cell r="S404" t="str">
            <v>NULL</v>
          </cell>
          <cell r="T404" t="str">
            <v>normal</v>
          </cell>
          <cell r="U404" t="str">
            <v>NULL</v>
          </cell>
          <cell r="V404" t="str">
            <v>NULL</v>
          </cell>
          <cell r="W404" t="str">
            <v>NULL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  <cell r="N405" t="str">
            <v>アニマル</v>
          </cell>
          <cell r="O405" t="str">
            <v>none</v>
          </cell>
          <cell r="P405" t="str">
            <v>種族なし</v>
          </cell>
          <cell r="Q405" t="str">
            <v>アタッカー</v>
          </cell>
          <cell r="R405">
            <v>3</v>
          </cell>
          <cell r="S405" t="str">
            <v>NULL</v>
          </cell>
          <cell r="T405" t="str">
            <v>normal</v>
          </cell>
          <cell r="U405" t="str">
            <v>NULL</v>
          </cell>
          <cell r="V405" t="str">
            <v>NULL</v>
          </cell>
          <cell r="W405" t="str">
            <v>NULL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  <cell r="N406" t="str">
            <v>アニマル</v>
          </cell>
          <cell r="O406" t="str">
            <v>none</v>
          </cell>
          <cell r="P406" t="str">
            <v>種族なし</v>
          </cell>
          <cell r="Q406" t="str">
            <v>アタッカー</v>
          </cell>
          <cell r="R406">
            <v>3</v>
          </cell>
          <cell r="S406" t="str">
            <v>NULL</v>
          </cell>
          <cell r="T406" t="str">
            <v>normal</v>
          </cell>
          <cell r="U406" t="str">
            <v>NULL</v>
          </cell>
          <cell r="V406" t="str">
            <v>NULL</v>
          </cell>
          <cell r="W406" t="str">
            <v>NULL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  <cell r="N407" t="str">
            <v>アニマル</v>
          </cell>
          <cell r="O407" t="str">
            <v>none</v>
          </cell>
          <cell r="P407" t="str">
            <v>種族なし</v>
          </cell>
          <cell r="Q407" t="str">
            <v>アタッカー</v>
          </cell>
          <cell r="R407">
            <v>3</v>
          </cell>
          <cell r="S407" t="str">
            <v>NULL</v>
          </cell>
          <cell r="T407" t="str">
            <v>normal</v>
          </cell>
          <cell r="U407" t="str">
            <v>NULL</v>
          </cell>
          <cell r="V407" t="str">
            <v>NULL</v>
          </cell>
          <cell r="W407" t="str">
            <v>NULL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  <cell r="N408" t="str">
            <v>アニマル</v>
          </cell>
          <cell r="O408" t="str">
            <v>none</v>
          </cell>
          <cell r="P408" t="str">
            <v>種族なし</v>
          </cell>
          <cell r="Q408" t="str">
            <v>アタッカー</v>
          </cell>
          <cell r="R408">
            <v>3</v>
          </cell>
          <cell r="S408" t="str">
            <v>NULL</v>
          </cell>
          <cell r="T408" t="str">
            <v>normal</v>
          </cell>
          <cell r="U408" t="str">
            <v>NULL</v>
          </cell>
          <cell r="V408" t="str">
            <v>NULL</v>
          </cell>
          <cell r="W408" t="str">
            <v>NULL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  <cell r="N409" t="str">
            <v>ゴッド</v>
          </cell>
          <cell r="O409" t="str">
            <v>none</v>
          </cell>
          <cell r="P409" t="str">
            <v>種族なし</v>
          </cell>
          <cell r="Q409" t="str">
            <v>アタッカー</v>
          </cell>
          <cell r="R409">
            <v>3</v>
          </cell>
          <cell r="S409" t="str">
            <v>NULL</v>
          </cell>
          <cell r="T409" t="str">
            <v>normal</v>
          </cell>
          <cell r="U409" t="str">
            <v>NULL</v>
          </cell>
          <cell r="V409" t="str">
            <v>NULL</v>
          </cell>
          <cell r="W409" t="str">
            <v>NULL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  <cell r="N410" t="str">
            <v>ゴッド</v>
          </cell>
          <cell r="O410" t="str">
            <v>none</v>
          </cell>
          <cell r="P410" t="str">
            <v>種族なし</v>
          </cell>
          <cell r="Q410" t="str">
            <v>アタッカー</v>
          </cell>
          <cell r="R410">
            <v>3</v>
          </cell>
          <cell r="S410" t="str">
            <v>NULL</v>
          </cell>
          <cell r="T410" t="str">
            <v>normal</v>
          </cell>
          <cell r="U410" t="str">
            <v>NULL</v>
          </cell>
          <cell r="V410" t="str">
            <v>NULL</v>
          </cell>
          <cell r="W410" t="str">
            <v>NULL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  <cell r="N411" t="str">
            <v>ヒューマン</v>
          </cell>
          <cell r="O411" t="str">
            <v>none</v>
          </cell>
          <cell r="P411" t="str">
            <v>種族なし</v>
          </cell>
          <cell r="Q411" t="str">
            <v>アタッカー</v>
          </cell>
          <cell r="R411">
            <v>3</v>
          </cell>
          <cell r="S411" t="str">
            <v>NULL</v>
          </cell>
          <cell r="T411" t="str">
            <v>normal</v>
          </cell>
          <cell r="U411" t="str">
            <v>NULL</v>
          </cell>
          <cell r="V411" t="str">
            <v>NULL</v>
          </cell>
          <cell r="W411" t="str">
            <v>NULL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  <cell r="N412" t="str">
            <v>ヒューマン</v>
          </cell>
          <cell r="O412" t="str">
            <v>none</v>
          </cell>
          <cell r="P412" t="str">
            <v>種族なし</v>
          </cell>
          <cell r="Q412" t="str">
            <v>アタッカー</v>
          </cell>
          <cell r="R412">
            <v>3</v>
          </cell>
          <cell r="S412" t="str">
            <v>NULL</v>
          </cell>
          <cell r="T412" t="str">
            <v>normal</v>
          </cell>
          <cell r="U412" t="str">
            <v>NULL</v>
          </cell>
          <cell r="V412" t="str">
            <v>NULL</v>
          </cell>
          <cell r="W412" t="str">
            <v>NULL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  <cell r="N413" t="str">
            <v>Unknown</v>
          </cell>
          <cell r="O413" t="str">
            <v>none</v>
          </cell>
          <cell r="P413" t="str">
            <v>種族なし</v>
          </cell>
          <cell r="Q413" t="str">
            <v>アタッカー</v>
          </cell>
          <cell r="R413">
            <v>3</v>
          </cell>
          <cell r="S413" t="str">
            <v>NULL</v>
          </cell>
          <cell r="T413" t="str">
            <v>normal</v>
          </cell>
          <cell r="U413" t="str">
            <v>NULL</v>
          </cell>
          <cell r="V413" t="str">
            <v>NULL</v>
          </cell>
          <cell r="W413" t="str">
            <v>NULL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  <cell r="N414" t="str">
            <v>Unknown</v>
          </cell>
          <cell r="O414" t="str">
            <v>none</v>
          </cell>
          <cell r="P414" t="str">
            <v>種族なし</v>
          </cell>
          <cell r="Q414" t="str">
            <v>アタッカー</v>
          </cell>
          <cell r="R414">
            <v>3</v>
          </cell>
          <cell r="S414" t="str">
            <v>NULL</v>
          </cell>
          <cell r="T414" t="str">
            <v>normal</v>
          </cell>
          <cell r="U414" t="str">
            <v>NULL</v>
          </cell>
          <cell r="V414" t="str">
            <v>NULL</v>
          </cell>
          <cell r="W414" t="str">
            <v>NULL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  <cell r="N415" t="str">
            <v>Unknown</v>
          </cell>
          <cell r="O415" t="str">
            <v>none</v>
          </cell>
          <cell r="P415" t="str">
            <v>種族なし</v>
          </cell>
          <cell r="Q415" t="str">
            <v>強化素材</v>
          </cell>
          <cell r="R415">
            <v>3</v>
          </cell>
          <cell r="S415" t="str">
            <v>NULL</v>
          </cell>
          <cell r="T415" t="str">
            <v>normal</v>
          </cell>
          <cell r="U415" t="str">
            <v>NULL</v>
          </cell>
          <cell r="V415" t="str">
            <v>NULL</v>
          </cell>
          <cell r="W415" t="str">
            <v>NULL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  <cell r="N416" t="str">
            <v>Unknown</v>
          </cell>
          <cell r="O416" t="str">
            <v>none</v>
          </cell>
          <cell r="P416" t="str">
            <v>種族なし</v>
          </cell>
          <cell r="Q416" t="str">
            <v>強化素材</v>
          </cell>
          <cell r="R416">
            <v>3</v>
          </cell>
          <cell r="S416" t="str">
            <v>NULL</v>
          </cell>
          <cell r="T416" t="str">
            <v>normal</v>
          </cell>
          <cell r="U416" t="str">
            <v>NULL</v>
          </cell>
          <cell r="V416" t="str">
            <v>NULL</v>
          </cell>
          <cell r="W416" t="str">
            <v>NULL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  <cell r="N417" t="str">
            <v>Unknown</v>
          </cell>
          <cell r="O417" t="str">
            <v>none</v>
          </cell>
          <cell r="P417" t="str">
            <v>種族なし</v>
          </cell>
          <cell r="Q417" t="str">
            <v>強化素材</v>
          </cell>
          <cell r="R417">
            <v>3</v>
          </cell>
          <cell r="S417" t="str">
            <v>NULL</v>
          </cell>
          <cell r="T417" t="str">
            <v>normal</v>
          </cell>
          <cell r="U417" t="str">
            <v>NULL</v>
          </cell>
          <cell r="V417" t="str">
            <v>NULL</v>
          </cell>
          <cell r="W417" t="str">
            <v>NULL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  <cell r="N418" t="str">
            <v>Unknown</v>
          </cell>
          <cell r="O418" t="str">
            <v>none</v>
          </cell>
          <cell r="P418" t="str">
            <v>種族なし</v>
          </cell>
          <cell r="Q418" t="str">
            <v>強化素材</v>
          </cell>
          <cell r="R418">
            <v>3</v>
          </cell>
          <cell r="S418" t="str">
            <v>NULL</v>
          </cell>
          <cell r="T418" t="str">
            <v>normal</v>
          </cell>
          <cell r="U418" t="str">
            <v>NULL</v>
          </cell>
          <cell r="V418" t="str">
            <v>NULL</v>
          </cell>
          <cell r="W418" t="str">
            <v>NULL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  <cell r="N419" t="str">
            <v>ヒューマン</v>
          </cell>
          <cell r="O419" t="str">
            <v>none</v>
          </cell>
          <cell r="P419" t="str">
            <v>種族なし</v>
          </cell>
          <cell r="Q419" t="str">
            <v>アタッカー</v>
          </cell>
          <cell r="R419">
            <v>3</v>
          </cell>
          <cell r="S419" t="str">
            <v>NULL</v>
          </cell>
          <cell r="T419" t="str">
            <v>normal</v>
          </cell>
          <cell r="U419" t="str">
            <v>NULL</v>
          </cell>
          <cell r="V419" t="str">
            <v>NULL</v>
          </cell>
          <cell r="W419" t="str">
            <v>NULL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  <cell r="N420" t="str">
            <v>ヒューマン</v>
          </cell>
          <cell r="O420" t="str">
            <v>none</v>
          </cell>
          <cell r="P420" t="str">
            <v>種族なし</v>
          </cell>
          <cell r="Q420" t="str">
            <v>アタッカー</v>
          </cell>
          <cell r="R420">
            <v>3</v>
          </cell>
          <cell r="S420" t="str">
            <v>NULL</v>
          </cell>
          <cell r="T420" t="str">
            <v>normal</v>
          </cell>
          <cell r="U420" t="str">
            <v>NULL</v>
          </cell>
          <cell r="V420" t="str">
            <v>NULL</v>
          </cell>
          <cell r="W420" t="str">
            <v>NULL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  <cell r="N421" t="str">
            <v>ヒューマン</v>
          </cell>
          <cell r="O421" t="str">
            <v>none</v>
          </cell>
          <cell r="P421" t="str">
            <v>種族なし</v>
          </cell>
          <cell r="Q421" t="str">
            <v>アタッカー</v>
          </cell>
          <cell r="R421">
            <v>3</v>
          </cell>
          <cell r="S421" t="str">
            <v>NULL</v>
          </cell>
          <cell r="T421" t="str">
            <v>normal</v>
          </cell>
          <cell r="U421" t="str">
            <v>NULL</v>
          </cell>
          <cell r="V421" t="str">
            <v>NULL</v>
          </cell>
          <cell r="W421" t="str">
            <v>NULL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  <cell r="N422" t="str">
            <v>ヒューマン</v>
          </cell>
          <cell r="O422" t="str">
            <v>none</v>
          </cell>
          <cell r="P422" t="str">
            <v>種族なし</v>
          </cell>
          <cell r="Q422" t="str">
            <v>アタッカー</v>
          </cell>
          <cell r="R422">
            <v>3</v>
          </cell>
          <cell r="S422" t="str">
            <v>NULL</v>
          </cell>
          <cell r="T422" t="str">
            <v>normal</v>
          </cell>
          <cell r="U422" t="str">
            <v>NULL</v>
          </cell>
          <cell r="V422" t="str">
            <v>NULL</v>
          </cell>
          <cell r="W422" t="str">
            <v>NULL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  <cell r="N423" t="str">
            <v>ヒューマン</v>
          </cell>
          <cell r="O423" t="str">
            <v>none</v>
          </cell>
          <cell r="P423" t="str">
            <v>種族なし</v>
          </cell>
          <cell r="Q423" t="str">
            <v>アタッカー</v>
          </cell>
          <cell r="R423">
            <v>3</v>
          </cell>
          <cell r="S423" t="str">
            <v>NULL</v>
          </cell>
          <cell r="T423" t="str">
            <v>normal</v>
          </cell>
          <cell r="U423" t="str">
            <v>NULL</v>
          </cell>
          <cell r="V423" t="str">
            <v>NULL</v>
          </cell>
          <cell r="W423" t="str">
            <v>NULL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  <cell r="N424" t="str">
            <v>ヒューマン</v>
          </cell>
          <cell r="O424" t="str">
            <v>none</v>
          </cell>
          <cell r="P424" t="str">
            <v>種族なし</v>
          </cell>
          <cell r="Q424" t="str">
            <v>アタッカー</v>
          </cell>
          <cell r="R424">
            <v>3</v>
          </cell>
          <cell r="S424" t="str">
            <v>NULL</v>
          </cell>
          <cell r="T424" t="str">
            <v>normal</v>
          </cell>
          <cell r="U424" t="str">
            <v>NULL</v>
          </cell>
          <cell r="V424" t="str">
            <v>NULL</v>
          </cell>
          <cell r="W424" t="str">
            <v>NULL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  <cell r="N425" t="str">
            <v>ヒューマン</v>
          </cell>
          <cell r="O425" t="str">
            <v>none</v>
          </cell>
          <cell r="P425" t="str">
            <v>種族なし</v>
          </cell>
          <cell r="Q425" t="str">
            <v>アタッカー</v>
          </cell>
          <cell r="R425">
            <v>3</v>
          </cell>
          <cell r="S425" t="str">
            <v>NULL</v>
          </cell>
          <cell r="T425" t="str">
            <v>normal</v>
          </cell>
          <cell r="U425" t="str">
            <v>NULL</v>
          </cell>
          <cell r="V425" t="str">
            <v>NULL</v>
          </cell>
          <cell r="W425" t="str">
            <v>NULL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  <cell r="N426" t="str">
            <v>ヒューマン</v>
          </cell>
          <cell r="O426" t="str">
            <v>none</v>
          </cell>
          <cell r="P426" t="str">
            <v>種族なし</v>
          </cell>
          <cell r="Q426" t="str">
            <v>アタッカー</v>
          </cell>
          <cell r="R426">
            <v>3</v>
          </cell>
          <cell r="S426" t="str">
            <v>NULL</v>
          </cell>
          <cell r="T426" t="str">
            <v>normal</v>
          </cell>
          <cell r="U426" t="str">
            <v>NULL</v>
          </cell>
          <cell r="V426" t="str">
            <v>NULL</v>
          </cell>
          <cell r="W426" t="str">
            <v>NULL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  <cell r="N427" t="str">
            <v>ヒューマン</v>
          </cell>
          <cell r="O427" t="str">
            <v>none</v>
          </cell>
          <cell r="P427" t="str">
            <v>種族なし</v>
          </cell>
          <cell r="Q427" t="str">
            <v>アタッカー</v>
          </cell>
          <cell r="R427">
            <v>3</v>
          </cell>
          <cell r="S427" t="str">
            <v>NULL</v>
          </cell>
          <cell r="T427" t="str">
            <v>normal</v>
          </cell>
          <cell r="U427" t="str">
            <v>NULL</v>
          </cell>
          <cell r="V427" t="str">
            <v>NULL</v>
          </cell>
          <cell r="W427" t="str">
            <v>NULL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  <cell r="N428" t="str">
            <v>ヒューマン</v>
          </cell>
          <cell r="O428" t="str">
            <v>none</v>
          </cell>
          <cell r="P428" t="str">
            <v>種族なし</v>
          </cell>
          <cell r="Q428" t="str">
            <v>アタッカー</v>
          </cell>
          <cell r="R428">
            <v>3</v>
          </cell>
          <cell r="S428" t="str">
            <v>NULL</v>
          </cell>
          <cell r="T428" t="str">
            <v>normal</v>
          </cell>
          <cell r="U428" t="str">
            <v>NULL</v>
          </cell>
          <cell r="V428" t="str">
            <v>NULL</v>
          </cell>
          <cell r="W428" t="str">
            <v>NULL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  <cell r="N429" t="str">
            <v>Unknown</v>
          </cell>
          <cell r="O429" t="str">
            <v>none</v>
          </cell>
          <cell r="P429" t="str">
            <v>種族なし</v>
          </cell>
          <cell r="Q429" t="str">
            <v>アタッカー</v>
          </cell>
          <cell r="R429">
            <v>1</v>
          </cell>
          <cell r="S429" t="str">
            <v>NULL</v>
          </cell>
          <cell r="T429" t="str">
            <v>normal</v>
          </cell>
          <cell r="U429" t="str">
            <v>NULL</v>
          </cell>
          <cell r="V429" t="str">
            <v>NULL</v>
          </cell>
          <cell r="W429" t="str">
            <v>NULL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  <cell r="N430" t="str">
            <v>Unknown</v>
          </cell>
          <cell r="O430" t="str">
            <v>none</v>
          </cell>
          <cell r="P430" t="str">
            <v>種族なし</v>
          </cell>
          <cell r="Q430" t="str">
            <v>アタッカー</v>
          </cell>
          <cell r="R430">
            <v>1</v>
          </cell>
          <cell r="S430" t="str">
            <v>NULL</v>
          </cell>
          <cell r="T430" t="str">
            <v>normal</v>
          </cell>
          <cell r="U430" t="str">
            <v>NULL</v>
          </cell>
          <cell r="V430" t="str">
            <v>NULL</v>
          </cell>
          <cell r="W430" t="str">
            <v>NULL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  <cell r="N431" t="str">
            <v>Unknown</v>
          </cell>
          <cell r="O431" t="str">
            <v>none</v>
          </cell>
          <cell r="P431" t="str">
            <v>種族なし</v>
          </cell>
          <cell r="Q431" t="str">
            <v>アタッカー</v>
          </cell>
          <cell r="R431">
            <v>3</v>
          </cell>
          <cell r="S431" t="str">
            <v>NULL</v>
          </cell>
          <cell r="T431" t="str">
            <v>normal</v>
          </cell>
          <cell r="U431" t="str">
            <v>NULL</v>
          </cell>
          <cell r="V431" t="str">
            <v>NULL</v>
          </cell>
          <cell r="W431" t="str">
            <v>NULL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  <cell r="N432" t="str">
            <v>Unknown</v>
          </cell>
          <cell r="O432" t="str">
            <v>none</v>
          </cell>
          <cell r="P432" t="str">
            <v>種族なし</v>
          </cell>
          <cell r="Q432" t="str">
            <v>アタッカー</v>
          </cell>
          <cell r="R432">
            <v>3</v>
          </cell>
          <cell r="S432" t="str">
            <v>NULL</v>
          </cell>
          <cell r="T432" t="str">
            <v>normal</v>
          </cell>
          <cell r="U432" t="str">
            <v>NULL</v>
          </cell>
          <cell r="V432" t="str">
            <v>NULL</v>
          </cell>
          <cell r="W432" t="str">
            <v>NULL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  <cell r="N433" t="str">
            <v>ゴッド</v>
          </cell>
          <cell r="O433" t="str">
            <v>none</v>
          </cell>
          <cell r="P433" t="str">
            <v>種族なし</v>
          </cell>
          <cell r="Q433" t="str">
            <v>アタッカー</v>
          </cell>
          <cell r="R433">
            <v>3</v>
          </cell>
          <cell r="S433" t="str">
            <v>NULL</v>
          </cell>
          <cell r="T433" t="str">
            <v>normal</v>
          </cell>
          <cell r="U433" t="str">
            <v>NULL</v>
          </cell>
          <cell r="V433" t="str">
            <v>NULL</v>
          </cell>
          <cell r="W433" t="str">
            <v>NULL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  <cell r="N434" t="str">
            <v>ゴッド</v>
          </cell>
          <cell r="O434" t="str">
            <v>none</v>
          </cell>
          <cell r="P434" t="str">
            <v>種族なし</v>
          </cell>
          <cell r="Q434" t="str">
            <v>アタッカー</v>
          </cell>
          <cell r="R434">
            <v>3</v>
          </cell>
          <cell r="S434" t="str">
            <v>NULL</v>
          </cell>
          <cell r="T434" t="str">
            <v>normal</v>
          </cell>
          <cell r="U434" t="str">
            <v>NULL</v>
          </cell>
          <cell r="V434" t="str">
            <v>NULL</v>
          </cell>
          <cell r="W434" t="str">
            <v>NULL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  <cell r="N435" t="str">
            <v>ヒューマン</v>
          </cell>
          <cell r="O435" t="str">
            <v>none</v>
          </cell>
          <cell r="P435" t="str">
            <v>種族なし</v>
          </cell>
          <cell r="Q435" t="str">
            <v>アタッカー</v>
          </cell>
          <cell r="R435">
            <v>3</v>
          </cell>
          <cell r="S435" t="str">
            <v>NULL</v>
          </cell>
          <cell r="T435" t="str">
            <v>normal</v>
          </cell>
          <cell r="U435" t="str">
            <v>NULL</v>
          </cell>
          <cell r="V435" t="str">
            <v>NULL</v>
          </cell>
          <cell r="W435" t="str">
            <v>NULL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  <cell r="N436" t="str">
            <v>ヒューマン</v>
          </cell>
          <cell r="O436" t="str">
            <v>none</v>
          </cell>
          <cell r="P436" t="str">
            <v>種族なし</v>
          </cell>
          <cell r="Q436" t="str">
            <v>アタッカー</v>
          </cell>
          <cell r="R436">
            <v>3</v>
          </cell>
          <cell r="S436" t="str">
            <v>NULL</v>
          </cell>
          <cell r="T436" t="str">
            <v>normal</v>
          </cell>
          <cell r="U436" t="str">
            <v>NULL</v>
          </cell>
          <cell r="V436" t="str">
            <v>NULL</v>
          </cell>
          <cell r="W436" t="str">
            <v>NULL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  <cell r="N437" t="str">
            <v>ヒューマン</v>
          </cell>
          <cell r="O437" t="str">
            <v>machine</v>
          </cell>
          <cell r="P437" t="str">
            <v>マシン</v>
          </cell>
          <cell r="Q437" t="str">
            <v>アタッカー</v>
          </cell>
          <cell r="R437">
            <v>3</v>
          </cell>
          <cell r="S437" t="str">
            <v>NULL</v>
          </cell>
          <cell r="T437" t="str">
            <v>normal</v>
          </cell>
          <cell r="U437" t="str">
            <v>NULL</v>
          </cell>
          <cell r="V437" t="str">
            <v>NULL</v>
          </cell>
          <cell r="W437" t="str">
            <v>NULL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  <cell r="N438" t="str">
            <v>ヒューマン</v>
          </cell>
          <cell r="O438" t="str">
            <v>machine</v>
          </cell>
          <cell r="P438" t="str">
            <v>マシン</v>
          </cell>
          <cell r="Q438" t="str">
            <v>アタッカー</v>
          </cell>
          <cell r="R438">
            <v>3</v>
          </cell>
          <cell r="S438" t="str">
            <v>NULL</v>
          </cell>
          <cell r="T438" t="str">
            <v>normal</v>
          </cell>
          <cell r="U438" t="str">
            <v>NULL</v>
          </cell>
          <cell r="V438" t="str">
            <v>NULL</v>
          </cell>
          <cell r="W438" t="str">
            <v>NULL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  <cell r="N439" t="str">
            <v>ヒューマン</v>
          </cell>
          <cell r="O439" t="str">
            <v>machine</v>
          </cell>
          <cell r="P439" t="str">
            <v>マシン</v>
          </cell>
          <cell r="Q439" t="str">
            <v>アタッカー</v>
          </cell>
          <cell r="R439">
            <v>3</v>
          </cell>
          <cell r="S439" t="str">
            <v>NULL</v>
          </cell>
          <cell r="T439" t="str">
            <v>normal</v>
          </cell>
          <cell r="U439" t="str">
            <v>NULL</v>
          </cell>
          <cell r="V439" t="str">
            <v>NULL</v>
          </cell>
          <cell r="W439" t="str">
            <v>NULL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  <cell r="N440" t="str">
            <v>マシン</v>
          </cell>
          <cell r="O440" t="str">
            <v>none</v>
          </cell>
          <cell r="P440" t="str">
            <v>種族なし</v>
          </cell>
          <cell r="Q440" t="str">
            <v>アタッカー</v>
          </cell>
          <cell r="R440">
            <v>3</v>
          </cell>
          <cell r="S440" t="str">
            <v>NULL</v>
          </cell>
          <cell r="T440" t="str">
            <v>normal</v>
          </cell>
          <cell r="U440" t="str">
            <v>NULL</v>
          </cell>
          <cell r="V440" t="str">
            <v>NULL</v>
          </cell>
          <cell r="W440" t="str">
            <v>NULL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  <cell r="N441" t="str">
            <v>マシン</v>
          </cell>
          <cell r="O441" t="str">
            <v>none</v>
          </cell>
          <cell r="P441" t="str">
            <v>種族なし</v>
          </cell>
          <cell r="Q441" t="str">
            <v>アタッカー</v>
          </cell>
          <cell r="R441">
            <v>3</v>
          </cell>
          <cell r="S441" t="str">
            <v>NULL</v>
          </cell>
          <cell r="T441" t="str">
            <v>normal</v>
          </cell>
          <cell r="U441" t="str">
            <v>NULL</v>
          </cell>
          <cell r="V441" t="str">
            <v>NULL</v>
          </cell>
          <cell r="W441" t="str">
            <v>NULL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  <cell r="N442" t="str">
            <v>マシン</v>
          </cell>
          <cell r="O442" t="str">
            <v>none</v>
          </cell>
          <cell r="P442" t="str">
            <v>種族なし</v>
          </cell>
          <cell r="Q442" t="str">
            <v>アタッカー</v>
          </cell>
          <cell r="R442">
            <v>3</v>
          </cell>
          <cell r="S442" t="str">
            <v>NULL</v>
          </cell>
          <cell r="T442" t="str">
            <v>normal</v>
          </cell>
          <cell r="U442" t="str">
            <v>NULL</v>
          </cell>
          <cell r="V442" t="str">
            <v>NULL</v>
          </cell>
          <cell r="W442" t="str">
            <v>NULL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  <cell r="N443" t="str">
            <v>アニマル</v>
          </cell>
          <cell r="O443" t="str">
            <v>none</v>
          </cell>
          <cell r="P443" t="str">
            <v>種族なし</v>
          </cell>
          <cell r="Q443" t="str">
            <v>アタッカー</v>
          </cell>
          <cell r="R443">
            <v>3</v>
          </cell>
          <cell r="S443" t="str">
            <v>NULL</v>
          </cell>
          <cell r="T443" t="str">
            <v>normal</v>
          </cell>
          <cell r="U443" t="str">
            <v>NULL</v>
          </cell>
          <cell r="V443" t="str">
            <v>NULL</v>
          </cell>
          <cell r="W443" t="str">
            <v>NULL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  <cell r="N444" t="str">
            <v>アニマル</v>
          </cell>
          <cell r="O444" t="str">
            <v>none</v>
          </cell>
          <cell r="P444" t="str">
            <v>種族なし</v>
          </cell>
          <cell r="Q444" t="str">
            <v>アタッカー</v>
          </cell>
          <cell r="R444">
            <v>3</v>
          </cell>
          <cell r="S444" t="str">
            <v>NULL</v>
          </cell>
          <cell r="T444" t="str">
            <v>normal</v>
          </cell>
          <cell r="U444" t="str">
            <v>NULL</v>
          </cell>
          <cell r="V444" t="str">
            <v>NULL</v>
          </cell>
          <cell r="W444" t="str">
            <v>NULL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  <cell r="N445" t="str">
            <v>Unknown</v>
          </cell>
          <cell r="O445" t="str">
            <v>none</v>
          </cell>
          <cell r="P445" t="str">
            <v>種族なし</v>
          </cell>
          <cell r="Q445" t="str">
            <v>強化素材</v>
          </cell>
          <cell r="R445">
            <v>3</v>
          </cell>
          <cell r="S445" t="str">
            <v>NULL</v>
          </cell>
          <cell r="T445" t="str">
            <v>normal</v>
          </cell>
          <cell r="U445" t="str">
            <v>NULL</v>
          </cell>
          <cell r="V445" t="str">
            <v>NULL</v>
          </cell>
          <cell r="W445" t="str">
            <v>NULL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  <cell r="N446" t="str">
            <v>Unknown</v>
          </cell>
          <cell r="O446" t="str">
            <v>none</v>
          </cell>
          <cell r="P446" t="str">
            <v>種族なし</v>
          </cell>
          <cell r="Q446" t="str">
            <v>強化素材</v>
          </cell>
          <cell r="R446">
            <v>3</v>
          </cell>
          <cell r="S446" t="str">
            <v>NULL</v>
          </cell>
          <cell r="T446" t="str">
            <v>normal</v>
          </cell>
          <cell r="U446" t="str">
            <v>NULL</v>
          </cell>
          <cell r="V446" t="str">
            <v>NULL</v>
          </cell>
          <cell r="W446" t="str">
            <v>NULL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  <cell r="N447" t="str">
            <v>Unknown</v>
          </cell>
          <cell r="O447" t="str">
            <v>none</v>
          </cell>
          <cell r="P447" t="str">
            <v>種族なし</v>
          </cell>
          <cell r="Q447" t="str">
            <v>強化素材</v>
          </cell>
          <cell r="R447">
            <v>3</v>
          </cell>
          <cell r="S447" t="str">
            <v>NULL</v>
          </cell>
          <cell r="T447" t="str">
            <v>normal</v>
          </cell>
          <cell r="U447" t="str">
            <v>NULL</v>
          </cell>
          <cell r="V447" t="str">
            <v>NULL</v>
          </cell>
          <cell r="W447" t="str">
            <v>NULL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  <cell r="N448" t="str">
            <v>Unknown</v>
          </cell>
          <cell r="O448" t="str">
            <v>none</v>
          </cell>
          <cell r="P448" t="str">
            <v>種族なし</v>
          </cell>
          <cell r="Q448" t="str">
            <v>強化素材</v>
          </cell>
          <cell r="R448">
            <v>3</v>
          </cell>
          <cell r="S448" t="str">
            <v>NULL</v>
          </cell>
          <cell r="T448" t="str">
            <v>normal</v>
          </cell>
          <cell r="U448" t="str">
            <v>NULL</v>
          </cell>
          <cell r="V448" t="str">
            <v>NULL</v>
          </cell>
          <cell r="W448" t="str">
            <v>NULL</v>
          </cell>
        </row>
        <row r="449">
          <cell r="A449">
            <v>448</v>
          </cell>
          <cell r="B449" t="str">
            <v>ja</v>
          </cell>
          <cell r="C449" t="str">
            <v>シャルルR6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  <cell r="N449" t="str">
            <v>ヒューマン</v>
          </cell>
          <cell r="O449" t="str">
            <v>none</v>
          </cell>
          <cell r="P449" t="str">
            <v>種族なし</v>
          </cell>
          <cell r="Q449" t="str">
            <v>アタッカー</v>
          </cell>
          <cell r="R449">
            <v>1</v>
          </cell>
          <cell r="S449" t="str">
            <v>NULL</v>
          </cell>
          <cell r="T449" t="str">
            <v>normal</v>
          </cell>
          <cell r="U449" t="str">
            <v>NULL</v>
          </cell>
          <cell r="V449" t="str">
            <v>NULL</v>
          </cell>
          <cell r="W449" t="str">
            <v>NULL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  <cell r="N450" t="str">
            <v>ヒューマン</v>
          </cell>
          <cell r="O450" t="str">
            <v>none</v>
          </cell>
          <cell r="P450" t="str">
            <v>種族なし</v>
          </cell>
          <cell r="Q450" t="str">
            <v>アタッカー</v>
          </cell>
          <cell r="R450">
            <v>1</v>
          </cell>
          <cell r="S450" t="str">
            <v>NULL</v>
          </cell>
          <cell r="T450" t="str">
            <v>normal</v>
          </cell>
          <cell r="U450" t="str">
            <v>NULL</v>
          </cell>
          <cell r="V450" t="str">
            <v>NULL</v>
          </cell>
          <cell r="W450" t="str">
            <v>NULL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  <cell r="N451" t="str">
            <v>ヒューマン</v>
          </cell>
          <cell r="O451" t="str">
            <v>none</v>
          </cell>
          <cell r="P451" t="str">
            <v>種族なし</v>
          </cell>
          <cell r="Q451" t="str">
            <v>アタッカー</v>
          </cell>
          <cell r="R451">
            <v>1</v>
          </cell>
          <cell r="S451" t="str">
            <v>NULL</v>
          </cell>
          <cell r="T451" t="str">
            <v>normal</v>
          </cell>
          <cell r="U451" t="str">
            <v>NULL</v>
          </cell>
          <cell r="V451" t="str">
            <v>NULL</v>
          </cell>
          <cell r="W451" t="str">
            <v>NULL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  <cell r="N452" t="str">
            <v>ヒューマン</v>
          </cell>
          <cell r="O452" t="str">
            <v>none</v>
          </cell>
          <cell r="P452" t="str">
            <v>種族なし</v>
          </cell>
          <cell r="Q452" t="str">
            <v>アタッカー</v>
          </cell>
          <cell r="R452">
            <v>3</v>
          </cell>
          <cell r="S452" t="str">
            <v>NULL</v>
          </cell>
          <cell r="T452" t="str">
            <v>normal</v>
          </cell>
          <cell r="U452" t="str">
            <v>NULL</v>
          </cell>
          <cell r="V452" t="str">
            <v>NULL</v>
          </cell>
          <cell r="W452" t="str">
            <v>NULL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  <cell r="N453" t="str">
            <v>アニマル</v>
          </cell>
          <cell r="O453" t="str">
            <v>none</v>
          </cell>
          <cell r="P453" t="str">
            <v>種族なし</v>
          </cell>
          <cell r="Q453" t="str">
            <v>アタッカー</v>
          </cell>
          <cell r="R453">
            <v>3</v>
          </cell>
          <cell r="S453" t="str">
            <v>NULL</v>
          </cell>
          <cell r="T453" t="str">
            <v>normal</v>
          </cell>
          <cell r="U453" t="str">
            <v>NULL</v>
          </cell>
          <cell r="V453" t="str">
            <v>NULL</v>
          </cell>
          <cell r="W453" t="str">
            <v>NULL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  <cell r="N454" t="str">
            <v>アニマル</v>
          </cell>
          <cell r="O454" t="str">
            <v>none</v>
          </cell>
          <cell r="P454" t="str">
            <v>種族なし</v>
          </cell>
          <cell r="Q454" t="str">
            <v>アタッカー</v>
          </cell>
          <cell r="R454">
            <v>3</v>
          </cell>
          <cell r="S454" t="str">
            <v>NULL</v>
          </cell>
          <cell r="T454" t="str">
            <v>normal</v>
          </cell>
          <cell r="U454" t="str">
            <v>NULL</v>
          </cell>
          <cell r="V454" t="str">
            <v>NULL</v>
          </cell>
          <cell r="W454" t="str">
            <v>NULL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  <cell r="N455" t="str">
            <v>ヒューマン</v>
          </cell>
          <cell r="O455" t="str">
            <v>machine</v>
          </cell>
          <cell r="P455" t="str">
            <v>マシン</v>
          </cell>
          <cell r="Q455" t="str">
            <v>アタッカー</v>
          </cell>
          <cell r="R455">
            <v>3</v>
          </cell>
          <cell r="S455" t="str">
            <v>NULL</v>
          </cell>
          <cell r="T455" t="str">
            <v>normal</v>
          </cell>
          <cell r="U455" t="str">
            <v>NULL</v>
          </cell>
          <cell r="V455" t="str">
            <v>NULL</v>
          </cell>
          <cell r="W455" t="str">
            <v>NULL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  <cell r="N456" t="str">
            <v>ヒューマン</v>
          </cell>
          <cell r="O456" t="str">
            <v>machine</v>
          </cell>
          <cell r="P456" t="str">
            <v>マシン</v>
          </cell>
          <cell r="Q456" t="str">
            <v>アタッカー</v>
          </cell>
          <cell r="R456">
            <v>3</v>
          </cell>
          <cell r="S456" t="str">
            <v>NULL</v>
          </cell>
          <cell r="T456" t="str">
            <v>normal</v>
          </cell>
          <cell r="U456" t="str">
            <v>NULL</v>
          </cell>
          <cell r="V456" t="str">
            <v>NULL</v>
          </cell>
          <cell r="W456" t="str">
            <v>NULL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  <cell r="N457" t="str">
            <v>ヒューマン</v>
          </cell>
          <cell r="O457" t="str">
            <v>none</v>
          </cell>
          <cell r="P457" t="str">
            <v>種族なし</v>
          </cell>
          <cell r="Q457" t="str">
            <v>アタッカー</v>
          </cell>
          <cell r="R457">
            <v>3</v>
          </cell>
          <cell r="S457" t="str">
            <v>NULL</v>
          </cell>
          <cell r="T457" t="str">
            <v>normal</v>
          </cell>
          <cell r="U457" t="str">
            <v>NULL</v>
          </cell>
          <cell r="V457" t="str">
            <v>NULL</v>
          </cell>
          <cell r="W457" t="str">
            <v>NULL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  <cell r="N458" t="str">
            <v>ヒューマン</v>
          </cell>
          <cell r="O458" t="str">
            <v>none</v>
          </cell>
          <cell r="P458" t="str">
            <v>種族なし</v>
          </cell>
          <cell r="Q458" t="str">
            <v>アタッカー</v>
          </cell>
          <cell r="R458">
            <v>3</v>
          </cell>
          <cell r="S458" t="str">
            <v>NULL</v>
          </cell>
          <cell r="T458" t="str">
            <v>normal</v>
          </cell>
          <cell r="U458" t="str">
            <v>NULL</v>
          </cell>
          <cell r="V458" t="str">
            <v>NULL</v>
          </cell>
          <cell r="W458" t="str">
            <v>NULL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  <cell r="N459" t="str">
            <v>ドラゴン</v>
          </cell>
          <cell r="O459" t="str">
            <v>none</v>
          </cell>
          <cell r="P459" t="str">
            <v>種族なし</v>
          </cell>
          <cell r="Q459" t="str">
            <v>アタッカー</v>
          </cell>
          <cell r="R459">
            <v>3</v>
          </cell>
          <cell r="S459" t="str">
            <v>NULL</v>
          </cell>
          <cell r="T459" t="str">
            <v>normal</v>
          </cell>
          <cell r="U459" t="str">
            <v>NULL</v>
          </cell>
          <cell r="V459" t="str">
            <v>NULL</v>
          </cell>
          <cell r="W459" t="str">
            <v>NULL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  <cell r="N460" t="str">
            <v>ドラゴン</v>
          </cell>
          <cell r="O460" t="str">
            <v>none</v>
          </cell>
          <cell r="P460" t="str">
            <v>種族なし</v>
          </cell>
          <cell r="Q460" t="str">
            <v>アタッカー</v>
          </cell>
          <cell r="R460">
            <v>3</v>
          </cell>
          <cell r="S460" t="str">
            <v>NULL</v>
          </cell>
          <cell r="T460" t="str">
            <v>normal</v>
          </cell>
          <cell r="U460" t="str">
            <v>NULL</v>
          </cell>
          <cell r="V460" t="str">
            <v>NULL</v>
          </cell>
          <cell r="W460" t="str">
            <v>NULL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  <cell r="N461" t="str">
            <v>ヒューマン</v>
          </cell>
          <cell r="O461" t="str">
            <v>none</v>
          </cell>
          <cell r="P461" t="str">
            <v>種族なし</v>
          </cell>
          <cell r="Q461" t="str">
            <v>アタッカー</v>
          </cell>
          <cell r="R461">
            <v>3</v>
          </cell>
          <cell r="S461" t="str">
            <v>NULL</v>
          </cell>
          <cell r="T461" t="str">
            <v>normal</v>
          </cell>
          <cell r="U461" t="str">
            <v>NULL</v>
          </cell>
          <cell r="V461" t="str">
            <v>NULL</v>
          </cell>
          <cell r="W461" t="str">
            <v>NULL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  <cell r="N462" t="str">
            <v>ヒューマン</v>
          </cell>
          <cell r="O462" t="str">
            <v>none</v>
          </cell>
          <cell r="P462" t="str">
            <v>種族なし</v>
          </cell>
          <cell r="Q462" t="str">
            <v>アタッカー</v>
          </cell>
          <cell r="R462">
            <v>3</v>
          </cell>
          <cell r="S462" t="str">
            <v>NULL</v>
          </cell>
          <cell r="T462" t="str">
            <v>normal</v>
          </cell>
          <cell r="U462" t="str">
            <v>NULL</v>
          </cell>
          <cell r="V462" t="str">
            <v>NULL</v>
          </cell>
          <cell r="W462" t="str">
            <v>NULL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  <cell r="N463" t="str">
            <v>ヒューマン</v>
          </cell>
          <cell r="O463" t="str">
            <v>none</v>
          </cell>
          <cell r="P463" t="str">
            <v>種族なし</v>
          </cell>
          <cell r="Q463" t="str">
            <v>アタッカー</v>
          </cell>
          <cell r="R463">
            <v>3</v>
          </cell>
          <cell r="S463" t="str">
            <v>NULL</v>
          </cell>
          <cell r="T463" t="str">
            <v>normal</v>
          </cell>
          <cell r="U463" t="str">
            <v>NULL</v>
          </cell>
          <cell r="V463" t="str">
            <v>NULL</v>
          </cell>
          <cell r="W463" t="str">
            <v>NULL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  <cell r="N464" t="str">
            <v>ヒューマン</v>
          </cell>
          <cell r="O464" t="str">
            <v>none</v>
          </cell>
          <cell r="P464" t="str">
            <v>種族なし</v>
          </cell>
          <cell r="Q464" t="str">
            <v>アタッカー</v>
          </cell>
          <cell r="R464">
            <v>3</v>
          </cell>
          <cell r="S464" t="str">
            <v>NULL</v>
          </cell>
          <cell r="T464" t="str">
            <v>normal</v>
          </cell>
          <cell r="U464" t="str">
            <v>NULL</v>
          </cell>
          <cell r="V464" t="str">
            <v>NULL</v>
          </cell>
          <cell r="W464" t="str">
            <v>NULL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  <cell r="N465" t="str">
            <v>ヒューマン</v>
          </cell>
          <cell r="O465" t="str">
            <v>none</v>
          </cell>
          <cell r="P465" t="str">
            <v>種族なし</v>
          </cell>
          <cell r="Q465" t="str">
            <v>アタッカー</v>
          </cell>
          <cell r="R465">
            <v>3</v>
          </cell>
          <cell r="S465" t="str">
            <v>NULL</v>
          </cell>
          <cell r="T465" t="str">
            <v>normal</v>
          </cell>
          <cell r="U465" t="str">
            <v>NULL</v>
          </cell>
          <cell r="V465" t="str">
            <v>NULL</v>
          </cell>
          <cell r="W465" t="str">
            <v>NULL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  <cell r="N466" t="str">
            <v>ヒューマン</v>
          </cell>
          <cell r="O466" t="str">
            <v>none</v>
          </cell>
          <cell r="P466" t="str">
            <v>種族なし</v>
          </cell>
          <cell r="Q466" t="str">
            <v>アタッカー</v>
          </cell>
          <cell r="R466">
            <v>3</v>
          </cell>
          <cell r="S466" t="str">
            <v>NULL</v>
          </cell>
          <cell r="T466" t="str">
            <v>normal</v>
          </cell>
          <cell r="U466" t="str">
            <v>NULL</v>
          </cell>
          <cell r="V466" t="str">
            <v>NULL</v>
          </cell>
          <cell r="W466" t="str">
            <v>NULL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  <cell r="N467" t="str">
            <v>ヒューマン</v>
          </cell>
          <cell r="O467" t="str">
            <v>none</v>
          </cell>
          <cell r="P467" t="str">
            <v>種族なし</v>
          </cell>
          <cell r="Q467" t="str">
            <v>アタッカー</v>
          </cell>
          <cell r="R467">
            <v>3</v>
          </cell>
          <cell r="S467" t="str">
            <v>NULL</v>
          </cell>
          <cell r="T467" t="str">
            <v>normal</v>
          </cell>
          <cell r="U467" t="str">
            <v>NULL</v>
          </cell>
          <cell r="V467" t="str">
            <v>NULL</v>
          </cell>
          <cell r="W467" t="str">
            <v>NULL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  <cell r="N468" t="str">
            <v>ヒューマン</v>
          </cell>
          <cell r="O468" t="str">
            <v>none</v>
          </cell>
          <cell r="P468" t="str">
            <v>種族なし</v>
          </cell>
          <cell r="Q468" t="str">
            <v>アタッカー</v>
          </cell>
          <cell r="R468">
            <v>3</v>
          </cell>
          <cell r="S468" t="str">
            <v>NULL</v>
          </cell>
          <cell r="T468" t="str">
            <v>normal</v>
          </cell>
          <cell r="U468" t="str">
            <v>NULL</v>
          </cell>
          <cell r="V468" t="str">
            <v>NULL</v>
          </cell>
          <cell r="W468" t="str">
            <v>NULL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  <cell r="N469" t="str">
            <v>ヒューマン</v>
          </cell>
          <cell r="O469" t="str">
            <v>none</v>
          </cell>
          <cell r="P469" t="str">
            <v>種族なし</v>
          </cell>
          <cell r="Q469" t="str">
            <v>アタッカー</v>
          </cell>
          <cell r="R469">
            <v>3</v>
          </cell>
          <cell r="S469" t="str">
            <v>NULL</v>
          </cell>
          <cell r="T469" t="str">
            <v>normal</v>
          </cell>
          <cell r="U469" t="str">
            <v>NULL</v>
          </cell>
          <cell r="V469" t="str">
            <v>NULL</v>
          </cell>
          <cell r="W469" t="str">
            <v>NULL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  <cell r="N470" t="str">
            <v>ヒューマン</v>
          </cell>
          <cell r="O470" t="str">
            <v>none</v>
          </cell>
          <cell r="P470" t="str">
            <v>種族なし</v>
          </cell>
          <cell r="Q470" t="str">
            <v>アタッカー</v>
          </cell>
          <cell r="R470">
            <v>3</v>
          </cell>
          <cell r="S470" t="str">
            <v>NULL</v>
          </cell>
          <cell r="T470" t="str">
            <v>normal</v>
          </cell>
          <cell r="U470" t="str">
            <v>NULL</v>
          </cell>
          <cell r="V470" t="str">
            <v>NULL</v>
          </cell>
          <cell r="W470" t="str">
            <v>NULL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  <cell r="N471" t="str">
            <v>ヒューマン</v>
          </cell>
          <cell r="O471" t="str">
            <v>none</v>
          </cell>
          <cell r="P471" t="str">
            <v>種族なし</v>
          </cell>
          <cell r="Q471" t="str">
            <v>アタッカー</v>
          </cell>
          <cell r="R471">
            <v>3</v>
          </cell>
          <cell r="S471" t="str">
            <v>NULL</v>
          </cell>
          <cell r="T471" t="str">
            <v>normal</v>
          </cell>
          <cell r="U471" t="str">
            <v>NULL</v>
          </cell>
          <cell r="V471" t="str">
            <v>NULL</v>
          </cell>
          <cell r="W471" t="str">
            <v>NULL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  <cell r="N472" t="str">
            <v>ヒューマン</v>
          </cell>
          <cell r="O472" t="str">
            <v>none</v>
          </cell>
          <cell r="P472" t="str">
            <v>種族なし</v>
          </cell>
          <cell r="Q472" t="str">
            <v>アタッカー</v>
          </cell>
          <cell r="R472">
            <v>3</v>
          </cell>
          <cell r="S472" t="str">
            <v>NULL</v>
          </cell>
          <cell r="T472" t="str">
            <v>normal</v>
          </cell>
          <cell r="U472" t="str">
            <v>NULL</v>
          </cell>
          <cell r="V472" t="str">
            <v>NULL</v>
          </cell>
          <cell r="W472" t="str">
            <v>NULL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  <cell r="N473" t="str">
            <v>ヒューマン</v>
          </cell>
          <cell r="O473" t="str">
            <v>none</v>
          </cell>
          <cell r="P473" t="str">
            <v>種族なし</v>
          </cell>
          <cell r="Q473" t="str">
            <v>アタッカー</v>
          </cell>
          <cell r="R473">
            <v>3</v>
          </cell>
          <cell r="S473" t="str">
            <v>NULL</v>
          </cell>
          <cell r="T473" t="str">
            <v>normal</v>
          </cell>
          <cell r="U473" t="str">
            <v>NULL</v>
          </cell>
          <cell r="V473" t="str">
            <v>NULL</v>
          </cell>
          <cell r="W473" t="str">
            <v>NULL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  <cell r="N474" t="str">
            <v>ヒューマン</v>
          </cell>
          <cell r="O474" t="str">
            <v>none</v>
          </cell>
          <cell r="P474" t="str">
            <v>種族なし</v>
          </cell>
          <cell r="Q474" t="str">
            <v>アタッカー</v>
          </cell>
          <cell r="R474">
            <v>3</v>
          </cell>
          <cell r="S474" t="str">
            <v>NULL</v>
          </cell>
          <cell r="T474" t="str">
            <v>normal</v>
          </cell>
          <cell r="U474" t="str">
            <v>NULL</v>
          </cell>
          <cell r="V474" t="str">
            <v>NULL</v>
          </cell>
          <cell r="W474" t="str">
            <v>NULL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  <cell r="N475" t="str">
            <v>ドラゴン</v>
          </cell>
          <cell r="O475" t="str">
            <v>none</v>
          </cell>
          <cell r="P475" t="str">
            <v>種族なし</v>
          </cell>
          <cell r="Q475" t="str">
            <v>アタッカー</v>
          </cell>
          <cell r="R475">
            <v>3</v>
          </cell>
          <cell r="S475" t="str">
            <v>NULL</v>
          </cell>
          <cell r="T475" t="str">
            <v>normal</v>
          </cell>
          <cell r="U475" t="str">
            <v>NULL</v>
          </cell>
          <cell r="V475" t="str">
            <v>NULL</v>
          </cell>
          <cell r="W475" t="str">
            <v>NULL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  <cell r="N476" t="str">
            <v>ドラゴン</v>
          </cell>
          <cell r="O476" t="str">
            <v>none</v>
          </cell>
          <cell r="P476" t="str">
            <v>種族なし</v>
          </cell>
          <cell r="Q476" t="str">
            <v>アタッカー</v>
          </cell>
          <cell r="R476">
            <v>3</v>
          </cell>
          <cell r="S476" t="str">
            <v>NULL</v>
          </cell>
          <cell r="T476" t="str">
            <v>normal</v>
          </cell>
          <cell r="U476" t="str">
            <v>NULL</v>
          </cell>
          <cell r="V476" t="str">
            <v>NULL</v>
          </cell>
          <cell r="W476" t="str">
            <v>NULL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  <cell r="N477" t="str">
            <v>Unknown</v>
          </cell>
          <cell r="O477" t="str">
            <v>none</v>
          </cell>
          <cell r="P477" t="str">
            <v>種族なし</v>
          </cell>
          <cell r="Q477" t="str">
            <v>アタッカー</v>
          </cell>
          <cell r="R477">
            <v>3</v>
          </cell>
          <cell r="S477" t="str">
            <v>NULL</v>
          </cell>
          <cell r="T477" t="str">
            <v>normal</v>
          </cell>
          <cell r="U477" t="str">
            <v>NULL</v>
          </cell>
          <cell r="V477" t="str">
            <v>NULL</v>
          </cell>
          <cell r="W477" t="str">
            <v>NULL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  <cell r="N478" t="str">
            <v>Unknown</v>
          </cell>
          <cell r="O478" t="str">
            <v>none</v>
          </cell>
          <cell r="P478" t="str">
            <v>種族なし</v>
          </cell>
          <cell r="Q478" t="str">
            <v>アタッカー</v>
          </cell>
          <cell r="R478">
            <v>3</v>
          </cell>
          <cell r="S478" t="str">
            <v>NULL</v>
          </cell>
          <cell r="T478" t="str">
            <v>normal</v>
          </cell>
          <cell r="U478" t="str">
            <v>NULL</v>
          </cell>
          <cell r="V478" t="str">
            <v>NULL</v>
          </cell>
          <cell r="W478" t="str">
            <v>NULL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  <cell r="N479" t="str">
            <v>Unknown</v>
          </cell>
          <cell r="O479" t="str">
            <v>none</v>
          </cell>
          <cell r="P479" t="str">
            <v>種族なし</v>
          </cell>
          <cell r="Q479" t="str">
            <v>アタッカー</v>
          </cell>
          <cell r="R479">
            <v>3</v>
          </cell>
          <cell r="S479" t="str">
            <v>NULL</v>
          </cell>
          <cell r="T479" t="str">
            <v>normal</v>
          </cell>
          <cell r="U479" t="str">
            <v>NULL</v>
          </cell>
          <cell r="V479" t="str">
            <v>NULL</v>
          </cell>
          <cell r="W479" t="str">
            <v>NULL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  <cell r="N480" t="str">
            <v>ゴッド</v>
          </cell>
          <cell r="O480" t="str">
            <v>none</v>
          </cell>
          <cell r="P480" t="str">
            <v>種族なし</v>
          </cell>
          <cell r="Q480" t="str">
            <v>アタッカー</v>
          </cell>
          <cell r="R480">
            <v>3</v>
          </cell>
          <cell r="S480" t="str">
            <v>NULL</v>
          </cell>
          <cell r="T480" t="str">
            <v>normal</v>
          </cell>
          <cell r="U480" t="str">
            <v>NULL</v>
          </cell>
          <cell r="V480" t="str">
            <v>NULL</v>
          </cell>
          <cell r="W480" t="str">
            <v>NULL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  <cell r="N481" t="str">
            <v>ゴッド</v>
          </cell>
          <cell r="O481" t="str">
            <v>none</v>
          </cell>
          <cell r="P481" t="str">
            <v>種族なし</v>
          </cell>
          <cell r="Q481" t="str">
            <v>アタッカー</v>
          </cell>
          <cell r="R481">
            <v>3</v>
          </cell>
          <cell r="S481" t="str">
            <v>NULL</v>
          </cell>
          <cell r="T481" t="str">
            <v>normal</v>
          </cell>
          <cell r="U481" t="str">
            <v>NULL</v>
          </cell>
          <cell r="V481" t="str">
            <v>NULL</v>
          </cell>
          <cell r="W481" t="str">
            <v>NULL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  <cell r="N482" t="str">
            <v>ヒューマン</v>
          </cell>
          <cell r="O482" t="str">
            <v>none</v>
          </cell>
          <cell r="P482" t="str">
            <v>種族なし</v>
          </cell>
          <cell r="Q482" t="str">
            <v>アタッカー</v>
          </cell>
          <cell r="R482">
            <v>3</v>
          </cell>
          <cell r="S482" t="str">
            <v>NULL</v>
          </cell>
          <cell r="T482" t="str">
            <v>normal</v>
          </cell>
          <cell r="U482" t="str">
            <v>NULL</v>
          </cell>
          <cell r="V482" t="str">
            <v>NULL</v>
          </cell>
          <cell r="W482" t="str">
            <v>NULL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  <cell r="N483" t="str">
            <v>ヒューマン</v>
          </cell>
          <cell r="O483" t="str">
            <v>none</v>
          </cell>
          <cell r="P483" t="str">
            <v>種族なし</v>
          </cell>
          <cell r="Q483" t="str">
            <v>アタッカー</v>
          </cell>
          <cell r="R483">
            <v>3</v>
          </cell>
          <cell r="S483" t="str">
            <v>NULL</v>
          </cell>
          <cell r="T483" t="str">
            <v>normal</v>
          </cell>
          <cell r="U483" t="str">
            <v>NULL</v>
          </cell>
          <cell r="V483" t="str">
            <v>NULL</v>
          </cell>
          <cell r="W483" t="str">
            <v>NULL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  <cell r="N484" t="str">
            <v>ヒューマン</v>
          </cell>
          <cell r="O484" t="str">
            <v>none</v>
          </cell>
          <cell r="P484" t="str">
            <v>種族なし</v>
          </cell>
          <cell r="Q484" t="str">
            <v>アタッカー</v>
          </cell>
          <cell r="R484">
            <v>3</v>
          </cell>
          <cell r="S484" t="str">
            <v>NULL</v>
          </cell>
          <cell r="T484" t="str">
            <v>normal</v>
          </cell>
          <cell r="U484" t="str">
            <v>NULL</v>
          </cell>
          <cell r="V484" t="str">
            <v>NULL</v>
          </cell>
          <cell r="W484" t="str">
            <v>NULL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  <cell r="N485" t="str">
            <v>ヒューマン</v>
          </cell>
          <cell r="O485" t="str">
            <v>none</v>
          </cell>
          <cell r="P485" t="str">
            <v>種族なし</v>
          </cell>
          <cell r="Q485" t="str">
            <v>アタッカー</v>
          </cell>
          <cell r="R485">
            <v>3</v>
          </cell>
          <cell r="S485" t="str">
            <v>NULL</v>
          </cell>
          <cell r="T485" t="str">
            <v>normal</v>
          </cell>
          <cell r="U485" t="str">
            <v>NULL</v>
          </cell>
          <cell r="V485" t="str">
            <v>NULL</v>
          </cell>
          <cell r="W485" t="str">
            <v>NULL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  <cell r="N486" t="str">
            <v>ヒューマン</v>
          </cell>
          <cell r="O486" t="str">
            <v>none</v>
          </cell>
          <cell r="P486" t="str">
            <v>種族なし</v>
          </cell>
          <cell r="Q486" t="str">
            <v>アタッカー</v>
          </cell>
          <cell r="R486">
            <v>3</v>
          </cell>
          <cell r="S486" t="str">
            <v>NULL</v>
          </cell>
          <cell r="T486" t="str">
            <v>normal</v>
          </cell>
          <cell r="U486" t="str">
            <v>NULL</v>
          </cell>
          <cell r="V486" t="str">
            <v>NULL</v>
          </cell>
          <cell r="W486" t="str">
            <v>NULL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  <cell r="N487" t="str">
            <v>アニマル</v>
          </cell>
          <cell r="O487" t="str">
            <v>none</v>
          </cell>
          <cell r="P487" t="str">
            <v>種族なし</v>
          </cell>
          <cell r="Q487" t="str">
            <v>アタッカー</v>
          </cell>
          <cell r="R487">
            <v>3</v>
          </cell>
          <cell r="S487" t="str">
            <v>NULL</v>
          </cell>
          <cell r="T487" t="str">
            <v>normal</v>
          </cell>
          <cell r="U487" t="str">
            <v>NULL</v>
          </cell>
          <cell r="V487" t="str">
            <v>NULL</v>
          </cell>
          <cell r="W487" t="str">
            <v>NULL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  <cell r="N488" t="str">
            <v>ヒューマン</v>
          </cell>
          <cell r="O488" t="str">
            <v>machine</v>
          </cell>
          <cell r="P488" t="str">
            <v>マシン</v>
          </cell>
          <cell r="Q488" t="str">
            <v>アタッカー</v>
          </cell>
          <cell r="R488">
            <v>3</v>
          </cell>
          <cell r="S488" t="str">
            <v>NULL</v>
          </cell>
          <cell r="T488" t="str">
            <v>normal</v>
          </cell>
          <cell r="U488" t="str">
            <v>NULL</v>
          </cell>
          <cell r="V488" t="str">
            <v>NULL</v>
          </cell>
          <cell r="W488" t="str">
            <v>NULL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  <cell r="N489" t="str">
            <v>ヒューマン</v>
          </cell>
          <cell r="O489" t="str">
            <v>none</v>
          </cell>
          <cell r="P489" t="str">
            <v>種族なし</v>
          </cell>
          <cell r="Q489" t="str">
            <v>アタッカー</v>
          </cell>
          <cell r="R489">
            <v>3</v>
          </cell>
          <cell r="S489" t="str">
            <v>NULL</v>
          </cell>
          <cell r="T489" t="str">
            <v>normal</v>
          </cell>
          <cell r="U489" t="str">
            <v>NULL</v>
          </cell>
          <cell r="V489" t="str">
            <v>NULL</v>
          </cell>
          <cell r="W489" t="str">
            <v>NULL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  <cell r="N490" t="str">
            <v>ヒューマン</v>
          </cell>
          <cell r="O490" t="str">
            <v>none</v>
          </cell>
          <cell r="P490" t="str">
            <v>種族なし</v>
          </cell>
          <cell r="Q490" t="str">
            <v>アタッカー</v>
          </cell>
          <cell r="R490">
            <v>3</v>
          </cell>
          <cell r="S490" t="str">
            <v>NULL</v>
          </cell>
          <cell r="T490" t="str">
            <v>normal</v>
          </cell>
          <cell r="U490" t="str">
            <v>NULL</v>
          </cell>
          <cell r="V490" t="str">
            <v>NULL</v>
          </cell>
          <cell r="W490" t="str">
            <v>NULL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  <cell r="N491" t="str">
            <v>ヒューマン</v>
          </cell>
          <cell r="O491" t="str">
            <v>unknown</v>
          </cell>
          <cell r="P491" t="str">
            <v>Unknown</v>
          </cell>
          <cell r="Q491" t="str">
            <v>アタッカー</v>
          </cell>
          <cell r="R491">
            <v>3</v>
          </cell>
          <cell r="S491" t="str">
            <v>NULL</v>
          </cell>
          <cell r="T491" t="str">
            <v>normal</v>
          </cell>
          <cell r="U491" t="str">
            <v>NULL</v>
          </cell>
          <cell r="V491" t="str">
            <v>NULL</v>
          </cell>
          <cell r="W491" t="str">
            <v>NULL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  <cell r="N492" t="str">
            <v>ヒューマン</v>
          </cell>
          <cell r="O492" t="str">
            <v>unknown</v>
          </cell>
          <cell r="P492" t="str">
            <v>Unknown</v>
          </cell>
          <cell r="Q492" t="str">
            <v>アタッカー</v>
          </cell>
          <cell r="R492">
            <v>3</v>
          </cell>
          <cell r="S492" t="str">
            <v>NULL</v>
          </cell>
          <cell r="T492" t="str">
            <v>normal</v>
          </cell>
          <cell r="U492" t="str">
            <v>NULL</v>
          </cell>
          <cell r="V492" t="str">
            <v>NULL</v>
          </cell>
          <cell r="W492" t="str">
            <v>NULL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  <cell r="N493" t="str">
            <v>アニマル</v>
          </cell>
          <cell r="O493" t="str">
            <v>machine</v>
          </cell>
          <cell r="P493" t="str">
            <v>マシン</v>
          </cell>
          <cell r="Q493" t="str">
            <v>アタッカー</v>
          </cell>
          <cell r="R493">
            <v>3</v>
          </cell>
          <cell r="S493" t="str">
            <v>NULL</v>
          </cell>
          <cell r="T493" t="str">
            <v>normal</v>
          </cell>
          <cell r="U493" t="str">
            <v>NULL</v>
          </cell>
          <cell r="V493" t="str">
            <v>NULL</v>
          </cell>
          <cell r="W493" t="str">
            <v>NULL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  <cell r="N494" t="str">
            <v>アニマル</v>
          </cell>
          <cell r="O494" t="str">
            <v>machine</v>
          </cell>
          <cell r="P494" t="str">
            <v>マシン</v>
          </cell>
          <cell r="Q494" t="str">
            <v>アタッカー</v>
          </cell>
          <cell r="R494">
            <v>3</v>
          </cell>
          <cell r="S494" t="str">
            <v>NULL</v>
          </cell>
          <cell r="T494" t="str">
            <v>normal</v>
          </cell>
          <cell r="U494" t="str">
            <v>NULL</v>
          </cell>
          <cell r="V494" t="str">
            <v>NULL</v>
          </cell>
          <cell r="W494" t="str">
            <v>NULL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  <cell r="N495" t="str">
            <v>ヒューマン</v>
          </cell>
          <cell r="O495" t="str">
            <v>none</v>
          </cell>
          <cell r="P495" t="str">
            <v>種族なし</v>
          </cell>
          <cell r="Q495" t="str">
            <v>アタッカー</v>
          </cell>
          <cell r="R495">
            <v>3</v>
          </cell>
          <cell r="S495" t="str">
            <v>NULL</v>
          </cell>
          <cell r="T495" t="str">
            <v>normal</v>
          </cell>
          <cell r="U495" t="str">
            <v>NULL</v>
          </cell>
          <cell r="V495" t="str">
            <v>NULL</v>
          </cell>
          <cell r="W495" t="str">
            <v>NULL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  <cell r="N496" t="str">
            <v>ヒューマン</v>
          </cell>
          <cell r="O496" t="str">
            <v>none</v>
          </cell>
          <cell r="P496" t="str">
            <v>種族なし</v>
          </cell>
          <cell r="Q496" t="str">
            <v>アタッカー</v>
          </cell>
          <cell r="R496">
            <v>3</v>
          </cell>
          <cell r="S496" t="str">
            <v>NULL</v>
          </cell>
          <cell r="T496" t="str">
            <v>normal</v>
          </cell>
          <cell r="U496" t="str">
            <v>NULL</v>
          </cell>
          <cell r="V496" t="str">
            <v>NULL</v>
          </cell>
          <cell r="W496" t="str">
            <v>NULL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  <cell r="N497" t="str">
            <v>ヒューマン</v>
          </cell>
          <cell r="O497" t="str">
            <v>animal</v>
          </cell>
          <cell r="P497" t="str">
            <v>アニマル</v>
          </cell>
          <cell r="Q497" t="str">
            <v>アタッカー</v>
          </cell>
          <cell r="R497">
            <v>3</v>
          </cell>
          <cell r="S497" t="str">
            <v>NULL</v>
          </cell>
          <cell r="T497" t="str">
            <v>normal</v>
          </cell>
          <cell r="U497" t="str">
            <v>NULL</v>
          </cell>
          <cell r="V497" t="str">
            <v>NULL</v>
          </cell>
          <cell r="W497" t="str">
            <v>NULL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  <cell r="N498" t="str">
            <v>ヒューマン</v>
          </cell>
          <cell r="O498" t="str">
            <v>animal</v>
          </cell>
          <cell r="P498" t="str">
            <v>アニマル</v>
          </cell>
          <cell r="Q498" t="str">
            <v>アタッカー</v>
          </cell>
          <cell r="R498">
            <v>3</v>
          </cell>
          <cell r="S498" t="str">
            <v>NULL</v>
          </cell>
          <cell r="T498" t="str">
            <v>normal</v>
          </cell>
          <cell r="U498" t="str">
            <v>NULL</v>
          </cell>
          <cell r="V498" t="str">
            <v>NULL</v>
          </cell>
          <cell r="W498" t="str">
            <v>NULL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  <cell r="N499" t="str">
            <v>ヒューマン</v>
          </cell>
          <cell r="O499" t="str">
            <v>animal</v>
          </cell>
          <cell r="P499" t="str">
            <v>アニマル</v>
          </cell>
          <cell r="Q499" t="str">
            <v>アタッカー</v>
          </cell>
          <cell r="R499">
            <v>3</v>
          </cell>
          <cell r="S499" t="str">
            <v>NULL</v>
          </cell>
          <cell r="T499" t="str">
            <v>normal</v>
          </cell>
          <cell r="U499" t="str">
            <v>NULL</v>
          </cell>
          <cell r="V499" t="str">
            <v>NULL</v>
          </cell>
          <cell r="W499" t="str">
            <v>NULL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  <cell r="N500" t="str">
            <v>ヒューマン</v>
          </cell>
          <cell r="O500" t="str">
            <v>none</v>
          </cell>
          <cell r="P500" t="str">
            <v>種族なし</v>
          </cell>
          <cell r="Q500" t="str">
            <v>アタッカー</v>
          </cell>
          <cell r="R500">
            <v>3</v>
          </cell>
          <cell r="S500" t="str">
            <v>NULL</v>
          </cell>
          <cell r="T500" t="str">
            <v>normal</v>
          </cell>
          <cell r="U500" t="str">
            <v>NULL</v>
          </cell>
          <cell r="V500" t="str">
            <v>NULL</v>
          </cell>
          <cell r="W500" t="str">
            <v>NULL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  <cell r="N501" t="str">
            <v>ヒューマン</v>
          </cell>
          <cell r="O501" t="str">
            <v>none</v>
          </cell>
          <cell r="P501" t="str">
            <v>種族なし</v>
          </cell>
          <cell r="Q501" t="str">
            <v>アタッカー</v>
          </cell>
          <cell r="R501">
            <v>3</v>
          </cell>
          <cell r="S501" t="str">
            <v>NULL</v>
          </cell>
          <cell r="T501" t="str">
            <v>normal</v>
          </cell>
          <cell r="U501" t="str">
            <v>NULL</v>
          </cell>
          <cell r="V501" t="str">
            <v>NULL</v>
          </cell>
          <cell r="W501" t="str">
            <v>NULL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  <cell r="N502" t="str">
            <v>ヒューマン</v>
          </cell>
          <cell r="O502" t="str">
            <v>none</v>
          </cell>
          <cell r="P502" t="str">
            <v>種族なし</v>
          </cell>
          <cell r="Q502" t="str">
            <v>アタッカー</v>
          </cell>
          <cell r="R502">
            <v>0</v>
          </cell>
          <cell r="S502" t="str">
            <v>NULL</v>
          </cell>
          <cell r="T502" t="str">
            <v>normal</v>
          </cell>
          <cell r="U502" t="str">
            <v>NULL</v>
          </cell>
          <cell r="V502" t="str">
            <v>NULL</v>
          </cell>
          <cell r="W502" t="str">
            <v>NULL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  <cell r="N503" t="str">
            <v>ヒューマン</v>
          </cell>
          <cell r="O503" t="str">
            <v>machine</v>
          </cell>
          <cell r="P503" t="str">
            <v>マシン</v>
          </cell>
          <cell r="Q503" t="str">
            <v>アタッカー</v>
          </cell>
          <cell r="R503">
            <v>3</v>
          </cell>
          <cell r="S503" t="str">
            <v>NULL</v>
          </cell>
          <cell r="T503" t="str">
            <v>normal</v>
          </cell>
          <cell r="U503" t="str">
            <v>NULL</v>
          </cell>
          <cell r="V503" t="str">
            <v>NULL</v>
          </cell>
          <cell r="W503" t="str">
            <v>NULL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  <cell r="N504" t="str">
            <v>ヒューマン</v>
          </cell>
          <cell r="O504" t="str">
            <v>machine</v>
          </cell>
          <cell r="P504" t="str">
            <v>マシン</v>
          </cell>
          <cell r="Q504" t="str">
            <v>アタッカー</v>
          </cell>
          <cell r="R504">
            <v>3</v>
          </cell>
          <cell r="S504" t="str">
            <v>NULL</v>
          </cell>
          <cell r="T504" t="str">
            <v>normal</v>
          </cell>
          <cell r="U504" t="str">
            <v>NULL</v>
          </cell>
          <cell r="V504" t="str">
            <v>NULL</v>
          </cell>
          <cell r="W504" t="str">
            <v>NULL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  <cell r="N505" t="str">
            <v>アニマル</v>
          </cell>
          <cell r="O505" t="str">
            <v>unknown</v>
          </cell>
          <cell r="P505" t="str">
            <v>Unknown</v>
          </cell>
          <cell r="Q505" t="str">
            <v>アタッカー</v>
          </cell>
          <cell r="R505">
            <v>3</v>
          </cell>
          <cell r="S505" t="str">
            <v>NULL</v>
          </cell>
          <cell r="T505" t="str">
            <v>normal</v>
          </cell>
          <cell r="U505" t="str">
            <v>NULL</v>
          </cell>
          <cell r="V505" t="str">
            <v>NULL</v>
          </cell>
          <cell r="W505" t="str">
            <v>NULL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  <cell r="N506" t="str">
            <v>アニマル</v>
          </cell>
          <cell r="O506" t="str">
            <v>unknown</v>
          </cell>
          <cell r="P506" t="str">
            <v>Unknown</v>
          </cell>
          <cell r="Q506" t="str">
            <v>アタッカー</v>
          </cell>
          <cell r="R506">
            <v>3</v>
          </cell>
          <cell r="S506" t="str">
            <v>NULL</v>
          </cell>
          <cell r="T506" t="str">
            <v>normal</v>
          </cell>
          <cell r="U506" t="str">
            <v>NULL</v>
          </cell>
          <cell r="V506" t="str">
            <v>NULL</v>
          </cell>
          <cell r="W506" t="str">
            <v>NULL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  <cell r="N507" t="str">
            <v>ヒューマン</v>
          </cell>
          <cell r="O507" t="str">
            <v>machine</v>
          </cell>
          <cell r="P507" t="str">
            <v>マシン</v>
          </cell>
          <cell r="Q507" t="str">
            <v>アタッカー</v>
          </cell>
          <cell r="R507">
            <v>3</v>
          </cell>
          <cell r="S507" t="str">
            <v>NULL</v>
          </cell>
          <cell r="T507" t="str">
            <v>normal</v>
          </cell>
          <cell r="U507" t="str">
            <v>NULL</v>
          </cell>
          <cell r="V507" t="str">
            <v>NULL</v>
          </cell>
          <cell r="W507" t="str">
            <v>NULL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  <cell r="N508" t="str">
            <v>ヒューマン</v>
          </cell>
          <cell r="O508" t="str">
            <v>machine</v>
          </cell>
          <cell r="P508" t="str">
            <v>マシン</v>
          </cell>
          <cell r="Q508" t="str">
            <v>アタッカー</v>
          </cell>
          <cell r="R508">
            <v>3</v>
          </cell>
          <cell r="S508" t="str">
            <v>NULL</v>
          </cell>
          <cell r="T508" t="str">
            <v>normal</v>
          </cell>
          <cell r="U508" t="str">
            <v>NULL</v>
          </cell>
          <cell r="V508" t="str">
            <v>NULL</v>
          </cell>
          <cell r="W508" t="str">
            <v>NULL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  <cell r="N509" t="str">
            <v>Unknown</v>
          </cell>
          <cell r="O509" t="str">
            <v>none</v>
          </cell>
          <cell r="P509" t="str">
            <v>種族なし</v>
          </cell>
          <cell r="Q509" t="str">
            <v>アタッカー</v>
          </cell>
          <cell r="R509">
            <v>3</v>
          </cell>
          <cell r="S509" t="str">
            <v>NULL</v>
          </cell>
          <cell r="T509" t="str">
            <v>normal</v>
          </cell>
          <cell r="U509" t="str">
            <v>NULL</v>
          </cell>
          <cell r="V509" t="str">
            <v>NULL</v>
          </cell>
          <cell r="W509" t="str">
            <v>NULL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  <cell r="N510" t="str">
            <v>Unknown</v>
          </cell>
          <cell r="O510" t="str">
            <v>none</v>
          </cell>
          <cell r="P510" t="str">
            <v>種族なし</v>
          </cell>
          <cell r="Q510" t="str">
            <v>アタッカー</v>
          </cell>
          <cell r="R510">
            <v>3</v>
          </cell>
          <cell r="S510" t="str">
            <v>NULL</v>
          </cell>
          <cell r="T510" t="str">
            <v>normal</v>
          </cell>
          <cell r="U510" t="str">
            <v>NULL</v>
          </cell>
          <cell r="V510" t="str">
            <v>NULL</v>
          </cell>
          <cell r="W510" t="str">
            <v>NULL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  <cell r="N511" t="str">
            <v>ドラゴン</v>
          </cell>
          <cell r="O511" t="str">
            <v>none</v>
          </cell>
          <cell r="P511" t="str">
            <v>種族なし</v>
          </cell>
          <cell r="Q511" t="str">
            <v>アタッカー</v>
          </cell>
          <cell r="R511">
            <v>3</v>
          </cell>
          <cell r="S511" t="str">
            <v>NULL</v>
          </cell>
          <cell r="T511" t="str">
            <v>normal</v>
          </cell>
          <cell r="U511" t="str">
            <v>NULL</v>
          </cell>
          <cell r="V511" t="str">
            <v>NULL</v>
          </cell>
          <cell r="W511" t="str">
            <v>NULL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  <cell r="N512" t="str">
            <v>ドラゴン</v>
          </cell>
          <cell r="O512" t="str">
            <v>none</v>
          </cell>
          <cell r="P512" t="str">
            <v>種族なし</v>
          </cell>
          <cell r="Q512" t="str">
            <v>アタッカー</v>
          </cell>
          <cell r="R512">
            <v>3</v>
          </cell>
          <cell r="S512" t="str">
            <v>NULL</v>
          </cell>
          <cell r="T512" t="str">
            <v>normal</v>
          </cell>
          <cell r="U512" t="str">
            <v>NULL</v>
          </cell>
          <cell r="V512" t="str">
            <v>NULL</v>
          </cell>
          <cell r="W512" t="str">
            <v>NULL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  <cell r="N513" t="str">
            <v>ゴッド</v>
          </cell>
          <cell r="O513" t="str">
            <v>none</v>
          </cell>
          <cell r="P513" t="str">
            <v>種族なし</v>
          </cell>
          <cell r="Q513" t="str">
            <v>アタッカー</v>
          </cell>
          <cell r="R513">
            <v>3</v>
          </cell>
          <cell r="S513" t="str">
            <v>NULL</v>
          </cell>
          <cell r="T513" t="str">
            <v>normal</v>
          </cell>
          <cell r="U513" t="str">
            <v>NULL</v>
          </cell>
          <cell r="V513" t="str">
            <v>NULL</v>
          </cell>
          <cell r="W513" t="str">
            <v>NULL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  <cell r="N514" t="str">
            <v>ゴッド</v>
          </cell>
          <cell r="O514" t="str">
            <v>none</v>
          </cell>
          <cell r="P514" t="str">
            <v>種族なし</v>
          </cell>
          <cell r="Q514" t="str">
            <v>アタッカー</v>
          </cell>
          <cell r="R514">
            <v>3</v>
          </cell>
          <cell r="S514" t="str">
            <v>NULL</v>
          </cell>
          <cell r="T514" t="str">
            <v>normal</v>
          </cell>
          <cell r="U514" t="str">
            <v>NULL</v>
          </cell>
          <cell r="V514" t="str">
            <v>NULL</v>
          </cell>
          <cell r="W514" t="str">
            <v>NULL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  <cell r="N515" t="str">
            <v>ゴッド</v>
          </cell>
          <cell r="O515" t="str">
            <v>none</v>
          </cell>
          <cell r="P515" t="str">
            <v>種族なし</v>
          </cell>
          <cell r="Q515" t="str">
            <v>アタッカー</v>
          </cell>
          <cell r="R515">
            <v>3</v>
          </cell>
          <cell r="S515" t="str">
            <v>NULL</v>
          </cell>
          <cell r="T515" t="str">
            <v>normal</v>
          </cell>
          <cell r="U515" t="str">
            <v>NULL</v>
          </cell>
          <cell r="V515" t="str">
            <v>NULL</v>
          </cell>
          <cell r="W515" t="str">
            <v>NULL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  <cell r="N516" t="str">
            <v>ゴッド</v>
          </cell>
          <cell r="O516" t="str">
            <v>none</v>
          </cell>
          <cell r="P516" t="str">
            <v>種族なし</v>
          </cell>
          <cell r="Q516" t="str">
            <v>アタッカー</v>
          </cell>
          <cell r="R516">
            <v>3</v>
          </cell>
          <cell r="S516" t="str">
            <v>NULL</v>
          </cell>
          <cell r="T516" t="str">
            <v>normal</v>
          </cell>
          <cell r="U516" t="str">
            <v>NULL</v>
          </cell>
          <cell r="V516" t="str">
            <v>NULL</v>
          </cell>
          <cell r="W516" t="str">
            <v>NULL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  <cell r="N517" t="str">
            <v>ヒューマン</v>
          </cell>
          <cell r="O517" t="str">
            <v>none</v>
          </cell>
          <cell r="P517" t="str">
            <v>種族なし</v>
          </cell>
          <cell r="Q517" t="str">
            <v>アタッカー</v>
          </cell>
          <cell r="R517">
            <v>3</v>
          </cell>
          <cell r="S517" t="str">
            <v>NULL</v>
          </cell>
          <cell r="T517" t="str">
            <v>normal</v>
          </cell>
          <cell r="U517" t="str">
            <v>NULL</v>
          </cell>
          <cell r="V517" t="str">
            <v>NULL</v>
          </cell>
          <cell r="W517" t="str">
            <v>NULL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  <cell r="N518" t="str">
            <v>ヒューマン</v>
          </cell>
          <cell r="O518" t="str">
            <v>none</v>
          </cell>
          <cell r="P518" t="str">
            <v>種族なし</v>
          </cell>
          <cell r="Q518" t="str">
            <v>アタッカー</v>
          </cell>
          <cell r="R518">
            <v>3</v>
          </cell>
          <cell r="S518" t="str">
            <v>NULL</v>
          </cell>
          <cell r="T518" t="str">
            <v>normal</v>
          </cell>
          <cell r="U518" t="str">
            <v>NULL</v>
          </cell>
          <cell r="V518" t="str">
            <v>NULL</v>
          </cell>
          <cell r="W518" t="str">
            <v>NULL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  <cell r="N519" t="str">
            <v>ゴッド</v>
          </cell>
          <cell r="O519" t="str">
            <v>machine</v>
          </cell>
          <cell r="P519" t="str">
            <v>マシン</v>
          </cell>
          <cell r="Q519" t="str">
            <v>アタッカー</v>
          </cell>
          <cell r="R519">
            <v>3</v>
          </cell>
          <cell r="S519" t="str">
            <v>NULL</v>
          </cell>
          <cell r="T519" t="str">
            <v>normal</v>
          </cell>
          <cell r="U519" t="str">
            <v>NULL</v>
          </cell>
          <cell r="V519" t="str">
            <v>NULL</v>
          </cell>
          <cell r="W519" t="str">
            <v>NULL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  <cell r="N520" t="str">
            <v>ゴッド</v>
          </cell>
          <cell r="O520" t="str">
            <v>machine</v>
          </cell>
          <cell r="P520" t="str">
            <v>マシン</v>
          </cell>
          <cell r="Q520" t="str">
            <v>アタッカー</v>
          </cell>
          <cell r="R520">
            <v>3</v>
          </cell>
          <cell r="S520" t="str">
            <v>NULL</v>
          </cell>
          <cell r="T520" t="str">
            <v>normal</v>
          </cell>
          <cell r="U520" t="str">
            <v>NULL</v>
          </cell>
          <cell r="V520" t="str">
            <v>NULL</v>
          </cell>
          <cell r="W520" t="str">
            <v>NULL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  <cell r="N521" t="str">
            <v>Unknown</v>
          </cell>
          <cell r="O521" t="str">
            <v>none</v>
          </cell>
          <cell r="P521" t="str">
            <v>種族なし</v>
          </cell>
          <cell r="Q521" t="str">
            <v>アタッカー</v>
          </cell>
          <cell r="R521">
            <v>3</v>
          </cell>
          <cell r="S521" t="str">
            <v>NULL</v>
          </cell>
          <cell r="T521" t="str">
            <v>normal</v>
          </cell>
          <cell r="U521" t="str">
            <v>NULL</v>
          </cell>
          <cell r="V521" t="str">
            <v>NULL</v>
          </cell>
          <cell r="W521" t="str">
            <v>NULL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  <cell r="N522" t="str">
            <v>Unknown</v>
          </cell>
          <cell r="O522" t="str">
            <v>none</v>
          </cell>
          <cell r="P522" t="str">
            <v>種族なし</v>
          </cell>
          <cell r="Q522" t="str">
            <v>アタッカー</v>
          </cell>
          <cell r="R522">
            <v>3</v>
          </cell>
          <cell r="S522" t="str">
            <v>NULL</v>
          </cell>
          <cell r="T522" t="str">
            <v>normal</v>
          </cell>
          <cell r="U522" t="str">
            <v>NULL</v>
          </cell>
          <cell r="V522" t="str">
            <v>NULL</v>
          </cell>
          <cell r="W522" t="str">
            <v>NULL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  <cell r="N523" t="str">
            <v>Unknown</v>
          </cell>
          <cell r="O523" t="str">
            <v>none</v>
          </cell>
          <cell r="P523" t="str">
            <v>種族なし</v>
          </cell>
          <cell r="Q523" t="str">
            <v>アタッカー</v>
          </cell>
          <cell r="R523">
            <v>3</v>
          </cell>
          <cell r="S523" t="str">
            <v>NULL</v>
          </cell>
          <cell r="T523" t="str">
            <v>normal</v>
          </cell>
          <cell r="U523" t="str">
            <v>NULL</v>
          </cell>
          <cell r="V523" t="str">
            <v>NULL</v>
          </cell>
          <cell r="W523" t="str">
            <v>NULL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  <cell r="N524" t="str">
            <v>Unknown</v>
          </cell>
          <cell r="O524" t="str">
            <v>none</v>
          </cell>
          <cell r="P524" t="str">
            <v>種族なし</v>
          </cell>
          <cell r="Q524" t="str">
            <v>アタッカー</v>
          </cell>
          <cell r="R524">
            <v>3</v>
          </cell>
          <cell r="S524" t="str">
            <v>NULL</v>
          </cell>
          <cell r="T524" t="str">
            <v>normal</v>
          </cell>
          <cell r="U524" t="str">
            <v>NULL</v>
          </cell>
          <cell r="V524" t="str">
            <v>NULL</v>
          </cell>
          <cell r="W524" t="str">
            <v>NULL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  <cell r="N525" t="str">
            <v>Unknown</v>
          </cell>
          <cell r="O525" t="str">
            <v>none</v>
          </cell>
          <cell r="P525" t="str">
            <v>種族なし</v>
          </cell>
          <cell r="Q525" t="str">
            <v>アタッカー</v>
          </cell>
          <cell r="R525">
            <v>3</v>
          </cell>
          <cell r="S525" t="str">
            <v>NULL</v>
          </cell>
          <cell r="T525" t="str">
            <v>normal</v>
          </cell>
          <cell r="U525" t="str">
            <v>NULL</v>
          </cell>
          <cell r="V525" t="str">
            <v>NULL</v>
          </cell>
          <cell r="W525" t="str">
            <v>NULL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  <cell r="N526" t="str">
            <v>Unknown</v>
          </cell>
          <cell r="O526" t="str">
            <v>none</v>
          </cell>
          <cell r="P526" t="str">
            <v>種族なし</v>
          </cell>
          <cell r="Q526" t="str">
            <v>アタッカー</v>
          </cell>
          <cell r="R526">
            <v>3</v>
          </cell>
          <cell r="S526" t="str">
            <v>NULL</v>
          </cell>
          <cell r="T526" t="str">
            <v>normal</v>
          </cell>
          <cell r="U526" t="str">
            <v>NULL</v>
          </cell>
          <cell r="V526" t="str">
            <v>NULL</v>
          </cell>
          <cell r="W526" t="str">
            <v>NULL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  <cell r="N527" t="str">
            <v>Unknown</v>
          </cell>
          <cell r="O527" t="str">
            <v>none</v>
          </cell>
          <cell r="P527" t="str">
            <v>種族なし</v>
          </cell>
          <cell r="Q527" t="str">
            <v>アタッカー</v>
          </cell>
          <cell r="R527">
            <v>3</v>
          </cell>
          <cell r="S527" t="str">
            <v>NULL</v>
          </cell>
          <cell r="T527" t="str">
            <v>normal</v>
          </cell>
          <cell r="U527" t="str">
            <v>NULL</v>
          </cell>
          <cell r="V527" t="str">
            <v>NULL</v>
          </cell>
          <cell r="W527" t="str">
            <v>NULL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  <cell r="N528" t="str">
            <v>Unknown</v>
          </cell>
          <cell r="O528" t="str">
            <v>none</v>
          </cell>
          <cell r="P528" t="str">
            <v>種族なし</v>
          </cell>
          <cell r="Q528" t="str">
            <v>アタッカー</v>
          </cell>
          <cell r="R528">
            <v>3</v>
          </cell>
          <cell r="S528" t="str">
            <v>NULL</v>
          </cell>
          <cell r="T528" t="str">
            <v>normal</v>
          </cell>
          <cell r="U528" t="str">
            <v>NULL</v>
          </cell>
          <cell r="V528" t="str">
            <v>NULL</v>
          </cell>
          <cell r="W528" t="str">
            <v>NULL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  <cell r="N529" t="str">
            <v>Unknown</v>
          </cell>
          <cell r="O529" t="str">
            <v>none</v>
          </cell>
          <cell r="P529" t="str">
            <v>種族なし</v>
          </cell>
          <cell r="Q529" t="str">
            <v>アタッカー</v>
          </cell>
          <cell r="R529">
            <v>3</v>
          </cell>
          <cell r="S529" t="str">
            <v>NULL</v>
          </cell>
          <cell r="T529" t="str">
            <v>normal</v>
          </cell>
          <cell r="U529" t="str">
            <v>NULL</v>
          </cell>
          <cell r="V529" t="str">
            <v>NULL</v>
          </cell>
          <cell r="W529" t="str">
            <v>NULL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  <cell r="N530" t="str">
            <v>Unknown</v>
          </cell>
          <cell r="O530" t="str">
            <v>none</v>
          </cell>
          <cell r="P530" t="str">
            <v>種族なし</v>
          </cell>
          <cell r="Q530" t="str">
            <v>アタッカー</v>
          </cell>
          <cell r="R530">
            <v>3</v>
          </cell>
          <cell r="S530" t="str">
            <v>NULL</v>
          </cell>
          <cell r="T530" t="str">
            <v>normal</v>
          </cell>
          <cell r="U530" t="str">
            <v>NULL</v>
          </cell>
          <cell r="V530" t="str">
            <v>NULL</v>
          </cell>
          <cell r="W530" t="str">
            <v>NULL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  <cell r="N531" t="str">
            <v>Unknown</v>
          </cell>
          <cell r="O531" t="str">
            <v>none</v>
          </cell>
          <cell r="P531" t="str">
            <v>種族なし</v>
          </cell>
          <cell r="Q531" t="str">
            <v>アタッカー</v>
          </cell>
          <cell r="R531">
            <v>3</v>
          </cell>
          <cell r="S531" t="str">
            <v>NULL</v>
          </cell>
          <cell r="T531" t="str">
            <v>normal</v>
          </cell>
          <cell r="U531" t="str">
            <v>NULL</v>
          </cell>
          <cell r="V531" t="str">
            <v>NULL</v>
          </cell>
          <cell r="W531" t="str">
            <v>NULL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  <cell r="N532" t="str">
            <v>Unknown</v>
          </cell>
          <cell r="O532" t="str">
            <v>none</v>
          </cell>
          <cell r="P532" t="str">
            <v>種族なし</v>
          </cell>
          <cell r="Q532" t="str">
            <v>アタッカー</v>
          </cell>
          <cell r="R532">
            <v>3</v>
          </cell>
          <cell r="S532" t="str">
            <v>NULL</v>
          </cell>
          <cell r="T532" t="str">
            <v>normal</v>
          </cell>
          <cell r="U532" t="str">
            <v>NULL</v>
          </cell>
          <cell r="V532" t="str">
            <v>NULL</v>
          </cell>
          <cell r="W532" t="str">
            <v>NULL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  <cell r="N533" t="str">
            <v>Unknown</v>
          </cell>
          <cell r="O533" t="str">
            <v>none</v>
          </cell>
          <cell r="P533" t="str">
            <v>種族なし</v>
          </cell>
          <cell r="Q533" t="str">
            <v>アタッカー</v>
          </cell>
          <cell r="R533">
            <v>3</v>
          </cell>
          <cell r="S533" t="str">
            <v>NULL</v>
          </cell>
          <cell r="T533" t="str">
            <v>normal</v>
          </cell>
          <cell r="U533" t="str">
            <v>NULL</v>
          </cell>
          <cell r="V533" t="str">
            <v>NULL</v>
          </cell>
          <cell r="W533" t="str">
            <v>NULL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  <cell r="N534" t="str">
            <v>ヒューマン</v>
          </cell>
          <cell r="O534" t="str">
            <v>none</v>
          </cell>
          <cell r="P534" t="str">
            <v>種族なし</v>
          </cell>
          <cell r="Q534" t="str">
            <v>アタッカー</v>
          </cell>
          <cell r="R534">
            <v>3</v>
          </cell>
          <cell r="S534" t="str">
            <v>NULL</v>
          </cell>
          <cell r="T534" t="str">
            <v>normal</v>
          </cell>
          <cell r="U534" t="str">
            <v>NULL</v>
          </cell>
          <cell r="V534" t="str">
            <v>NULL</v>
          </cell>
          <cell r="W534" t="str">
            <v>NULL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  <cell r="N535" t="str">
            <v>マシン</v>
          </cell>
          <cell r="O535" t="str">
            <v>none</v>
          </cell>
          <cell r="P535" t="str">
            <v>種族なし</v>
          </cell>
          <cell r="Q535" t="str">
            <v>アタッカー</v>
          </cell>
          <cell r="R535">
            <v>3</v>
          </cell>
          <cell r="S535" t="str">
            <v>NULL</v>
          </cell>
          <cell r="T535" t="str">
            <v>normal</v>
          </cell>
          <cell r="U535" t="str">
            <v>NULL</v>
          </cell>
          <cell r="V535" t="str">
            <v>NULL</v>
          </cell>
          <cell r="W535" t="str">
            <v>NULL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  <cell r="N536" t="str">
            <v>ヒューマン</v>
          </cell>
          <cell r="O536" t="str">
            <v>machine</v>
          </cell>
          <cell r="P536" t="str">
            <v>マシン</v>
          </cell>
          <cell r="Q536" t="str">
            <v>アタッカー</v>
          </cell>
          <cell r="R536">
            <v>3</v>
          </cell>
          <cell r="S536" t="str">
            <v>NULL</v>
          </cell>
          <cell r="T536" t="str">
            <v>normal</v>
          </cell>
          <cell r="U536" t="str">
            <v>NULL</v>
          </cell>
          <cell r="V536" t="str">
            <v>NULL</v>
          </cell>
          <cell r="W536" t="str">
            <v>NULL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  <cell r="N537" t="str">
            <v>アニマル</v>
          </cell>
          <cell r="O537" t="str">
            <v>none</v>
          </cell>
          <cell r="P537" t="str">
            <v>種族なし</v>
          </cell>
          <cell r="Q537" t="str">
            <v>アタッカー</v>
          </cell>
          <cell r="R537">
            <v>3</v>
          </cell>
          <cell r="S537" t="str">
            <v>NULL</v>
          </cell>
          <cell r="T537" t="str">
            <v>normal</v>
          </cell>
          <cell r="U537" t="str">
            <v>NULL</v>
          </cell>
          <cell r="V537" t="str">
            <v>NULL</v>
          </cell>
          <cell r="W537" t="str">
            <v>NULL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  <cell r="N538" t="str">
            <v>Unknown</v>
          </cell>
          <cell r="O538" t="str">
            <v>none</v>
          </cell>
          <cell r="P538" t="str">
            <v>種族なし</v>
          </cell>
          <cell r="Q538" t="str">
            <v>アタッカー</v>
          </cell>
          <cell r="R538">
            <v>3</v>
          </cell>
          <cell r="S538" t="str">
            <v>NULL</v>
          </cell>
          <cell r="T538" t="str">
            <v>normal</v>
          </cell>
          <cell r="U538" t="str">
            <v>NULL</v>
          </cell>
          <cell r="V538" t="str">
            <v>NULL</v>
          </cell>
          <cell r="W538" t="str">
            <v>NULL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  <cell r="N539" t="str">
            <v>Unknown</v>
          </cell>
          <cell r="O539" t="str">
            <v>none</v>
          </cell>
          <cell r="P539" t="str">
            <v>種族なし</v>
          </cell>
          <cell r="Q539" t="str">
            <v>アタッカー</v>
          </cell>
          <cell r="R539">
            <v>3</v>
          </cell>
          <cell r="S539" t="str">
            <v>NULL</v>
          </cell>
          <cell r="T539" t="str">
            <v>normal</v>
          </cell>
          <cell r="U539" t="str">
            <v>NULL</v>
          </cell>
          <cell r="V539" t="str">
            <v>NULL</v>
          </cell>
          <cell r="W539" t="str">
            <v>NULL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  <cell r="N540" t="str">
            <v>Unknown</v>
          </cell>
          <cell r="O540" t="str">
            <v>none</v>
          </cell>
          <cell r="P540" t="str">
            <v>種族なし</v>
          </cell>
          <cell r="Q540" t="str">
            <v>アタッカー</v>
          </cell>
          <cell r="R540">
            <v>3</v>
          </cell>
          <cell r="S540" t="str">
            <v>NULL</v>
          </cell>
          <cell r="T540" t="str">
            <v>normal</v>
          </cell>
          <cell r="U540" t="str">
            <v>NULL</v>
          </cell>
          <cell r="V540" t="str">
            <v>NULL</v>
          </cell>
          <cell r="W540" t="str">
            <v>NULL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  <cell r="N541" t="str">
            <v>Unknown</v>
          </cell>
          <cell r="O541" t="str">
            <v>none</v>
          </cell>
          <cell r="P541" t="str">
            <v>種族なし</v>
          </cell>
          <cell r="Q541" t="str">
            <v>アタッカー</v>
          </cell>
          <cell r="R541">
            <v>3</v>
          </cell>
          <cell r="S541" t="str">
            <v>NULL</v>
          </cell>
          <cell r="T541" t="str">
            <v>normal</v>
          </cell>
          <cell r="U541" t="str">
            <v>NULL</v>
          </cell>
          <cell r="V541" t="str">
            <v>NULL</v>
          </cell>
          <cell r="W541" t="str">
            <v>NULL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  <cell r="N542" t="str">
            <v>Unknown</v>
          </cell>
          <cell r="O542" t="str">
            <v>none</v>
          </cell>
          <cell r="P542" t="str">
            <v>種族なし</v>
          </cell>
          <cell r="Q542" t="str">
            <v>アタッカー</v>
          </cell>
          <cell r="R542">
            <v>3</v>
          </cell>
          <cell r="S542" t="str">
            <v>NULL</v>
          </cell>
          <cell r="T542" t="str">
            <v>normal</v>
          </cell>
          <cell r="U542" t="str">
            <v>NULL</v>
          </cell>
          <cell r="V542" t="str">
            <v>NULL</v>
          </cell>
          <cell r="W542" t="str">
            <v>NULL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  <cell r="N543" t="str">
            <v>Unknown</v>
          </cell>
          <cell r="O543" t="str">
            <v>none</v>
          </cell>
          <cell r="P543" t="str">
            <v>種族なし</v>
          </cell>
          <cell r="Q543" t="str">
            <v>アタッカー</v>
          </cell>
          <cell r="R543">
            <v>3</v>
          </cell>
          <cell r="S543" t="str">
            <v>NULL</v>
          </cell>
          <cell r="T543" t="str">
            <v>normal</v>
          </cell>
          <cell r="U543" t="str">
            <v>NULL</v>
          </cell>
          <cell r="V543" t="str">
            <v>NULL</v>
          </cell>
          <cell r="W543" t="str">
            <v>NULL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  <cell r="N544" t="str">
            <v>Unknown</v>
          </cell>
          <cell r="O544" t="str">
            <v>none</v>
          </cell>
          <cell r="P544" t="str">
            <v>種族なし</v>
          </cell>
          <cell r="Q544" t="str">
            <v>アタッカー</v>
          </cell>
          <cell r="R544">
            <v>3</v>
          </cell>
          <cell r="S544" t="str">
            <v>NULL</v>
          </cell>
          <cell r="T544" t="str">
            <v>normal</v>
          </cell>
          <cell r="U544" t="str">
            <v>NULL</v>
          </cell>
          <cell r="V544" t="str">
            <v>NULL</v>
          </cell>
          <cell r="W544" t="str">
            <v>NULL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  <cell r="N545" t="str">
            <v>Unknown</v>
          </cell>
          <cell r="O545" t="str">
            <v>none</v>
          </cell>
          <cell r="P545" t="str">
            <v>種族なし</v>
          </cell>
          <cell r="Q545" t="str">
            <v>アタッカー</v>
          </cell>
          <cell r="R545">
            <v>3</v>
          </cell>
          <cell r="S545" t="str">
            <v>NULL</v>
          </cell>
          <cell r="T545" t="str">
            <v>normal</v>
          </cell>
          <cell r="U545" t="str">
            <v>NULL</v>
          </cell>
          <cell r="V545" t="str">
            <v>NULL</v>
          </cell>
          <cell r="W545" t="str">
            <v>NULL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  <cell r="N546" t="str">
            <v>Unknown</v>
          </cell>
          <cell r="O546" t="str">
            <v>none</v>
          </cell>
          <cell r="P546" t="str">
            <v>種族なし</v>
          </cell>
          <cell r="Q546" t="str">
            <v>アタッカー</v>
          </cell>
          <cell r="R546">
            <v>3</v>
          </cell>
          <cell r="S546" t="str">
            <v>NULL</v>
          </cell>
          <cell r="T546" t="str">
            <v>normal</v>
          </cell>
          <cell r="U546" t="str">
            <v>NULL</v>
          </cell>
          <cell r="V546" t="str">
            <v>NULL</v>
          </cell>
          <cell r="W546" t="str">
            <v>NULL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  <cell r="N547" t="str">
            <v>Unknown</v>
          </cell>
          <cell r="O547" t="str">
            <v>none</v>
          </cell>
          <cell r="P547" t="str">
            <v>種族なし</v>
          </cell>
          <cell r="Q547" t="str">
            <v>アタッカー</v>
          </cell>
          <cell r="R547">
            <v>3</v>
          </cell>
          <cell r="S547" t="str">
            <v>NULL</v>
          </cell>
          <cell r="T547" t="str">
            <v>normal</v>
          </cell>
          <cell r="U547" t="str">
            <v>NULL</v>
          </cell>
          <cell r="V547" t="str">
            <v>NULL</v>
          </cell>
          <cell r="W547" t="str">
            <v>NULL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  <cell r="N548" t="str">
            <v>Unknown</v>
          </cell>
          <cell r="O548" t="str">
            <v>none</v>
          </cell>
          <cell r="P548" t="str">
            <v>種族なし</v>
          </cell>
          <cell r="Q548" t="str">
            <v>アタッカー</v>
          </cell>
          <cell r="R548">
            <v>3</v>
          </cell>
          <cell r="S548" t="str">
            <v>NULL</v>
          </cell>
          <cell r="T548" t="str">
            <v>normal</v>
          </cell>
          <cell r="U548" t="str">
            <v>NULL</v>
          </cell>
          <cell r="V548" t="str">
            <v>NULL</v>
          </cell>
          <cell r="W548" t="str">
            <v>NULL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  <cell r="N549" t="str">
            <v>Unknown</v>
          </cell>
          <cell r="O549" t="str">
            <v>none</v>
          </cell>
          <cell r="P549" t="str">
            <v>種族なし</v>
          </cell>
          <cell r="Q549" t="str">
            <v>アタッカー</v>
          </cell>
          <cell r="R549">
            <v>3</v>
          </cell>
          <cell r="S549" t="str">
            <v>NULL</v>
          </cell>
          <cell r="T549" t="str">
            <v>normal</v>
          </cell>
          <cell r="U549" t="str">
            <v>NULL</v>
          </cell>
          <cell r="V549" t="str">
            <v>NULL</v>
          </cell>
          <cell r="W549" t="str">
            <v>NULL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  <cell r="N550" t="str">
            <v>Unknown</v>
          </cell>
          <cell r="O550" t="str">
            <v>none</v>
          </cell>
          <cell r="P550" t="str">
            <v>種族なし</v>
          </cell>
          <cell r="Q550" t="str">
            <v>アタッカー</v>
          </cell>
          <cell r="R550">
            <v>3</v>
          </cell>
          <cell r="S550" t="str">
            <v>NULL</v>
          </cell>
          <cell r="T550" t="str">
            <v>normal</v>
          </cell>
          <cell r="U550" t="str">
            <v>NULL</v>
          </cell>
          <cell r="V550" t="str">
            <v>NULL</v>
          </cell>
          <cell r="W550" t="str">
            <v>NULL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  <cell r="N551" t="str">
            <v>Unknown</v>
          </cell>
          <cell r="O551" t="str">
            <v>none</v>
          </cell>
          <cell r="P551" t="str">
            <v>種族なし</v>
          </cell>
          <cell r="Q551" t="str">
            <v>アタッカー</v>
          </cell>
          <cell r="R551">
            <v>3</v>
          </cell>
          <cell r="S551" t="str">
            <v>NULL</v>
          </cell>
          <cell r="T551" t="str">
            <v>normal</v>
          </cell>
          <cell r="U551" t="str">
            <v>NULL</v>
          </cell>
          <cell r="V551" t="str">
            <v>NULL</v>
          </cell>
          <cell r="W551" t="str">
            <v>NULL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  <cell r="N552" t="str">
            <v>Unknown</v>
          </cell>
          <cell r="O552" t="str">
            <v>none</v>
          </cell>
          <cell r="P552" t="str">
            <v>種族なし</v>
          </cell>
          <cell r="Q552" t="str">
            <v>アタッカー</v>
          </cell>
          <cell r="R552">
            <v>3</v>
          </cell>
          <cell r="S552" t="str">
            <v>NULL</v>
          </cell>
          <cell r="T552" t="str">
            <v>normal</v>
          </cell>
          <cell r="U552" t="str">
            <v>NULL</v>
          </cell>
          <cell r="V552" t="str">
            <v>NULL</v>
          </cell>
          <cell r="W552" t="str">
            <v>NULL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  <cell r="N553" t="str">
            <v>Unknown</v>
          </cell>
          <cell r="O553" t="str">
            <v>none</v>
          </cell>
          <cell r="P553" t="str">
            <v>種族なし</v>
          </cell>
          <cell r="Q553" t="str">
            <v>アタッカー</v>
          </cell>
          <cell r="R553">
            <v>3</v>
          </cell>
          <cell r="S553" t="str">
            <v>NULL</v>
          </cell>
          <cell r="T553" t="str">
            <v>normal</v>
          </cell>
          <cell r="U553" t="str">
            <v>NULL</v>
          </cell>
          <cell r="V553" t="str">
            <v>NULL</v>
          </cell>
          <cell r="W553" t="str">
            <v>NULL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  <cell r="N554" t="str">
            <v>Unknown</v>
          </cell>
          <cell r="O554" t="str">
            <v>none</v>
          </cell>
          <cell r="P554" t="str">
            <v>種族なし</v>
          </cell>
          <cell r="Q554" t="str">
            <v>アタッカー</v>
          </cell>
          <cell r="R554">
            <v>3</v>
          </cell>
          <cell r="S554" t="str">
            <v>NULL</v>
          </cell>
          <cell r="T554" t="str">
            <v>normal</v>
          </cell>
          <cell r="U554" t="str">
            <v>NULL</v>
          </cell>
          <cell r="V554" t="str">
            <v>NULL</v>
          </cell>
          <cell r="W554" t="str">
            <v>NULL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  <cell r="N555" t="str">
            <v>Unknown</v>
          </cell>
          <cell r="O555" t="str">
            <v>none</v>
          </cell>
          <cell r="P555" t="str">
            <v>種族なし</v>
          </cell>
          <cell r="Q555" t="str">
            <v>アタッカー</v>
          </cell>
          <cell r="R555">
            <v>3</v>
          </cell>
          <cell r="S555" t="str">
            <v>NULL</v>
          </cell>
          <cell r="T555" t="str">
            <v>normal</v>
          </cell>
          <cell r="U555" t="str">
            <v>NULL</v>
          </cell>
          <cell r="V555" t="str">
            <v>NULL</v>
          </cell>
          <cell r="W555" t="str">
            <v>NULL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  <cell r="N556" t="str">
            <v>Unknown</v>
          </cell>
          <cell r="O556" t="str">
            <v>none</v>
          </cell>
          <cell r="P556" t="str">
            <v>種族なし</v>
          </cell>
          <cell r="Q556" t="str">
            <v>アタッカー</v>
          </cell>
          <cell r="R556">
            <v>3</v>
          </cell>
          <cell r="S556" t="str">
            <v>NULL</v>
          </cell>
          <cell r="T556" t="str">
            <v>normal</v>
          </cell>
          <cell r="U556" t="str">
            <v>NULL</v>
          </cell>
          <cell r="V556" t="str">
            <v>NULL</v>
          </cell>
          <cell r="W556" t="str">
            <v>NULL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  <cell r="N557" t="str">
            <v>Unknown</v>
          </cell>
          <cell r="O557" t="str">
            <v>none</v>
          </cell>
          <cell r="P557" t="str">
            <v>種族なし</v>
          </cell>
          <cell r="Q557" t="str">
            <v>アタッカー</v>
          </cell>
          <cell r="R557">
            <v>3</v>
          </cell>
          <cell r="S557" t="str">
            <v>NULL</v>
          </cell>
          <cell r="T557" t="str">
            <v>normal</v>
          </cell>
          <cell r="U557" t="str">
            <v>NULL</v>
          </cell>
          <cell r="V557" t="str">
            <v>NULL</v>
          </cell>
          <cell r="W557" t="str">
            <v>NULL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  <cell r="N558" t="str">
            <v>Unknown</v>
          </cell>
          <cell r="O558" t="str">
            <v>none</v>
          </cell>
          <cell r="P558" t="str">
            <v>種族なし</v>
          </cell>
          <cell r="Q558" t="str">
            <v>アタッカー</v>
          </cell>
          <cell r="R558">
            <v>3</v>
          </cell>
          <cell r="S558" t="str">
            <v>NULL</v>
          </cell>
          <cell r="T558" t="str">
            <v>normal</v>
          </cell>
          <cell r="U558" t="str">
            <v>NULL</v>
          </cell>
          <cell r="V558" t="str">
            <v>NULL</v>
          </cell>
          <cell r="W558" t="str">
            <v>NULL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  <cell r="N559" t="str">
            <v>Unknown</v>
          </cell>
          <cell r="O559" t="str">
            <v>none</v>
          </cell>
          <cell r="P559" t="str">
            <v>種族なし</v>
          </cell>
          <cell r="Q559" t="str">
            <v>アタッカー</v>
          </cell>
          <cell r="R559">
            <v>3</v>
          </cell>
          <cell r="S559" t="str">
            <v>NULL</v>
          </cell>
          <cell r="T559" t="str">
            <v>normal</v>
          </cell>
          <cell r="U559" t="str">
            <v>NULL</v>
          </cell>
          <cell r="V559" t="str">
            <v>NULL</v>
          </cell>
          <cell r="W559" t="str">
            <v>NULL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  <cell r="N560" t="str">
            <v>Unknown</v>
          </cell>
          <cell r="O560" t="str">
            <v>none</v>
          </cell>
          <cell r="P560" t="str">
            <v>種族なし</v>
          </cell>
          <cell r="Q560" t="str">
            <v>アタッカー</v>
          </cell>
          <cell r="R560">
            <v>3</v>
          </cell>
          <cell r="S560" t="str">
            <v>NULL</v>
          </cell>
          <cell r="T560" t="str">
            <v>normal</v>
          </cell>
          <cell r="U560" t="str">
            <v>NULL</v>
          </cell>
          <cell r="V560" t="str">
            <v>NULL</v>
          </cell>
          <cell r="W560" t="str">
            <v>NULL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  <cell r="N561" t="str">
            <v>ヒューマン</v>
          </cell>
          <cell r="O561" t="str">
            <v>animal</v>
          </cell>
          <cell r="P561" t="str">
            <v>アニマル</v>
          </cell>
          <cell r="Q561" t="str">
            <v>バッファー</v>
          </cell>
          <cell r="R561">
            <v>3</v>
          </cell>
          <cell r="S561" t="str">
            <v>NULL</v>
          </cell>
          <cell r="T561" t="str">
            <v>normal</v>
          </cell>
          <cell r="U561" t="str">
            <v>NULL</v>
          </cell>
          <cell r="V561" t="str">
            <v>NULL</v>
          </cell>
          <cell r="W561" t="str">
            <v>NULL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  <cell r="N562" t="str">
            <v>ヒューマン</v>
          </cell>
          <cell r="O562" t="str">
            <v>animal</v>
          </cell>
          <cell r="P562" t="str">
            <v>アニマル</v>
          </cell>
          <cell r="Q562" t="str">
            <v>バッファー</v>
          </cell>
          <cell r="R562">
            <v>3</v>
          </cell>
          <cell r="S562" t="str">
            <v>NULL</v>
          </cell>
          <cell r="T562" t="str">
            <v>normal</v>
          </cell>
          <cell r="U562" t="str">
            <v>NULL</v>
          </cell>
          <cell r="V562" t="str">
            <v>NULL</v>
          </cell>
          <cell r="W562" t="str">
            <v>NULL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  <cell r="N563" t="str">
            <v>アニマル</v>
          </cell>
          <cell r="O563" t="str">
            <v>none</v>
          </cell>
          <cell r="P563" t="str">
            <v>種族なし</v>
          </cell>
          <cell r="Q563" t="str">
            <v>バッファー</v>
          </cell>
          <cell r="R563">
            <v>3</v>
          </cell>
          <cell r="S563" t="str">
            <v>NULL</v>
          </cell>
          <cell r="T563" t="str">
            <v>normal</v>
          </cell>
          <cell r="U563" t="str">
            <v>NULL</v>
          </cell>
          <cell r="V563" t="str">
            <v>NULL</v>
          </cell>
          <cell r="W563" t="str">
            <v>NULL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  <cell r="N564" t="str">
            <v>ヒューマン</v>
          </cell>
          <cell r="O564" t="str">
            <v>animal</v>
          </cell>
          <cell r="P564" t="str">
            <v>アニマル</v>
          </cell>
          <cell r="Q564" t="str">
            <v>バッファー</v>
          </cell>
          <cell r="R564">
            <v>3</v>
          </cell>
          <cell r="S564" t="str">
            <v>NULL</v>
          </cell>
          <cell r="T564" t="str">
            <v>normal</v>
          </cell>
          <cell r="U564" t="str">
            <v>NULL</v>
          </cell>
          <cell r="V564" t="str">
            <v>NULL</v>
          </cell>
          <cell r="W564" t="str">
            <v>NULL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  <cell r="N565" t="str">
            <v>ヒューマン</v>
          </cell>
          <cell r="O565" t="str">
            <v>none</v>
          </cell>
          <cell r="P565" t="str">
            <v>種族なし</v>
          </cell>
          <cell r="Q565" t="str">
            <v>アタッカー</v>
          </cell>
          <cell r="R565">
            <v>1</v>
          </cell>
          <cell r="S565" t="str">
            <v>NULL</v>
          </cell>
          <cell r="T565" t="str">
            <v>normal</v>
          </cell>
          <cell r="U565" t="str">
            <v>NULL</v>
          </cell>
          <cell r="V565" t="str">
            <v>NULL</v>
          </cell>
          <cell r="W565" t="str">
            <v>NULL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  <cell r="N566" t="str">
            <v>ヒューマン</v>
          </cell>
          <cell r="O566" t="str">
            <v>none</v>
          </cell>
          <cell r="P566" t="str">
            <v>種族なし</v>
          </cell>
          <cell r="Q566" t="str">
            <v>アタッカー</v>
          </cell>
          <cell r="R566">
            <v>1</v>
          </cell>
          <cell r="S566" t="str">
            <v>NULL</v>
          </cell>
          <cell r="T566" t="str">
            <v>normal</v>
          </cell>
          <cell r="U566" t="str">
            <v>NULL</v>
          </cell>
          <cell r="V566" t="str">
            <v>NULL</v>
          </cell>
          <cell r="W566" t="str">
            <v>NULL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  <cell r="N567" t="str">
            <v>ヒューマン</v>
          </cell>
          <cell r="O567" t="str">
            <v>animal</v>
          </cell>
          <cell r="P567" t="str">
            <v>アニマル</v>
          </cell>
          <cell r="Q567" t="str">
            <v>アタッカー</v>
          </cell>
          <cell r="R567">
            <v>3</v>
          </cell>
          <cell r="S567" t="str">
            <v>NULL</v>
          </cell>
          <cell r="T567" t="str">
            <v>normal</v>
          </cell>
          <cell r="U567" t="str">
            <v>NULL</v>
          </cell>
          <cell r="V567" t="str">
            <v>NULL</v>
          </cell>
          <cell r="W567" t="str">
            <v>NULL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  <cell r="N568" t="str">
            <v>アニマル</v>
          </cell>
          <cell r="O568" t="str">
            <v>none</v>
          </cell>
          <cell r="P568" t="str">
            <v>種族なし</v>
          </cell>
          <cell r="Q568" t="str">
            <v>アタッカー</v>
          </cell>
          <cell r="R568">
            <v>3</v>
          </cell>
          <cell r="S568" t="str">
            <v>NULL</v>
          </cell>
          <cell r="T568" t="str">
            <v>normal</v>
          </cell>
          <cell r="U568" t="str">
            <v>NULL</v>
          </cell>
          <cell r="V568" t="str">
            <v>NULL</v>
          </cell>
          <cell r="W568" t="str">
            <v>NULL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  <cell r="N569" t="str">
            <v>ヒューマン</v>
          </cell>
          <cell r="O569" t="str">
            <v>machine</v>
          </cell>
          <cell r="P569" t="str">
            <v>マシン</v>
          </cell>
          <cell r="Q569" t="str">
            <v>アタッカー</v>
          </cell>
          <cell r="R569">
            <v>3</v>
          </cell>
          <cell r="S569" t="str">
            <v>NULL</v>
          </cell>
          <cell r="T569" t="str">
            <v>normal</v>
          </cell>
          <cell r="U569" t="str">
            <v>NULL</v>
          </cell>
          <cell r="V569" t="str">
            <v>NULL</v>
          </cell>
          <cell r="W569" t="str">
            <v>NULL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  <cell r="N570" t="str">
            <v>Unknown</v>
          </cell>
          <cell r="O570" t="str">
            <v>none</v>
          </cell>
          <cell r="P570" t="str">
            <v>種族なし</v>
          </cell>
          <cell r="Q570" t="str">
            <v>アタッカー</v>
          </cell>
          <cell r="R570">
            <v>3</v>
          </cell>
          <cell r="S570" t="str">
            <v>NULL</v>
          </cell>
          <cell r="T570" t="str">
            <v>normal</v>
          </cell>
          <cell r="U570" t="str">
            <v>NULL</v>
          </cell>
          <cell r="V570" t="str">
            <v>NULL</v>
          </cell>
          <cell r="W570" t="str">
            <v>NULL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  <cell r="N571" t="str">
            <v>Unknown</v>
          </cell>
          <cell r="O571" t="str">
            <v>none</v>
          </cell>
          <cell r="P571" t="str">
            <v>種族なし</v>
          </cell>
          <cell r="Q571" t="str">
            <v>アタッカー</v>
          </cell>
          <cell r="R571">
            <v>3</v>
          </cell>
          <cell r="S571" t="str">
            <v>NULL</v>
          </cell>
          <cell r="T571" t="str">
            <v>normal</v>
          </cell>
          <cell r="U571" t="str">
            <v>NULL</v>
          </cell>
          <cell r="V571" t="str">
            <v>NULL</v>
          </cell>
          <cell r="W571" t="str">
            <v>NULL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  <cell r="N572" t="str">
            <v>Unknown</v>
          </cell>
          <cell r="O572" t="str">
            <v>none</v>
          </cell>
          <cell r="P572" t="str">
            <v>種族なし</v>
          </cell>
          <cell r="Q572" t="str">
            <v>タップブースター</v>
          </cell>
          <cell r="R572">
            <v>3</v>
          </cell>
          <cell r="S572" t="str">
            <v>NULL</v>
          </cell>
          <cell r="T572" t="str">
            <v>normal</v>
          </cell>
          <cell r="U572" t="str">
            <v>NULL</v>
          </cell>
          <cell r="V572" t="str">
            <v>NULL</v>
          </cell>
          <cell r="W572" t="str">
            <v>NULL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  <cell r="N573" t="str">
            <v>Unknown</v>
          </cell>
          <cell r="O573" t="str">
            <v>none</v>
          </cell>
          <cell r="P573" t="str">
            <v>種族なし</v>
          </cell>
          <cell r="Q573" t="str">
            <v>スキル進化素材</v>
          </cell>
          <cell r="R573">
            <v>3</v>
          </cell>
          <cell r="S573" t="str">
            <v>NULL</v>
          </cell>
          <cell r="T573" t="str">
            <v>normal</v>
          </cell>
          <cell r="U573" t="str">
            <v>NULL</v>
          </cell>
          <cell r="V573" t="str">
            <v>NULL</v>
          </cell>
          <cell r="W573" t="str">
            <v>NULL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  <cell r="N574" t="str">
            <v>マシン</v>
          </cell>
          <cell r="O574" t="str">
            <v>god</v>
          </cell>
          <cell r="P574" t="str">
            <v>ゴッド</v>
          </cell>
          <cell r="Q574" t="str">
            <v>アタッカー</v>
          </cell>
          <cell r="R574">
            <v>3</v>
          </cell>
          <cell r="S574" t="str">
            <v>NULL</v>
          </cell>
          <cell r="T574" t="str">
            <v>normal</v>
          </cell>
          <cell r="U574" t="str">
            <v>NULL</v>
          </cell>
          <cell r="V574" t="str">
            <v>NULL</v>
          </cell>
          <cell r="W574" t="str">
            <v>NULL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  <cell r="N575" t="str">
            <v>マシン</v>
          </cell>
          <cell r="O575" t="str">
            <v>god</v>
          </cell>
          <cell r="P575" t="str">
            <v>ゴッド</v>
          </cell>
          <cell r="Q575" t="str">
            <v>アタッカー</v>
          </cell>
          <cell r="R575">
            <v>3</v>
          </cell>
          <cell r="S575" t="str">
            <v>NULL</v>
          </cell>
          <cell r="T575" t="str">
            <v>normal</v>
          </cell>
          <cell r="U575" t="str">
            <v>NULL</v>
          </cell>
          <cell r="V575" t="str">
            <v>NULL</v>
          </cell>
          <cell r="W575" t="str">
            <v>NULL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  <cell r="N576" t="str">
            <v>アニマル</v>
          </cell>
          <cell r="O576" t="str">
            <v>none</v>
          </cell>
          <cell r="P576" t="str">
            <v>種族なし</v>
          </cell>
          <cell r="Q576" t="str">
            <v>アタッカー</v>
          </cell>
          <cell r="R576">
            <v>3</v>
          </cell>
          <cell r="S576" t="str">
            <v>NULL</v>
          </cell>
          <cell r="T576" t="str">
            <v>normal</v>
          </cell>
          <cell r="U576" t="str">
            <v>NULL</v>
          </cell>
          <cell r="V576" t="str">
            <v>NULL</v>
          </cell>
          <cell r="W576" t="str">
            <v>NULL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  <cell r="N577" t="str">
            <v>アニマル</v>
          </cell>
          <cell r="O577" t="str">
            <v>none</v>
          </cell>
          <cell r="P577" t="str">
            <v>種族なし</v>
          </cell>
          <cell r="Q577" t="str">
            <v>アタッカー</v>
          </cell>
          <cell r="R577">
            <v>3</v>
          </cell>
          <cell r="S577" t="str">
            <v>NULL</v>
          </cell>
          <cell r="T577" t="str">
            <v>normal</v>
          </cell>
          <cell r="U577" t="str">
            <v>NULL</v>
          </cell>
          <cell r="V577" t="str">
            <v>NULL</v>
          </cell>
          <cell r="W577" t="str">
            <v>NULL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  <cell r="N578" t="str">
            <v>Unknown</v>
          </cell>
          <cell r="O578" t="str">
            <v>none</v>
          </cell>
          <cell r="P578" t="str">
            <v>種族なし</v>
          </cell>
          <cell r="Q578" t="str">
            <v>アタッカー</v>
          </cell>
          <cell r="R578">
            <v>3</v>
          </cell>
          <cell r="S578" t="str">
            <v>NULL</v>
          </cell>
          <cell r="T578" t="str">
            <v>normal</v>
          </cell>
          <cell r="U578" t="str">
            <v>NULL</v>
          </cell>
          <cell r="V578" t="str">
            <v>NULL</v>
          </cell>
          <cell r="W578" t="str">
            <v>NULL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  <cell r="N579" t="str">
            <v>Unknown</v>
          </cell>
          <cell r="O579" t="str">
            <v>none</v>
          </cell>
          <cell r="P579" t="str">
            <v>種族なし</v>
          </cell>
          <cell r="Q579" t="str">
            <v>アタッカー</v>
          </cell>
          <cell r="R579">
            <v>3</v>
          </cell>
          <cell r="S579" t="str">
            <v>NULL</v>
          </cell>
          <cell r="T579" t="str">
            <v>normal</v>
          </cell>
          <cell r="U579" t="str">
            <v>NULL</v>
          </cell>
          <cell r="V579" t="str">
            <v>NULL</v>
          </cell>
          <cell r="W579" t="str">
            <v>NULL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  <cell r="N580" t="str">
            <v>ゴッド</v>
          </cell>
          <cell r="O580" t="str">
            <v>none</v>
          </cell>
          <cell r="P580" t="str">
            <v>種族なし</v>
          </cell>
          <cell r="Q580" t="str">
            <v>アタッカー</v>
          </cell>
          <cell r="R580">
            <v>3</v>
          </cell>
          <cell r="S580" t="str">
            <v>NULL</v>
          </cell>
          <cell r="T580" t="str">
            <v>normal</v>
          </cell>
          <cell r="U580" t="str">
            <v>NULL</v>
          </cell>
          <cell r="V580" t="str">
            <v>NULL</v>
          </cell>
          <cell r="W580" t="str">
            <v>NULL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  <cell r="N581" t="str">
            <v>ゴッド</v>
          </cell>
          <cell r="O581" t="str">
            <v>none</v>
          </cell>
          <cell r="P581" t="str">
            <v>種族なし</v>
          </cell>
          <cell r="Q581" t="str">
            <v>アタッカー</v>
          </cell>
          <cell r="R581">
            <v>3</v>
          </cell>
          <cell r="S581" t="str">
            <v>NULL</v>
          </cell>
          <cell r="T581" t="str">
            <v>normal</v>
          </cell>
          <cell r="U581" t="str">
            <v>NULL</v>
          </cell>
          <cell r="V581" t="str">
            <v>NULL</v>
          </cell>
          <cell r="W581" t="str">
            <v>NULL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  <cell r="N582" t="str">
            <v>マシン</v>
          </cell>
          <cell r="O582" t="str">
            <v>animal</v>
          </cell>
          <cell r="P582" t="str">
            <v>アニマル</v>
          </cell>
          <cell r="Q582" t="str">
            <v>アタッカー</v>
          </cell>
          <cell r="R582">
            <v>3</v>
          </cell>
          <cell r="S582" t="str">
            <v>NULL</v>
          </cell>
          <cell r="T582" t="str">
            <v>normal</v>
          </cell>
          <cell r="U582" t="str">
            <v>NULL</v>
          </cell>
          <cell r="V582" t="str">
            <v>NULL</v>
          </cell>
          <cell r="W582" t="str">
            <v>NULL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  <cell r="N583" t="str">
            <v>マシン</v>
          </cell>
          <cell r="O583" t="str">
            <v>animal</v>
          </cell>
          <cell r="P583" t="str">
            <v>アニマル</v>
          </cell>
          <cell r="Q583" t="str">
            <v>アタッカー</v>
          </cell>
          <cell r="R583">
            <v>3</v>
          </cell>
          <cell r="S583" t="str">
            <v>NULL</v>
          </cell>
          <cell r="T583" t="str">
            <v>normal</v>
          </cell>
          <cell r="U583" t="str">
            <v>NULL</v>
          </cell>
          <cell r="V583" t="str">
            <v>NULL</v>
          </cell>
          <cell r="W583" t="str">
            <v>NULL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  <cell r="N584" t="str">
            <v>マシン</v>
          </cell>
          <cell r="O584" t="str">
            <v>none</v>
          </cell>
          <cell r="P584" t="str">
            <v>種族なし</v>
          </cell>
          <cell r="Q584" t="str">
            <v>アタッカー</v>
          </cell>
          <cell r="R584">
            <v>3</v>
          </cell>
          <cell r="S584" t="str">
            <v>NULL</v>
          </cell>
          <cell r="T584" t="str">
            <v>normal</v>
          </cell>
          <cell r="U584" t="str">
            <v>NULL</v>
          </cell>
          <cell r="V584" t="str">
            <v>NULL</v>
          </cell>
          <cell r="W584" t="str">
            <v>NULL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  <cell r="N585" t="str">
            <v>マシン</v>
          </cell>
          <cell r="O585" t="str">
            <v>none</v>
          </cell>
          <cell r="P585" t="str">
            <v>種族なし</v>
          </cell>
          <cell r="Q585" t="str">
            <v>アタッカー</v>
          </cell>
          <cell r="R585">
            <v>3</v>
          </cell>
          <cell r="S585" t="str">
            <v>NULL</v>
          </cell>
          <cell r="T585" t="str">
            <v>normal</v>
          </cell>
          <cell r="U585" t="str">
            <v>NULL</v>
          </cell>
          <cell r="V585" t="str">
            <v>NULL</v>
          </cell>
          <cell r="W585" t="str">
            <v>NULL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  <cell r="N586" t="str">
            <v>マシン</v>
          </cell>
          <cell r="O586" t="str">
            <v>none</v>
          </cell>
          <cell r="P586" t="str">
            <v>種族なし</v>
          </cell>
          <cell r="Q586" t="str">
            <v>アタッカー</v>
          </cell>
          <cell r="R586">
            <v>0</v>
          </cell>
          <cell r="S586" t="str">
            <v>NULL</v>
          </cell>
          <cell r="T586" t="str">
            <v>normal</v>
          </cell>
          <cell r="U586" t="str">
            <v>NULL</v>
          </cell>
          <cell r="V586" t="str">
            <v>NULL</v>
          </cell>
          <cell r="W586" t="str">
            <v>NULL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  <cell r="N587" t="str">
            <v>マシン</v>
          </cell>
          <cell r="O587" t="str">
            <v>none</v>
          </cell>
          <cell r="P587" t="str">
            <v>種族なし</v>
          </cell>
          <cell r="Q587" t="str">
            <v>アタッカー</v>
          </cell>
          <cell r="R587">
            <v>3</v>
          </cell>
          <cell r="S587" t="str">
            <v>NULL</v>
          </cell>
          <cell r="T587" t="str">
            <v>normal</v>
          </cell>
          <cell r="U587" t="str">
            <v>NULL</v>
          </cell>
          <cell r="V587" t="str">
            <v>NULL</v>
          </cell>
          <cell r="W587" t="str">
            <v>NULL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  <cell r="N588" t="str">
            <v>マシン</v>
          </cell>
          <cell r="O588" t="str">
            <v>none</v>
          </cell>
          <cell r="P588" t="str">
            <v>種族なし</v>
          </cell>
          <cell r="Q588" t="str">
            <v>アタッカー</v>
          </cell>
          <cell r="R588">
            <v>3</v>
          </cell>
          <cell r="S588" t="str">
            <v>NULL</v>
          </cell>
          <cell r="T588" t="str">
            <v>normal</v>
          </cell>
          <cell r="U588" t="str">
            <v>NULL</v>
          </cell>
          <cell r="V588" t="str">
            <v>NULL</v>
          </cell>
          <cell r="W588" t="str">
            <v>NULL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  <cell r="N589" t="str">
            <v>Unknown</v>
          </cell>
          <cell r="O589" t="str">
            <v>none</v>
          </cell>
          <cell r="P589" t="str">
            <v>種族なし</v>
          </cell>
          <cell r="Q589" t="str">
            <v>アタッカー</v>
          </cell>
          <cell r="R589">
            <v>3</v>
          </cell>
          <cell r="S589" t="str">
            <v>NULL</v>
          </cell>
          <cell r="T589" t="str">
            <v>normal</v>
          </cell>
          <cell r="U589" t="str">
            <v>NULL</v>
          </cell>
          <cell r="V589" t="str">
            <v>NULL</v>
          </cell>
          <cell r="W589" t="str">
            <v>NULL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  <cell r="N590" t="str">
            <v>Unknown</v>
          </cell>
          <cell r="O590" t="str">
            <v>none</v>
          </cell>
          <cell r="P590" t="str">
            <v>種族なし</v>
          </cell>
          <cell r="Q590" t="str">
            <v>アタッカー</v>
          </cell>
          <cell r="R590">
            <v>3</v>
          </cell>
          <cell r="S590" t="str">
            <v>NULL</v>
          </cell>
          <cell r="T590" t="str">
            <v>normal</v>
          </cell>
          <cell r="U590" t="str">
            <v>NULL</v>
          </cell>
          <cell r="V590" t="str">
            <v>NULL</v>
          </cell>
          <cell r="W590" t="str">
            <v>NULL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  <cell r="N591" t="str">
            <v>Unknown</v>
          </cell>
          <cell r="O591" t="str">
            <v>none</v>
          </cell>
          <cell r="P591" t="str">
            <v>種族なし</v>
          </cell>
          <cell r="Q591" t="str">
            <v>アタッカー</v>
          </cell>
          <cell r="R591">
            <v>3</v>
          </cell>
          <cell r="S591" t="str">
            <v>NULL</v>
          </cell>
          <cell r="T591" t="str">
            <v>normal</v>
          </cell>
          <cell r="U591" t="str">
            <v>NULL</v>
          </cell>
          <cell r="V591" t="str">
            <v>NULL</v>
          </cell>
          <cell r="W591" t="str">
            <v>NULL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  <cell r="N592" t="str">
            <v>ドラゴン</v>
          </cell>
          <cell r="O592" t="str">
            <v>none</v>
          </cell>
          <cell r="P592" t="str">
            <v>種族なし</v>
          </cell>
          <cell r="Q592" t="str">
            <v>アタッカー</v>
          </cell>
          <cell r="R592">
            <v>3</v>
          </cell>
          <cell r="S592" t="str">
            <v>NULL</v>
          </cell>
          <cell r="T592" t="str">
            <v>normal</v>
          </cell>
          <cell r="U592" t="str">
            <v>NULL</v>
          </cell>
          <cell r="V592" t="str">
            <v>NULL</v>
          </cell>
          <cell r="W592" t="str">
            <v>NULL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  <cell r="N593" t="str">
            <v>ドラゴン</v>
          </cell>
          <cell r="O593" t="str">
            <v>none</v>
          </cell>
          <cell r="P593" t="str">
            <v>種族なし</v>
          </cell>
          <cell r="Q593" t="str">
            <v>アタッカー</v>
          </cell>
          <cell r="R593">
            <v>3</v>
          </cell>
          <cell r="S593" t="str">
            <v>NULL</v>
          </cell>
          <cell r="T593" t="str">
            <v>normal</v>
          </cell>
          <cell r="U593" t="str">
            <v>NULL</v>
          </cell>
          <cell r="V593" t="str">
            <v>NULL</v>
          </cell>
          <cell r="W593" t="str">
            <v>NULL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  <cell r="N594" t="str">
            <v>ドラゴン</v>
          </cell>
          <cell r="O594" t="str">
            <v>none</v>
          </cell>
          <cell r="P594" t="str">
            <v>種族なし</v>
          </cell>
          <cell r="Q594" t="str">
            <v>アタッカー</v>
          </cell>
          <cell r="R594">
            <v>3</v>
          </cell>
          <cell r="S594" t="str">
            <v>NULL</v>
          </cell>
          <cell r="T594" t="str">
            <v>normal</v>
          </cell>
          <cell r="U594" t="str">
            <v>NULL</v>
          </cell>
          <cell r="V594" t="str">
            <v>NULL</v>
          </cell>
          <cell r="W594" t="str">
            <v>NULL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  <cell r="N595" t="str">
            <v>ドラゴン</v>
          </cell>
          <cell r="O595" t="str">
            <v>none</v>
          </cell>
          <cell r="P595" t="str">
            <v>種族なし</v>
          </cell>
          <cell r="Q595" t="str">
            <v>アタッカー</v>
          </cell>
          <cell r="R595">
            <v>3</v>
          </cell>
          <cell r="S595" t="str">
            <v>NULL</v>
          </cell>
          <cell r="T595" t="str">
            <v>normal</v>
          </cell>
          <cell r="U595" t="str">
            <v>NULL</v>
          </cell>
          <cell r="V595" t="str">
            <v>NULL</v>
          </cell>
          <cell r="W595" t="str">
            <v>NULL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  <cell r="N596" t="str">
            <v>ドラゴン</v>
          </cell>
          <cell r="O596" t="str">
            <v>none</v>
          </cell>
          <cell r="P596" t="str">
            <v>種族なし</v>
          </cell>
          <cell r="Q596" t="str">
            <v>アタッカー</v>
          </cell>
          <cell r="R596">
            <v>3</v>
          </cell>
          <cell r="S596" t="str">
            <v>NULL</v>
          </cell>
          <cell r="T596" t="str">
            <v>normal</v>
          </cell>
          <cell r="U596" t="str">
            <v>NULL</v>
          </cell>
          <cell r="V596" t="str">
            <v>NULL</v>
          </cell>
          <cell r="W596" t="str">
            <v>NULL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  <cell r="N597" t="str">
            <v>ヒューマン</v>
          </cell>
          <cell r="O597" t="str">
            <v>machine</v>
          </cell>
          <cell r="P597" t="str">
            <v>マシン</v>
          </cell>
          <cell r="Q597" t="str">
            <v>アタッカー</v>
          </cell>
          <cell r="R597">
            <v>3</v>
          </cell>
          <cell r="S597" t="str">
            <v>NULL</v>
          </cell>
          <cell r="T597" t="str">
            <v>normal</v>
          </cell>
          <cell r="U597" t="str">
            <v>NULL</v>
          </cell>
          <cell r="V597" t="str">
            <v>NULL</v>
          </cell>
          <cell r="W597" t="str">
            <v>NULL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  <cell r="N598" t="str">
            <v>ヒューマン</v>
          </cell>
          <cell r="O598" t="str">
            <v>machine</v>
          </cell>
          <cell r="P598" t="str">
            <v>マシン</v>
          </cell>
          <cell r="Q598" t="str">
            <v>アタッカー</v>
          </cell>
          <cell r="R598">
            <v>3</v>
          </cell>
          <cell r="S598" t="str">
            <v>NULL</v>
          </cell>
          <cell r="T598" t="str">
            <v>normal</v>
          </cell>
          <cell r="U598" t="str">
            <v>NULL</v>
          </cell>
          <cell r="V598" t="str">
            <v>NULL</v>
          </cell>
          <cell r="W598" t="str">
            <v>NULL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  <cell r="N599" t="str">
            <v>ヒューマン</v>
          </cell>
          <cell r="O599" t="str">
            <v>machine</v>
          </cell>
          <cell r="P599" t="str">
            <v>マシン</v>
          </cell>
          <cell r="Q599" t="str">
            <v>アタッカー</v>
          </cell>
          <cell r="R599">
            <v>3</v>
          </cell>
          <cell r="S599" t="str">
            <v>NULL</v>
          </cell>
          <cell r="T599" t="str">
            <v>normal</v>
          </cell>
          <cell r="U599" t="str">
            <v>NULL</v>
          </cell>
          <cell r="V599" t="str">
            <v>NULL</v>
          </cell>
          <cell r="W599" t="str">
            <v>NULL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  <cell r="N600" t="str">
            <v>ドラゴン</v>
          </cell>
          <cell r="O600" t="str">
            <v>none</v>
          </cell>
          <cell r="P600" t="str">
            <v>種族なし</v>
          </cell>
          <cell r="Q600" t="str">
            <v>アタッカー</v>
          </cell>
          <cell r="R600">
            <v>3</v>
          </cell>
          <cell r="S600" t="str">
            <v>NULL</v>
          </cell>
          <cell r="T600" t="str">
            <v>normal</v>
          </cell>
          <cell r="U600" t="str">
            <v>NULL</v>
          </cell>
          <cell r="V600" t="str">
            <v>NULL</v>
          </cell>
          <cell r="W600" t="str">
            <v>NULL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  <cell r="N601" t="str">
            <v>ドラゴン</v>
          </cell>
          <cell r="O601" t="str">
            <v>none</v>
          </cell>
          <cell r="P601" t="str">
            <v>種族なし</v>
          </cell>
          <cell r="Q601" t="str">
            <v>アタッカー</v>
          </cell>
          <cell r="R601">
            <v>3</v>
          </cell>
          <cell r="S601" t="str">
            <v>NULL</v>
          </cell>
          <cell r="T601" t="str">
            <v>normal</v>
          </cell>
          <cell r="U601" t="str">
            <v>NULL</v>
          </cell>
          <cell r="V601" t="str">
            <v>NULL</v>
          </cell>
          <cell r="W601" t="str">
            <v>NULL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  <cell r="N602" t="str">
            <v>ドラゴン</v>
          </cell>
          <cell r="O602" t="str">
            <v>none</v>
          </cell>
          <cell r="P602" t="str">
            <v>種族なし</v>
          </cell>
          <cell r="Q602" t="str">
            <v>アタッカー</v>
          </cell>
          <cell r="R602">
            <v>3</v>
          </cell>
          <cell r="S602" t="str">
            <v>NULL</v>
          </cell>
          <cell r="T602" t="str">
            <v>normal</v>
          </cell>
          <cell r="U602" t="str">
            <v>NULL</v>
          </cell>
          <cell r="V602" t="str">
            <v>NULL</v>
          </cell>
          <cell r="W602" t="str">
            <v>NULL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  <cell r="N603" t="str">
            <v>アニマル</v>
          </cell>
          <cell r="O603" t="str">
            <v>none</v>
          </cell>
          <cell r="P603" t="str">
            <v>種族なし</v>
          </cell>
          <cell r="Q603" t="str">
            <v>アタッカー</v>
          </cell>
          <cell r="R603">
            <v>3</v>
          </cell>
          <cell r="S603" t="str">
            <v>NULL</v>
          </cell>
          <cell r="T603" t="str">
            <v>normal</v>
          </cell>
          <cell r="U603" t="str">
            <v>NULL</v>
          </cell>
          <cell r="V603" t="str">
            <v>NULL</v>
          </cell>
          <cell r="W603" t="str">
            <v>NULL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  <cell r="N604" t="str">
            <v>アニマル</v>
          </cell>
          <cell r="O604" t="str">
            <v>none</v>
          </cell>
          <cell r="P604" t="str">
            <v>種族なし</v>
          </cell>
          <cell r="Q604" t="str">
            <v>アタッカー</v>
          </cell>
          <cell r="R604">
            <v>3</v>
          </cell>
          <cell r="S604" t="str">
            <v>NULL</v>
          </cell>
          <cell r="T604" t="str">
            <v>normal</v>
          </cell>
          <cell r="U604" t="str">
            <v>NULL</v>
          </cell>
          <cell r="V604" t="str">
            <v>NULL</v>
          </cell>
          <cell r="W604" t="str">
            <v>NULL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  <cell r="N605" t="str">
            <v>ゴッド</v>
          </cell>
          <cell r="O605" t="str">
            <v>none</v>
          </cell>
          <cell r="P605" t="str">
            <v>種族なし</v>
          </cell>
          <cell r="Q605" t="str">
            <v>アタッカー</v>
          </cell>
          <cell r="R605">
            <v>3</v>
          </cell>
          <cell r="S605" t="str">
            <v>NULL</v>
          </cell>
          <cell r="T605" t="str">
            <v>normal</v>
          </cell>
          <cell r="U605" t="str">
            <v>NULL</v>
          </cell>
          <cell r="V605" t="str">
            <v>NULL</v>
          </cell>
          <cell r="W605" t="str">
            <v>NULL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  <cell r="N606" t="str">
            <v>ゴッド</v>
          </cell>
          <cell r="O606" t="str">
            <v>none</v>
          </cell>
          <cell r="P606" t="str">
            <v>種族なし</v>
          </cell>
          <cell r="Q606" t="str">
            <v>アタッカー</v>
          </cell>
          <cell r="R606">
            <v>3</v>
          </cell>
          <cell r="S606" t="str">
            <v>NULL</v>
          </cell>
          <cell r="T606" t="str">
            <v>normal</v>
          </cell>
          <cell r="U606" t="str">
            <v>NULL</v>
          </cell>
          <cell r="V606" t="str">
            <v>NULL</v>
          </cell>
          <cell r="W606" t="str">
            <v>NULL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  <cell r="N607" t="str">
            <v>ゴッド</v>
          </cell>
          <cell r="O607" t="str">
            <v>none</v>
          </cell>
          <cell r="P607" t="str">
            <v>種族なし</v>
          </cell>
          <cell r="Q607" t="str">
            <v>アタッカー</v>
          </cell>
          <cell r="R607">
            <v>3</v>
          </cell>
          <cell r="S607" t="str">
            <v>NULL</v>
          </cell>
          <cell r="T607" t="str">
            <v>normal</v>
          </cell>
          <cell r="U607" t="str">
            <v>NULL</v>
          </cell>
          <cell r="V607" t="str">
            <v>NULL</v>
          </cell>
          <cell r="W607" t="str">
            <v>NULL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  <cell r="N608" t="str">
            <v>Unknown</v>
          </cell>
          <cell r="O608" t="str">
            <v>none</v>
          </cell>
          <cell r="P608" t="str">
            <v>種族なし</v>
          </cell>
          <cell r="Q608" t="str">
            <v>アタッカー</v>
          </cell>
          <cell r="R608">
            <v>3</v>
          </cell>
          <cell r="S608" t="str">
            <v>NULL</v>
          </cell>
          <cell r="T608" t="str">
            <v>normal</v>
          </cell>
          <cell r="U608" t="str">
            <v>NULL</v>
          </cell>
          <cell r="V608" t="str">
            <v>NULL</v>
          </cell>
          <cell r="W608" t="str">
            <v>NULL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  <cell r="N609" t="str">
            <v>Unknown</v>
          </cell>
          <cell r="O609" t="str">
            <v>none</v>
          </cell>
          <cell r="P609" t="str">
            <v>種族なし</v>
          </cell>
          <cell r="Q609" t="str">
            <v>アタッカー</v>
          </cell>
          <cell r="R609">
            <v>3</v>
          </cell>
          <cell r="S609" t="str">
            <v>NULL</v>
          </cell>
          <cell r="T609" t="str">
            <v>normal</v>
          </cell>
          <cell r="U609" t="str">
            <v>NULL</v>
          </cell>
          <cell r="V609" t="str">
            <v>NULL</v>
          </cell>
          <cell r="W609" t="str">
            <v>NULL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  <cell r="N610" t="str">
            <v>Unknown</v>
          </cell>
          <cell r="O610" t="str">
            <v>none</v>
          </cell>
          <cell r="P610" t="str">
            <v>種族なし</v>
          </cell>
          <cell r="Q610" t="str">
            <v>アタッカー</v>
          </cell>
          <cell r="R610">
            <v>3</v>
          </cell>
          <cell r="S610" t="str">
            <v>NULL</v>
          </cell>
          <cell r="T610" t="str">
            <v>normal</v>
          </cell>
          <cell r="U610" t="str">
            <v>NULL</v>
          </cell>
          <cell r="V610" t="str">
            <v>NULL</v>
          </cell>
          <cell r="W610" t="str">
            <v>NULL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  <cell r="N611" t="str">
            <v>Unknown</v>
          </cell>
          <cell r="O611" t="str">
            <v>none</v>
          </cell>
          <cell r="P611" t="str">
            <v>種族なし</v>
          </cell>
          <cell r="Q611" t="str">
            <v>アタッカー</v>
          </cell>
          <cell r="R611">
            <v>3</v>
          </cell>
          <cell r="S611" t="str">
            <v>NULL</v>
          </cell>
          <cell r="T611" t="str">
            <v>normal</v>
          </cell>
          <cell r="U611" t="str">
            <v>NULL</v>
          </cell>
          <cell r="V611" t="str">
            <v>NULL</v>
          </cell>
          <cell r="W611" t="str">
            <v>NULL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  <cell r="N612" t="str">
            <v>Unknown</v>
          </cell>
          <cell r="O612" t="str">
            <v>none</v>
          </cell>
          <cell r="P612" t="str">
            <v>種族なし</v>
          </cell>
          <cell r="Q612" t="str">
            <v>アタッカー</v>
          </cell>
          <cell r="R612">
            <v>3</v>
          </cell>
          <cell r="S612" t="str">
            <v>NULL</v>
          </cell>
          <cell r="T612" t="str">
            <v>normal</v>
          </cell>
          <cell r="U612" t="str">
            <v>NULL</v>
          </cell>
          <cell r="V612" t="str">
            <v>NULL</v>
          </cell>
          <cell r="W612" t="str">
            <v>NULL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  <cell r="N613" t="str">
            <v>Unknown</v>
          </cell>
          <cell r="O613" t="str">
            <v>none</v>
          </cell>
          <cell r="P613" t="str">
            <v>種族なし</v>
          </cell>
          <cell r="Q613" t="str">
            <v>アタッカー</v>
          </cell>
          <cell r="R613">
            <v>3</v>
          </cell>
          <cell r="S613" t="str">
            <v>NULL</v>
          </cell>
          <cell r="T613" t="str">
            <v>normal</v>
          </cell>
          <cell r="U613" t="str">
            <v>NULL</v>
          </cell>
          <cell r="V613" t="str">
            <v>NULL</v>
          </cell>
          <cell r="W613" t="str">
            <v>NULL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  <cell r="N614" t="str">
            <v>Unknown</v>
          </cell>
          <cell r="O614" t="str">
            <v>none</v>
          </cell>
          <cell r="P614" t="str">
            <v>種族なし</v>
          </cell>
          <cell r="Q614" t="str">
            <v>アタッカー</v>
          </cell>
          <cell r="R614">
            <v>3</v>
          </cell>
          <cell r="S614" t="str">
            <v>NULL</v>
          </cell>
          <cell r="T614" t="str">
            <v>normal</v>
          </cell>
          <cell r="U614" t="str">
            <v>NULL</v>
          </cell>
          <cell r="V614" t="str">
            <v>NULL</v>
          </cell>
          <cell r="W614" t="str">
            <v>NULL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  <cell r="N615" t="str">
            <v>Unknown</v>
          </cell>
          <cell r="O615" t="str">
            <v>none</v>
          </cell>
          <cell r="P615" t="str">
            <v>種族なし</v>
          </cell>
          <cell r="Q615" t="str">
            <v>アタッカー</v>
          </cell>
          <cell r="R615">
            <v>3</v>
          </cell>
          <cell r="S615" t="str">
            <v>NULL</v>
          </cell>
          <cell r="T615" t="str">
            <v>normal</v>
          </cell>
          <cell r="U615" t="str">
            <v>NULL</v>
          </cell>
          <cell r="V615" t="str">
            <v>NULL</v>
          </cell>
          <cell r="W615" t="str">
            <v>NULL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  <cell r="N616" t="str">
            <v>ドラゴン</v>
          </cell>
          <cell r="O616" t="str">
            <v>machine</v>
          </cell>
          <cell r="P616" t="str">
            <v>マシン</v>
          </cell>
          <cell r="Q616" t="str">
            <v>アタッカー</v>
          </cell>
          <cell r="R616">
            <v>3</v>
          </cell>
          <cell r="S616" t="str">
            <v>NULL</v>
          </cell>
          <cell r="T616" t="str">
            <v>normal</v>
          </cell>
          <cell r="U616" t="str">
            <v>NULL</v>
          </cell>
          <cell r="V616" t="str">
            <v>NULL</v>
          </cell>
          <cell r="W616" t="str">
            <v>NULL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  <cell r="N617" t="str">
            <v>ドラゴン</v>
          </cell>
          <cell r="O617" t="str">
            <v>machine</v>
          </cell>
          <cell r="P617" t="str">
            <v>マシン</v>
          </cell>
          <cell r="Q617" t="str">
            <v>アタッカー</v>
          </cell>
          <cell r="R617">
            <v>3</v>
          </cell>
          <cell r="S617" t="str">
            <v>NULL</v>
          </cell>
          <cell r="T617" t="str">
            <v>normal</v>
          </cell>
          <cell r="U617" t="str">
            <v>NULL</v>
          </cell>
          <cell r="V617" t="str">
            <v>NULL</v>
          </cell>
          <cell r="W617" t="str">
            <v>NULL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  <cell r="N618" t="str">
            <v>ドラゴン</v>
          </cell>
          <cell r="O618" t="str">
            <v>machine</v>
          </cell>
          <cell r="P618" t="str">
            <v>マシン</v>
          </cell>
          <cell r="Q618" t="str">
            <v>アタッカー</v>
          </cell>
          <cell r="R618">
            <v>3</v>
          </cell>
          <cell r="S618" t="str">
            <v>NULL</v>
          </cell>
          <cell r="T618" t="str">
            <v>normal</v>
          </cell>
          <cell r="U618" t="str">
            <v>NULL</v>
          </cell>
          <cell r="V618" t="str">
            <v>NULL</v>
          </cell>
          <cell r="W618" t="str">
            <v>NULL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  <cell r="N619" t="str">
            <v>ドラゴン</v>
          </cell>
          <cell r="O619" t="str">
            <v>machine</v>
          </cell>
          <cell r="P619" t="str">
            <v>マシン</v>
          </cell>
          <cell r="Q619" t="str">
            <v>アタッカー</v>
          </cell>
          <cell r="R619">
            <v>3</v>
          </cell>
          <cell r="S619" t="str">
            <v>NULL</v>
          </cell>
          <cell r="T619" t="str">
            <v>normal</v>
          </cell>
          <cell r="U619" t="str">
            <v>NULL</v>
          </cell>
          <cell r="V619" t="str">
            <v>NULL</v>
          </cell>
          <cell r="W619" t="str">
            <v>NULL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  <cell r="N620" t="str">
            <v>ヒューマン</v>
          </cell>
          <cell r="O620" t="str">
            <v>machine</v>
          </cell>
          <cell r="P620" t="str">
            <v>マシン</v>
          </cell>
          <cell r="Q620" t="str">
            <v>アタッカー</v>
          </cell>
          <cell r="R620">
            <v>3</v>
          </cell>
          <cell r="S620" t="str">
            <v>NULL</v>
          </cell>
          <cell r="T620" t="str">
            <v>normal</v>
          </cell>
          <cell r="U620" t="str">
            <v>NULL</v>
          </cell>
          <cell r="V620" t="str">
            <v>NULL</v>
          </cell>
          <cell r="W620" t="str">
            <v>NULL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  <cell r="N621" t="str">
            <v>ヒューマン</v>
          </cell>
          <cell r="O621" t="str">
            <v>machine</v>
          </cell>
          <cell r="P621" t="str">
            <v>マシン</v>
          </cell>
          <cell r="Q621" t="str">
            <v>アタッカー</v>
          </cell>
          <cell r="R621">
            <v>3</v>
          </cell>
          <cell r="S621" t="str">
            <v>NULL</v>
          </cell>
          <cell r="T621" t="str">
            <v>normal</v>
          </cell>
          <cell r="U621" t="str">
            <v>NULL</v>
          </cell>
          <cell r="V621" t="str">
            <v>NULL</v>
          </cell>
          <cell r="W621" t="str">
            <v>NULL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  <cell r="N622" t="str">
            <v>ヒューマン</v>
          </cell>
          <cell r="O622" t="str">
            <v>machine</v>
          </cell>
          <cell r="P622" t="str">
            <v>マシン</v>
          </cell>
          <cell r="Q622" t="str">
            <v>アタッカー</v>
          </cell>
          <cell r="R622">
            <v>3</v>
          </cell>
          <cell r="S622" t="str">
            <v>NULL</v>
          </cell>
          <cell r="T622" t="str">
            <v>normal</v>
          </cell>
          <cell r="U622" t="str">
            <v>NULL</v>
          </cell>
          <cell r="V622" t="str">
            <v>NULL</v>
          </cell>
          <cell r="W622" t="str">
            <v>NULL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  <cell r="N623" t="str">
            <v>ヒューマン</v>
          </cell>
          <cell r="O623" t="str">
            <v>none</v>
          </cell>
          <cell r="P623" t="str">
            <v>種族なし</v>
          </cell>
          <cell r="Q623" t="str">
            <v>アタッカー</v>
          </cell>
          <cell r="R623">
            <v>1</v>
          </cell>
          <cell r="S623" t="str">
            <v>NULL</v>
          </cell>
          <cell r="T623" t="str">
            <v>normal</v>
          </cell>
          <cell r="U623" t="str">
            <v>NULL</v>
          </cell>
          <cell r="V623" t="str">
            <v>NULL</v>
          </cell>
          <cell r="W623" t="str">
            <v>NULL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  <cell r="N624" t="str">
            <v>アカデミア</v>
          </cell>
          <cell r="O624" t="str">
            <v>machine</v>
          </cell>
          <cell r="P624" t="str">
            <v>マシン</v>
          </cell>
          <cell r="Q624" t="str">
            <v>アタッカー</v>
          </cell>
          <cell r="R624">
            <v>3</v>
          </cell>
          <cell r="S624" t="str">
            <v>NULL</v>
          </cell>
          <cell r="T624" t="str">
            <v>normal</v>
          </cell>
          <cell r="U624" t="str">
            <v>NULL</v>
          </cell>
          <cell r="V624" t="str">
            <v>NULL</v>
          </cell>
          <cell r="W624" t="str">
            <v>NULL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  <cell r="N625" t="str">
            <v>アカデミア</v>
          </cell>
          <cell r="O625" t="str">
            <v>machine</v>
          </cell>
          <cell r="P625" t="str">
            <v>マシン</v>
          </cell>
          <cell r="Q625" t="str">
            <v>アタッカー</v>
          </cell>
          <cell r="R625">
            <v>3</v>
          </cell>
          <cell r="S625" t="str">
            <v>NULL</v>
          </cell>
          <cell r="T625" t="str">
            <v>normal</v>
          </cell>
          <cell r="U625" t="str">
            <v>NULL</v>
          </cell>
          <cell r="V625" t="str">
            <v>NULL</v>
          </cell>
          <cell r="W625" t="str">
            <v>NULL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  <cell r="N626" t="str">
            <v>ヒューマン</v>
          </cell>
          <cell r="O626" t="str">
            <v>none</v>
          </cell>
          <cell r="P626" t="str">
            <v>種族なし</v>
          </cell>
          <cell r="Q626" t="str">
            <v>アタッカー</v>
          </cell>
          <cell r="R626">
            <v>1</v>
          </cell>
          <cell r="S626" t="str">
            <v>NULL</v>
          </cell>
          <cell r="T626" t="str">
            <v>normal</v>
          </cell>
          <cell r="U626" t="str">
            <v>NULL</v>
          </cell>
          <cell r="V626" t="str">
            <v>NULL</v>
          </cell>
          <cell r="W626" t="str">
            <v>NULL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  <cell r="N627" t="str">
            <v>ヒューマン</v>
          </cell>
          <cell r="O627" t="str">
            <v>none</v>
          </cell>
          <cell r="P627" t="str">
            <v>種族なし</v>
          </cell>
          <cell r="Q627" t="str">
            <v>アタッカー</v>
          </cell>
          <cell r="R627">
            <v>1</v>
          </cell>
          <cell r="S627" t="str">
            <v>NULL</v>
          </cell>
          <cell r="T627" t="str">
            <v>normal</v>
          </cell>
          <cell r="U627" t="str">
            <v>NULL</v>
          </cell>
          <cell r="V627" t="str">
            <v>NULL</v>
          </cell>
          <cell r="W627" t="str">
            <v>NULL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  <cell r="N628" t="str">
            <v>アニマル</v>
          </cell>
          <cell r="O628" t="str">
            <v>unknown</v>
          </cell>
          <cell r="P628" t="str">
            <v>Unknown</v>
          </cell>
          <cell r="Q628" t="str">
            <v>アタッカー</v>
          </cell>
          <cell r="R628">
            <v>3</v>
          </cell>
          <cell r="S628" t="str">
            <v>NULL</v>
          </cell>
          <cell r="T628" t="str">
            <v>normal</v>
          </cell>
          <cell r="U628" t="str">
            <v>NULL</v>
          </cell>
          <cell r="V628" t="str">
            <v>NULL</v>
          </cell>
          <cell r="W628" t="str">
            <v>NULL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  <cell r="N629" t="str">
            <v>アニマル</v>
          </cell>
          <cell r="O629" t="str">
            <v>unknown</v>
          </cell>
          <cell r="P629" t="str">
            <v>Unknown</v>
          </cell>
          <cell r="Q629" t="str">
            <v>アタッカー</v>
          </cell>
          <cell r="R629">
            <v>3</v>
          </cell>
          <cell r="S629" t="str">
            <v>NULL</v>
          </cell>
          <cell r="T629" t="str">
            <v>normal</v>
          </cell>
          <cell r="U629" t="str">
            <v>NULL</v>
          </cell>
          <cell r="V629" t="str">
            <v>NULL</v>
          </cell>
          <cell r="W629" t="str">
            <v>NULL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  <cell r="N630" t="str">
            <v>ゴッド</v>
          </cell>
          <cell r="O630" t="str">
            <v>animal</v>
          </cell>
          <cell r="P630" t="str">
            <v>アニマル</v>
          </cell>
          <cell r="Q630" t="str">
            <v>アタッカー</v>
          </cell>
          <cell r="R630">
            <v>3</v>
          </cell>
          <cell r="S630" t="str">
            <v>NULL</v>
          </cell>
          <cell r="T630" t="str">
            <v>normal</v>
          </cell>
          <cell r="U630" t="str">
            <v>NULL</v>
          </cell>
          <cell r="V630" t="str">
            <v>NULL</v>
          </cell>
          <cell r="W630" t="str">
            <v>NULL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  <cell r="N631" t="str">
            <v>ゴッド</v>
          </cell>
          <cell r="O631" t="str">
            <v>animal</v>
          </cell>
          <cell r="P631" t="str">
            <v>アニマル</v>
          </cell>
          <cell r="Q631" t="str">
            <v>アタッカー</v>
          </cell>
          <cell r="R631">
            <v>3</v>
          </cell>
          <cell r="S631" t="str">
            <v>NULL</v>
          </cell>
          <cell r="T631" t="str">
            <v>normal</v>
          </cell>
          <cell r="U631" t="str">
            <v>NULL</v>
          </cell>
          <cell r="V631" t="str">
            <v>NULL</v>
          </cell>
          <cell r="W631" t="str">
            <v>NULL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  <cell r="N632" t="str">
            <v>ヒューマン</v>
          </cell>
          <cell r="O632" t="str">
            <v>none</v>
          </cell>
          <cell r="P632" t="str">
            <v>種族なし</v>
          </cell>
          <cell r="Q632" t="str">
            <v>アタッカー</v>
          </cell>
          <cell r="R632">
            <v>3</v>
          </cell>
          <cell r="S632" t="str">
            <v>NULL</v>
          </cell>
          <cell r="T632" t="str">
            <v>normal</v>
          </cell>
          <cell r="U632" t="str">
            <v>NULL</v>
          </cell>
          <cell r="V632" t="str">
            <v>NULL</v>
          </cell>
          <cell r="W632" t="str">
            <v>NULL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  <cell r="N633" t="str">
            <v>ゴッド</v>
          </cell>
          <cell r="O633" t="str">
            <v>none</v>
          </cell>
          <cell r="P633" t="str">
            <v>種族なし</v>
          </cell>
          <cell r="Q633" t="str">
            <v>アタッカー</v>
          </cell>
          <cell r="R633">
            <v>3</v>
          </cell>
          <cell r="S633" t="str">
            <v>NULL</v>
          </cell>
          <cell r="T633" t="str">
            <v>normal</v>
          </cell>
          <cell r="U633" t="str">
            <v>NULL</v>
          </cell>
          <cell r="V633" t="str">
            <v>NULL</v>
          </cell>
          <cell r="W633" t="str">
            <v>NULL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  <cell r="N634" t="str">
            <v>Unknown</v>
          </cell>
          <cell r="O634" t="str">
            <v>none</v>
          </cell>
          <cell r="P634" t="str">
            <v>種族なし</v>
          </cell>
          <cell r="Q634" t="str">
            <v>アタッカー</v>
          </cell>
          <cell r="R634">
            <v>3</v>
          </cell>
          <cell r="S634" t="str">
            <v>NULL</v>
          </cell>
          <cell r="T634" t="str">
            <v>normal</v>
          </cell>
          <cell r="U634" t="str">
            <v>NULL</v>
          </cell>
          <cell r="V634" t="str">
            <v>NULL</v>
          </cell>
          <cell r="W634" t="str">
            <v>NULL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  <cell r="N635" t="str">
            <v>ドラゴン</v>
          </cell>
          <cell r="O635" t="str">
            <v>none</v>
          </cell>
          <cell r="P635" t="str">
            <v>種族なし</v>
          </cell>
          <cell r="Q635" t="str">
            <v>アタッカー</v>
          </cell>
          <cell r="R635">
            <v>1</v>
          </cell>
          <cell r="S635" t="str">
            <v>NULL</v>
          </cell>
          <cell r="T635" t="str">
            <v>normal</v>
          </cell>
          <cell r="U635" t="str">
            <v>NULL</v>
          </cell>
          <cell r="V635" t="str">
            <v>NULL</v>
          </cell>
          <cell r="W635" t="str">
            <v>NULL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  <cell r="N636" t="str">
            <v>ドラゴン</v>
          </cell>
          <cell r="O636" t="str">
            <v>none</v>
          </cell>
          <cell r="P636" t="str">
            <v>種族なし</v>
          </cell>
          <cell r="Q636" t="str">
            <v>アタッカー</v>
          </cell>
          <cell r="R636">
            <v>1</v>
          </cell>
          <cell r="S636" t="str">
            <v>NULL</v>
          </cell>
          <cell r="T636" t="str">
            <v>normal</v>
          </cell>
          <cell r="U636" t="str">
            <v>NULL</v>
          </cell>
          <cell r="V636" t="str">
            <v>NULL</v>
          </cell>
          <cell r="W636" t="str">
            <v>NULL</v>
          </cell>
        </row>
        <row r="637">
          <cell r="A637">
            <v>636</v>
          </cell>
          <cell r="B637" t="str">
            <v>ja</v>
          </cell>
          <cell r="C637" t="str">
            <v>ローズR3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technical</v>
          </cell>
          <cell r="L637" t="str">
            <v>テクニカルタイプ</v>
          </cell>
          <cell r="M637" t="str">
            <v>queen</v>
          </cell>
          <cell r="N637" t="str">
            <v>QUEEN</v>
          </cell>
          <cell r="O637" t="str">
            <v>machine</v>
          </cell>
          <cell r="P637" t="str">
            <v>マシン</v>
          </cell>
          <cell r="Q637" t="str">
            <v>アタッカー</v>
          </cell>
          <cell r="R637">
            <v>1</v>
          </cell>
          <cell r="S637" t="str">
            <v>NULL</v>
          </cell>
          <cell r="T637" t="str">
            <v>normal</v>
          </cell>
          <cell r="U637" t="str">
            <v>NULL</v>
          </cell>
          <cell r="V637" t="str">
            <v>NULL</v>
          </cell>
          <cell r="W637" t="str">
            <v>NULL</v>
          </cell>
        </row>
        <row r="638">
          <cell r="A638">
            <v>637</v>
          </cell>
          <cell r="B638" t="str">
            <v>ja</v>
          </cell>
          <cell r="C638" t="str">
            <v>ローズR4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technical</v>
          </cell>
          <cell r="L638" t="str">
            <v>テクニカルタイプ</v>
          </cell>
          <cell r="M638" t="str">
            <v>queen</v>
          </cell>
          <cell r="N638" t="str">
            <v>QUEEN</v>
          </cell>
          <cell r="O638" t="str">
            <v>machine</v>
          </cell>
          <cell r="P638" t="str">
            <v>マシン</v>
          </cell>
          <cell r="Q638" t="str">
            <v>アタッカー</v>
          </cell>
          <cell r="R638">
            <v>1</v>
          </cell>
          <cell r="S638" t="str">
            <v>NULL</v>
          </cell>
          <cell r="T638" t="str">
            <v>normal</v>
          </cell>
          <cell r="U638" t="str">
            <v>NULL</v>
          </cell>
          <cell r="V638" t="str">
            <v>NULL</v>
          </cell>
          <cell r="W638" t="str">
            <v>NULL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  <cell r="N639" t="str">
            <v>ゴッド</v>
          </cell>
          <cell r="O639" t="str">
            <v>none</v>
          </cell>
          <cell r="P639" t="str">
            <v>種族なし</v>
          </cell>
          <cell r="Q639" t="str">
            <v>アタッカー</v>
          </cell>
          <cell r="R639">
            <v>3</v>
          </cell>
          <cell r="S639" t="str">
            <v>NULL</v>
          </cell>
          <cell r="T639" t="str">
            <v>normal</v>
          </cell>
          <cell r="U639" t="str">
            <v>NULL</v>
          </cell>
          <cell r="V639" t="str">
            <v>NULL</v>
          </cell>
          <cell r="W639" t="str">
            <v>NULL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  <cell r="N640" t="str">
            <v>ヒューマン</v>
          </cell>
          <cell r="O640" t="str">
            <v>unknown</v>
          </cell>
          <cell r="P640" t="str">
            <v>Unknown</v>
          </cell>
          <cell r="Q640" t="str">
            <v>アタッカー</v>
          </cell>
          <cell r="R640">
            <v>3</v>
          </cell>
          <cell r="S640" t="str">
            <v>NULL</v>
          </cell>
          <cell r="T640" t="str">
            <v>normal</v>
          </cell>
          <cell r="U640" t="str">
            <v>NULL</v>
          </cell>
          <cell r="V640" t="str">
            <v>NULL</v>
          </cell>
          <cell r="W640" t="str">
            <v>NULL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  <cell r="N641" t="str">
            <v>アニマル</v>
          </cell>
          <cell r="O641" t="str">
            <v>none</v>
          </cell>
          <cell r="P641" t="str">
            <v>種族なし</v>
          </cell>
          <cell r="Q641" t="str">
            <v>アタッカー</v>
          </cell>
          <cell r="R641">
            <v>3</v>
          </cell>
          <cell r="S641" t="str">
            <v>NULL</v>
          </cell>
          <cell r="T641" t="str">
            <v>normal</v>
          </cell>
          <cell r="U641" t="str">
            <v>NULL</v>
          </cell>
          <cell r="V641" t="str">
            <v>NULL</v>
          </cell>
          <cell r="W641" t="str">
            <v>NULL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  <cell r="N642" t="str">
            <v>Unknown</v>
          </cell>
          <cell r="O642" t="str">
            <v>none</v>
          </cell>
          <cell r="P642" t="str">
            <v>種族なし</v>
          </cell>
          <cell r="Q642" t="str">
            <v>アタッカー</v>
          </cell>
          <cell r="R642">
            <v>3</v>
          </cell>
          <cell r="S642" t="str">
            <v>NULL</v>
          </cell>
          <cell r="T642" t="str">
            <v>normal</v>
          </cell>
          <cell r="U642" t="str">
            <v>NULL</v>
          </cell>
          <cell r="V642" t="str">
            <v>NULL</v>
          </cell>
          <cell r="W642" t="str">
            <v>NULL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  <cell r="N643" t="str">
            <v>ゴッド</v>
          </cell>
          <cell r="O643" t="str">
            <v>none</v>
          </cell>
          <cell r="P643" t="str">
            <v>種族なし</v>
          </cell>
          <cell r="Q643" t="str">
            <v>アタッカー</v>
          </cell>
          <cell r="R643">
            <v>3</v>
          </cell>
          <cell r="S643" t="str">
            <v>NULL</v>
          </cell>
          <cell r="T643" t="str">
            <v>normal</v>
          </cell>
          <cell r="U643" t="str">
            <v>NULL</v>
          </cell>
          <cell r="V643" t="str">
            <v>NULL</v>
          </cell>
          <cell r="W643" t="str">
            <v>NULL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  <cell r="N644" t="str">
            <v>ゴッド</v>
          </cell>
          <cell r="O644" t="str">
            <v>none</v>
          </cell>
          <cell r="P644" t="str">
            <v>種族なし</v>
          </cell>
          <cell r="Q644" t="str">
            <v>アタッカー</v>
          </cell>
          <cell r="R644">
            <v>3</v>
          </cell>
          <cell r="S644" t="str">
            <v>NULL</v>
          </cell>
          <cell r="T644" t="str">
            <v>normal</v>
          </cell>
          <cell r="U644" t="str">
            <v>NULL</v>
          </cell>
          <cell r="V644" t="str">
            <v>NULL</v>
          </cell>
          <cell r="W644" t="str">
            <v>NULL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  <cell r="N645" t="str">
            <v>ヒューマン</v>
          </cell>
          <cell r="O645" t="str">
            <v>unknown</v>
          </cell>
          <cell r="P645" t="str">
            <v>Unknown</v>
          </cell>
          <cell r="Q645" t="str">
            <v>アタッカー</v>
          </cell>
          <cell r="R645">
            <v>3</v>
          </cell>
          <cell r="S645" t="str">
            <v>NULL</v>
          </cell>
          <cell r="T645" t="str">
            <v>normal</v>
          </cell>
          <cell r="U645" t="str">
            <v>NULL</v>
          </cell>
          <cell r="V645" t="str">
            <v>NULL</v>
          </cell>
          <cell r="W645" t="str">
            <v>NULL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  <cell r="N646" t="str">
            <v>ヒューマン</v>
          </cell>
          <cell r="O646" t="str">
            <v>unknown</v>
          </cell>
          <cell r="P646" t="str">
            <v>Unknown</v>
          </cell>
          <cell r="Q646" t="str">
            <v>アタッカー</v>
          </cell>
          <cell r="R646">
            <v>3</v>
          </cell>
          <cell r="S646" t="str">
            <v>NULL</v>
          </cell>
          <cell r="T646" t="str">
            <v>normal</v>
          </cell>
          <cell r="U646" t="str">
            <v>NULL</v>
          </cell>
          <cell r="V646" t="str">
            <v>NULL</v>
          </cell>
          <cell r="W646" t="str">
            <v>NULL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  <cell r="N647" t="str">
            <v>Unknown</v>
          </cell>
          <cell r="O647" t="str">
            <v>none</v>
          </cell>
          <cell r="P647" t="str">
            <v>種族なし</v>
          </cell>
          <cell r="Q647" t="str">
            <v>アタッカー</v>
          </cell>
          <cell r="R647">
            <v>3</v>
          </cell>
          <cell r="S647" t="str">
            <v>NULL</v>
          </cell>
          <cell r="T647" t="str">
            <v>normal</v>
          </cell>
          <cell r="U647" t="str">
            <v>NULL</v>
          </cell>
          <cell r="V647" t="str">
            <v>NULL</v>
          </cell>
          <cell r="W647" t="str">
            <v>NULL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  <cell r="N648" t="str">
            <v>Unknown</v>
          </cell>
          <cell r="O648" t="str">
            <v>none</v>
          </cell>
          <cell r="P648" t="str">
            <v>種族なし</v>
          </cell>
          <cell r="Q648" t="str">
            <v>アタッカー</v>
          </cell>
          <cell r="R648">
            <v>3</v>
          </cell>
          <cell r="S648" t="str">
            <v>NULL</v>
          </cell>
          <cell r="T648" t="str">
            <v>normal</v>
          </cell>
          <cell r="U648" t="str">
            <v>NULL</v>
          </cell>
          <cell r="V648" t="str">
            <v>NULL</v>
          </cell>
          <cell r="W648" t="str">
            <v>NULL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  <cell r="N649" t="str">
            <v>ゴッド</v>
          </cell>
          <cell r="O649" t="str">
            <v>none</v>
          </cell>
          <cell r="P649" t="str">
            <v>種族なし</v>
          </cell>
          <cell r="Q649" t="str">
            <v>アタッカー</v>
          </cell>
          <cell r="R649">
            <v>3</v>
          </cell>
          <cell r="S649" t="str">
            <v>NULL</v>
          </cell>
          <cell r="T649" t="str">
            <v>normal</v>
          </cell>
          <cell r="U649" t="str">
            <v>NULL</v>
          </cell>
          <cell r="V649" t="str">
            <v>NULL</v>
          </cell>
          <cell r="W649" t="str">
            <v>NULL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  <cell r="N650" t="str">
            <v>ゴッド</v>
          </cell>
          <cell r="O650" t="str">
            <v>none</v>
          </cell>
          <cell r="P650" t="str">
            <v>種族なし</v>
          </cell>
          <cell r="Q650" t="str">
            <v>アタッカー</v>
          </cell>
          <cell r="R650">
            <v>3</v>
          </cell>
          <cell r="S650" t="str">
            <v>NULL</v>
          </cell>
          <cell r="T650" t="str">
            <v>normal</v>
          </cell>
          <cell r="U650" t="str">
            <v>NULL</v>
          </cell>
          <cell r="V650" t="str">
            <v>NULL</v>
          </cell>
          <cell r="W650" t="str">
            <v>NULL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  <cell r="N651" t="str">
            <v>アニマル</v>
          </cell>
          <cell r="O651" t="str">
            <v>unknown</v>
          </cell>
          <cell r="P651" t="str">
            <v>Unknown</v>
          </cell>
          <cell r="Q651" t="str">
            <v>アタッカー</v>
          </cell>
          <cell r="R651">
            <v>3</v>
          </cell>
          <cell r="S651" t="str">
            <v>NULL</v>
          </cell>
          <cell r="T651" t="str">
            <v>normal</v>
          </cell>
          <cell r="U651" t="str">
            <v>NULL</v>
          </cell>
          <cell r="V651" t="str">
            <v>NULL</v>
          </cell>
          <cell r="W651" t="str">
            <v>NULL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  <cell r="N652" t="str">
            <v>アニマル</v>
          </cell>
          <cell r="O652" t="str">
            <v>unknown</v>
          </cell>
          <cell r="P652" t="str">
            <v>Unknown</v>
          </cell>
          <cell r="Q652" t="str">
            <v>アタッカー</v>
          </cell>
          <cell r="R652">
            <v>3</v>
          </cell>
          <cell r="S652" t="str">
            <v>NULL</v>
          </cell>
          <cell r="T652" t="str">
            <v>normal</v>
          </cell>
          <cell r="U652" t="str">
            <v>NULL</v>
          </cell>
          <cell r="V652" t="str">
            <v>NULL</v>
          </cell>
          <cell r="W652" t="str">
            <v>NULL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  <cell r="N653" t="str">
            <v>ドラゴン</v>
          </cell>
          <cell r="O653" t="str">
            <v>none</v>
          </cell>
          <cell r="P653" t="str">
            <v>種族なし</v>
          </cell>
          <cell r="Q653" t="str">
            <v>アタッカー</v>
          </cell>
          <cell r="R653">
            <v>3</v>
          </cell>
          <cell r="S653" t="str">
            <v>NULL</v>
          </cell>
          <cell r="T653" t="str">
            <v>normal</v>
          </cell>
          <cell r="U653" t="str">
            <v>NULL</v>
          </cell>
          <cell r="V653" t="str">
            <v>NULL</v>
          </cell>
          <cell r="W653" t="str">
            <v>NULL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  <cell r="N654" t="str">
            <v>ドラゴン</v>
          </cell>
          <cell r="O654" t="str">
            <v>none</v>
          </cell>
          <cell r="P654" t="str">
            <v>種族なし</v>
          </cell>
          <cell r="Q654" t="str">
            <v>アタッカー</v>
          </cell>
          <cell r="R654">
            <v>3</v>
          </cell>
          <cell r="S654" t="str">
            <v>NULL</v>
          </cell>
          <cell r="T654" t="str">
            <v>normal</v>
          </cell>
          <cell r="U654" t="str">
            <v>NULL</v>
          </cell>
          <cell r="V654" t="str">
            <v>NULL</v>
          </cell>
          <cell r="W654" t="str">
            <v>NULL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  <cell r="N655" t="str">
            <v>ゴッド</v>
          </cell>
          <cell r="O655" t="str">
            <v>unknown</v>
          </cell>
          <cell r="P655" t="str">
            <v>Unknown</v>
          </cell>
          <cell r="Q655" t="str">
            <v>アタッカー</v>
          </cell>
          <cell r="R655">
            <v>3</v>
          </cell>
          <cell r="S655" t="str">
            <v>NULL</v>
          </cell>
          <cell r="T655" t="str">
            <v>normal</v>
          </cell>
          <cell r="U655" t="str">
            <v>NULL</v>
          </cell>
          <cell r="V655" t="str">
            <v>NULL</v>
          </cell>
          <cell r="W655" t="str">
            <v>NULL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  <cell r="N656" t="str">
            <v>ゴッド</v>
          </cell>
          <cell r="O656" t="str">
            <v>unknown</v>
          </cell>
          <cell r="P656" t="str">
            <v>Unknown</v>
          </cell>
          <cell r="Q656" t="str">
            <v>アタッカー</v>
          </cell>
          <cell r="R656">
            <v>3</v>
          </cell>
          <cell r="S656" t="str">
            <v>NULL</v>
          </cell>
          <cell r="T656" t="str">
            <v>normal</v>
          </cell>
          <cell r="U656" t="str">
            <v>NULL</v>
          </cell>
          <cell r="V656" t="str">
            <v>NULL</v>
          </cell>
          <cell r="W656" t="str">
            <v>NULL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  <cell r="N657" t="str">
            <v>ゴッド</v>
          </cell>
          <cell r="O657" t="str">
            <v>none</v>
          </cell>
          <cell r="P657" t="str">
            <v>種族なし</v>
          </cell>
          <cell r="Q657" t="str">
            <v>アタッカー</v>
          </cell>
          <cell r="R657">
            <v>3</v>
          </cell>
          <cell r="S657" t="str">
            <v>NULL</v>
          </cell>
          <cell r="T657" t="str">
            <v>normal</v>
          </cell>
          <cell r="U657" t="str">
            <v>NULL</v>
          </cell>
          <cell r="V657" t="str">
            <v>NULL</v>
          </cell>
          <cell r="W657" t="str">
            <v>NULL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  <cell r="N658" t="str">
            <v>ゴッド</v>
          </cell>
          <cell r="O658" t="str">
            <v>none</v>
          </cell>
          <cell r="P658" t="str">
            <v>種族なし</v>
          </cell>
          <cell r="Q658" t="str">
            <v>アタッカー</v>
          </cell>
          <cell r="R658">
            <v>3</v>
          </cell>
          <cell r="S658" t="str">
            <v>NULL</v>
          </cell>
          <cell r="T658" t="str">
            <v>normal</v>
          </cell>
          <cell r="U658" t="str">
            <v>NULL</v>
          </cell>
          <cell r="V658" t="str">
            <v>NULL</v>
          </cell>
          <cell r="W658" t="str">
            <v>NULL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  <cell r="N659" t="str">
            <v>アニマル</v>
          </cell>
          <cell r="O659" t="str">
            <v>unknown</v>
          </cell>
          <cell r="P659" t="str">
            <v>Unknown</v>
          </cell>
          <cell r="Q659" t="str">
            <v>アタッカー</v>
          </cell>
          <cell r="R659">
            <v>3</v>
          </cell>
          <cell r="S659" t="str">
            <v>NULL</v>
          </cell>
          <cell r="T659" t="str">
            <v>normal</v>
          </cell>
          <cell r="U659" t="str">
            <v>NULL</v>
          </cell>
          <cell r="V659" t="str">
            <v>NULL</v>
          </cell>
          <cell r="W659" t="str">
            <v>NULL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  <cell r="N660" t="str">
            <v>アニマル</v>
          </cell>
          <cell r="O660" t="str">
            <v>unknown</v>
          </cell>
          <cell r="P660" t="str">
            <v>Unknown</v>
          </cell>
          <cell r="Q660" t="str">
            <v>アタッカー</v>
          </cell>
          <cell r="R660">
            <v>3</v>
          </cell>
          <cell r="S660" t="str">
            <v>NULL</v>
          </cell>
          <cell r="T660" t="str">
            <v>normal</v>
          </cell>
          <cell r="U660" t="str">
            <v>NULL</v>
          </cell>
          <cell r="V660" t="str">
            <v>NULL</v>
          </cell>
          <cell r="W660" t="str">
            <v>NULL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  <cell r="N661" t="str">
            <v>アニマル</v>
          </cell>
          <cell r="O661" t="str">
            <v>unknown</v>
          </cell>
          <cell r="P661" t="str">
            <v>Unknown</v>
          </cell>
          <cell r="Q661" t="str">
            <v>アタッカー</v>
          </cell>
          <cell r="R661">
            <v>3</v>
          </cell>
          <cell r="S661" t="str">
            <v>NULL</v>
          </cell>
          <cell r="T661" t="str">
            <v>normal</v>
          </cell>
          <cell r="U661" t="str">
            <v>NULL</v>
          </cell>
          <cell r="V661" t="str">
            <v>NULL</v>
          </cell>
          <cell r="W661" t="str">
            <v>NULL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  <cell r="N662" t="str">
            <v>アニマル</v>
          </cell>
          <cell r="O662" t="str">
            <v>unknown</v>
          </cell>
          <cell r="P662" t="str">
            <v>Unknown</v>
          </cell>
          <cell r="Q662" t="str">
            <v>アタッカー</v>
          </cell>
          <cell r="R662">
            <v>3</v>
          </cell>
          <cell r="S662" t="str">
            <v>NULL</v>
          </cell>
          <cell r="T662" t="str">
            <v>normal</v>
          </cell>
          <cell r="U662" t="str">
            <v>NULL</v>
          </cell>
          <cell r="V662" t="str">
            <v>NULL</v>
          </cell>
          <cell r="W662" t="str">
            <v>NULL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  <cell r="N663" t="str">
            <v>Unknown</v>
          </cell>
          <cell r="O663" t="str">
            <v>none</v>
          </cell>
          <cell r="P663" t="str">
            <v>種族なし</v>
          </cell>
          <cell r="Q663" t="str">
            <v>アタッカー</v>
          </cell>
          <cell r="R663">
            <v>3</v>
          </cell>
          <cell r="S663" t="str">
            <v>NULL</v>
          </cell>
          <cell r="T663" t="str">
            <v>normal</v>
          </cell>
          <cell r="U663" t="str">
            <v>NULL</v>
          </cell>
          <cell r="V663" t="str">
            <v>NULL</v>
          </cell>
          <cell r="W663" t="str">
            <v>NULL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  <cell r="N664" t="str">
            <v>Unknown</v>
          </cell>
          <cell r="O664" t="str">
            <v>none</v>
          </cell>
          <cell r="P664" t="str">
            <v>種族なし</v>
          </cell>
          <cell r="Q664" t="str">
            <v>アタッカー</v>
          </cell>
          <cell r="R664">
            <v>3</v>
          </cell>
          <cell r="S664" t="str">
            <v>NULL</v>
          </cell>
          <cell r="T664" t="str">
            <v>normal</v>
          </cell>
          <cell r="U664" t="str">
            <v>NULL</v>
          </cell>
          <cell r="V664" t="str">
            <v>NULL</v>
          </cell>
          <cell r="W664" t="str">
            <v>NULL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  <cell r="N665" t="str">
            <v>Unknown</v>
          </cell>
          <cell r="O665" t="str">
            <v>none</v>
          </cell>
          <cell r="P665" t="str">
            <v>種族なし</v>
          </cell>
          <cell r="Q665" t="str">
            <v>アタッカー</v>
          </cell>
          <cell r="R665">
            <v>3</v>
          </cell>
          <cell r="S665" t="str">
            <v>NULL</v>
          </cell>
          <cell r="T665" t="str">
            <v>normal</v>
          </cell>
          <cell r="U665" t="str">
            <v>NULL</v>
          </cell>
          <cell r="V665" t="str">
            <v>NULL</v>
          </cell>
          <cell r="W665" t="str">
            <v>NULL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  <cell r="N666" t="str">
            <v>Unknown</v>
          </cell>
          <cell r="O666" t="str">
            <v>none</v>
          </cell>
          <cell r="P666" t="str">
            <v>種族なし</v>
          </cell>
          <cell r="Q666" t="str">
            <v>アタッカー</v>
          </cell>
          <cell r="R666">
            <v>3</v>
          </cell>
          <cell r="S666" t="str">
            <v>NULL</v>
          </cell>
          <cell r="T666" t="str">
            <v>normal</v>
          </cell>
          <cell r="U666" t="str">
            <v>NULL</v>
          </cell>
          <cell r="V666" t="str">
            <v>NULL</v>
          </cell>
          <cell r="W666" t="str">
            <v>NULL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  <cell r="N667" t="str">
            <v>Unknown</v>
          </cell>
          <cell r="O667" t="str">
            <v>none</v>
          </cell>
          <cell r="P667" t="str">
            <v>種族なし</v>
          </cell>
          <cell r="Q667" t="str">
            <v>アタッカー</v>
          </cell>
          <cell r="R667">
            <v>3</v>
          </cell>
          <cell r="S667" t="str">
            <v>NULL</v>
          </cell>
          <cell r="T667" t="str">
            <v>normal</v>
          </cell>
          <cell r="U667" t="str">
            <v>NULL</v>
          </cell>
          <cell r="V667" t="str">
            <v>NULL</v>
          </cell>
          <cell r="W667" t="str">
            <v>NULL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  <cell r="N668" t="str">
            <v>Unknown</v>
          </cell>
          <cell r="O668" t="str">
            <v>none</v>
          </cell>
          <cell r="P668" t="str">
            <v>種族なし</v>
          </cell>
          <cell r="Q668" t="str">
            <v>アタッカー</v>
          </cell>
          <cell r="R668">
            <v>3</v>
          </cell>
          <cell r="S668" t="str">
            <v>NULL</v>
          </cell>
          <cell r="T668" t="str">
            <v>normal</v>
          </cell>
          <cell r="U668" t="str">
            <v>NULL</v>
          </cell>
          <cell r="V668" t="str">
            <v>NULL</v>
          </cell>
          <cell r="W668" t="str">
            <v>NULL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  <cell r="N669" t="str">
            <v>ゴッド</v>
          </cell>
          <cell r="O669" t="str">
            <v>none</v>
          </cell>
          <cell r="P669" t="str">
            <v>種族なし</v>
          </cell>
          <cell r="Q669" t="str">
            <v>アタッカー</v>
          </cell>
          <cell r="R669">
            <v>3</v>
          </cell>
          <cell r="S669" t="str">
            <v>NULL</v>
          </cell>
          <cell r="T669" t="str">
            <v>normal</v>
          </cell>
          <cell r="U669" t="str">
            <v>NULL</v>
          </cell>
          <cell r="V669" t="str">
            <v>NULL</v>
          </cell>
          <cell r="W669" t="str">
            <v>NULL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  <cell r="N670" t="str">
            <v>ゴッド</v>
          </cell>
          <cell r="O670" t="str">
            <v>none</v>
          </cell>
          <cell r="P670" t="str">
            <v>種族なし</v>
          </cell>
          <cell r="Q670" t="str">
            <v>アタッカー</v>
          </cell>
          <cell r="R670">
            <v>3</v>
          </cell>
          <cell r="S670" t="str">
            <v>NULL</v>
          </cell>
          <cell r="T670" t="str">
            <v>normal</v>
          </cell>
          <cell r="U670" t="str">
            <v>NULL</v>
          </cell>
          <cell r="V670" t="str">
            <v>NULL</v>
          </cell>
          <cell r="W670" t="str">
            <v>NULL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  <cell r="N671" t="str">
            <v>ゴッド</v>
          </cell>
          <cell r="O671" t="str">
            <v>none</v>
          </cell>
          <cell r="P671" t="str">
            <v>種族なし</v>
          </cell>
          <cell r="Q671" t="str">
            <v>アタッカー</v>
          </cell>
          <cell r="R671">
            <v>3</v>
          </cell>
          <cell r="S671" t="str">
            <v>NULL</v>
          </cell>
          <cell r="T671" t="str">
            <v>normal</v>
          </cell>
          <cell r="U671" t="str">
            <v>NULL</v>
          </cell>
          <cell r="V671" t="str">
            <v>NULL</v>
          </cell>
          <cell r="W671" t="str">
            <v>NULL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  <cell r="N672" t="str">
            <v>アニマル</v>
          </cell>
          <cell r="O672" t="str">
            <v>none</v>
          </cell>
          <cell r="P672" t="str">
            <v>種族なし</v>
          </cell>
          <cell r="Q672" t="str">
            <v>アタッカー</v>
          </cell>
          <cell r="R672">
            <v>3</v>
          </cell>
          <cell r="S672" t="str">
            <v>NULL</v>
          </cell>
          <cell r="T672" t="str">
            <v>normal</v>
          </cell>
          <cell r="U672" t="str">
            <v>NULL</v>
          </cell>
          <cell r="V672" t="str">
            <v>NULL</v>
          </cell>
          <cell r="W672" t="str">
            <v>NULL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  <cell r="N673" t="str">
            <v>アニマル</v>
          </cell>
          <cell r="O673" t="str">
            <v>none</v>
          </cell>
          <cell r="P673" t="str">
            <v>種族なし</v>
          </cell>
          <cell r="Q673" t="str">
            <v>アタッカー</v>
          </cell>
          <cell r="R673">
            <v>3</v>
          </cell>
          <cell r="S673" t="str">
            <v>NULL</v>
          </cell>
          <cell r="T673" t="str">
            <v>normal</v>
          </cell>
          <cell r="U673" t="str">
            <v>NULL</v>
          </cell>
          <cell r="V673" t="str">
            <v>NULL</v>
          </cell>
          <cell r="W673" t="str">
            <v>NULL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  <cell r="N674" t="str">
            <v>アニマル</v>
          </cell>
          <cell r="O674" t="str">
            <v>none</v>
          </cell>
          <cell r="P674" t="str">
            <v>種族なし</v>
          </cell>
          <cell r="Q674" t="str">
            <v>アタッカー</v>
          </cell>
          <cell r="R674">
            <v>3</v>
          </cell>
          <cell r="S674" t="str">
            <v>NULL</v>
          </cell>
          <cell r="T674" t="str">
            <v>normal</v>
          </cell>
          <cell r="U674" t="str">
            <v>NULL</v>
          </cell>
          <cell r="V674" t="str">
            <v>NULL</v>
          </cell>
          <cell r="W674" t="str">
            <v>NULL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  <cell r="N675" t="str">
            <v>ゴッド</v>
          </cell>
          <cell r="O675" t="str">
            <v>none</v>
          </cell>
          <cell r="P675" t="str">
            <v>種族なし</v>
          </cell>
          <cell r="Q675" t="str">
            <v>アタッカー</v>
          </cell>
          <cell r="R675">
            <v>3</v>
          </cell>
          <cell r="S675" t="str">
            <v>NULL</v>
          </cell>
          <cell r="T675" t="str">
            <v>normal</v>
          </cell>
          <cell r="U675" t="str">
            <v>NULL</v>
          </cell>
          <cell r="V675" t="str">
            <v>NULL</v>
          </cell>
          <cell r="W675" t="str">
            <v>NULL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  <cell r="N676" t="str">
            <v>ゴッド</v>
          </cell>
          <cell r="O676" t="str">
            <v>none</v>
          </cell>
          <cell r="P676" t="str">
            <v>種族なし</v>
          </cell>
          <cell r="Q676" t="str">
            <v>アタッカー</v>
          </cell>
          <cell r="R676">
            <v>3</v>
          </cell>
          <cell r="S676" t="str">
            <v>NULL</v>
          </cell>
          <cell r="T676" t="str">
            <v>normal</v>
          </cell>
          <cell r="U676" t="str">
            <v>NULL</v>
          </cell>
          <cell r="V676" t="str">
            <v>NULL</v>
          </cell>
          <cell r="W676" t="str">
            <v>NULL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  <cell r="N677" t="str">
            <v>ゴッド</v>
          </cell>
          <cell r="O677" t="str">
            <v>none</v>
          </cell>
          <cell r="P677" t="str">
            <v>種族なし</v>
          </cell>
          <cell r="Q677" t="str">
            <v>アタッカー</v>
          </cell>
          <cell r="R677">
            <v>3</v>
          </cell>
          <cell r="S677" t="str">
            <v>NULL</v>
          </cell>
          <cell r="T677" t="str">
            <v>normal</v>
          </cell>
          <cell r="U677" t="str">
            <v>NULL</v>
          </cell>
          <cell r="V677" t="str">
            <v>NULL</v>
          </cell>
          <cell r="W677" t="str">
            <v>NULL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  <cell r="N678" t="str">
            <v>ゴッド</v>
          </cell>
          <cell r="O678" t="str">
            <v>none</v>
          </cell>
          <cell r="P678" t="str">
            <v>種族なし</v>
          </cell>
          <cell r="Q678" t="str">
            <v>アタッカー</v>
          </cell>
          <cell r="R678">
            <v>3</v>
          </cell>
          <cell r="S678" t="str">
            <v>NULL</v>
          </cell>
          <cell r="T678" t="str">
            <v>normal</v>
          </cell>
          <cell r="U678" t="str">
            <v>NULL</v>
          </cell>
          <cell r="V678" t="str">
            <v>NULL</v>
          </cell>
          <cell r="W678" t="str">
            <v>NULL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  <cell r="N679" t="str">
            <v>ヒューマン</v>
          </cell>
          <cell r="O679" t="str">
            <v>none</v>
          </cell>
          <cell r="P679" t="str">
            <v>種族なし</v>
          </cell>
          <cell r="Q679" t="str">
            <v>アタッカー</v>
          </cell>
          <cell r="R679">
            <v>3</v>
          </cell>
          <cell r="S679" t="str">
            <v>NULL</v>
          </cell>
          <cell r="T679" t="str">
            <v>normal</v>
          </cell>
          <cell r="U679" t="str">
            <v>NULL</v>
          </cell>
          <cell r="V679" t="str">
            <v>NULL</v>
          </cell>
          <cell r="W679" t="str">
            <v>NULL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  <cell r="N680" t="str">
            <v>ヒューマン</v>
          </cell>
          <cell r="O680" t="str">
            <v>none</v>
          </cell>
          <cell r="P680" t="str">
            <v>種族なし</v>
          </cell>
          <cell r="Q680" t="str">
            <v>アタッカー</v>
          </cell>
          <cell r="R680">
            <v>3</v>
          </cell>
          <cell r="S680" t="str">
            <v>NULL</v>
          </cell>
          <cell r="T680" t="str">
            <v>normal</v>
          </cell>
          <cell r="U680" t="str">
            <v>NULL</v>
          </cell>
          <cell r="V680" t="str">
            <v>NULL</v>
          </cell>
          <cell r="W680" t="str">
            <v>NULL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  <cell r="N681" t="str">
            <v>Unknown</v>
          </cell>
          <cell r="O681" t="str">
            <v>none</v>
          </cell>
          <cell r="P681" t="str">
            <v>種族なし</v>
          </cell>
          <cell r="Q681" t="str">
            <v>経験値素材</v>
          </cell>
          <cell r="R681">
            <v>3</v>
          </cell>
          <cell r="S681" t="str">
            <v>NULL</v>
          </cell>
          <cell r="T681" t="str">
            <v>normal</v>
          </cell>
          <cell r="U681" t="str">
            <v>NULL</v>
          </cell>
          <cell r="V681" t="str">
            <v>NULL</v>
          </cell>
          <cell r="W681" t="str">
            <v>NULL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  <cell r="N682" t="str">
            <v>Unknown</v>
          </cell>
          <cell r="O682" t="str">
            <v>none</v>
          </cell>
          <cell r="P682" t="str">
            <v>種族なし</v>
          </cell>
          <cell r="Q682" t="str">
            <v>経験値素材</v>
          </cell>
          <cell r="R682">
            <v>3</v>
          </cell>
          <cell r="S682" t="str">
            <v>NULL</v>
          </cell>
          <cell r="T682" t="str">
            <v>normal</v>
          </cell>
          <cell r="U682" t="str">
            <v>NULL</v>
          </cell>
          <cell r="V682" t="str">
            <v>NULL</v>
          </cell>
          <cell r="W682" t="str">
            <v>NULL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  <cell r="N683" t="str">
            <v>Unknown</v>
          </cell>
          <cell r="O683" t="str">
            <v>none</v>
          </cell>
          <cell r="P683" t="str">
            <v>種族なし</v>
          </cell>
          <cell r="Q683" t="str">
            <v>経験値素材</v>
          </cell>
          <cell r="R683">
            <v>3</v>
          </cell>
          <cell r="S683" t="str">
            <v>NULL</v>
          </cell>
          <cell r="T683" t="str">
            <v>normal</v>
          </cell>
          <cell r="U683" t="str">
            <v>NULL</v>
          </cell>
          <cell r="V683" t="str">
            <v>NULL</v>
          </cell>
          <cell r="W683" t="str">
            <v>NULL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  <cell r="N684" t="str">
            <v>Unknown</v>
          </cell>
          <cell r="O684" t="str">
            <v>none</v>
          </cell>
          <cell r="P684" t="str">
            <v>種族なし</v>
          </cell>
          <cell r="Q684" t="str">
            <v>経験値素材</v>
          </cell>
          <cell r="R684">
            <v>3</v>
          </cell>
          <cell r="S684" t="str">
            <v>NULL</v>
          </cell>
          <cell r="T684" t="str">
            <v>normal</v>
          </cell>
          <cell r="U684" t="str">
            <v>NULL</v>
          </cell>
          <cell r="V684" t="str">
            <v>NULL</v>
          </cell>
          <cell r="W684" t="str">
            <v>NULL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  <cell r="N685" t="str">
            <v>Unknown</v>
          </cell>
          <cell r="O685" t="str">
            <v>none</v>
          </cell>
          <cell r="P685" t="str">
            <v>種族なし</v>
          </cell>
          <cell r="Q685" t="str">
            <v>経験値素材</v>
          </cell>
          <cell r="R685">
            <v>3</v>
          </cell>
          <cell r="S685" t="str">
            <v>NULL</v>
          </cell>
          <cell r="T685" t="str">
            <v>normal</v>
          </cell>
          <cell r="U685" t="str">
            <v>NULL</v>
          </cell>
          <cell r="V685" t="str">
            <v>NULL</v>
          </cell>
          <cell r="W685" t="str">
            <v>NULL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  <cell r="N686" t="str">
            <v>Unknown</v>
          </cell>
          <cell r="O686" t="str">
            <v>none</v>
          </cell>
          <cell r="P686" t="str">
            <v>種族なし</v>
          </cell>
          <cell r="Q686" t="str">
            <v>経験値素材</v>
          </cell>
          <cell r="R686">
            <v>3</v>
          </cell>
          <cell r="S686" t="str">
            <v>NULL</v>
          </cell>
          <cell r="T686" t="str">
            <v>normal</v>
          </cell>
          <cell r="U686" t="str">
            <v>NULL</v>
          </cell>
          <cell r="V686" t="str">
            <v>NULL</v>
          </cell>
          <cell r="W686" t="str">
            <v>NULL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  <cell r="N687" t="str">
            <v>Unknown</v>
          </cell>
          <cell r="O687" t="str">
            <v>none</v>
          </cell>
          <cell r="P687" t="str">
            <v>種族なし</v>
          </cell>
          <cell r="Q687" t="str">
            <v>経験値素材</v>
          </cell>
          <cell r="R687">
            <v>3</v>
          </cell>
          <cell r="S687" t="str">
            <v>NULL</v>
          </cell>
          <cell r="T687" t="str">
            <v>normal</v>
          </cell>
          <cell r="U687" t="str">
            <v>NULL</v>
          </cell>
          <cell r="V687" t="str">
            <v>NULL</v>
          </cell>
          <cell r="W687" t="str">
            <v>NULL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  <cell r="N688" t="str">
            <v>Unknown</v>
          </cell>
          <cell r="O688" t="str">
            <v>none</v>
          </cell>
          <cell r="P688" t="str">
            <v>種族なし</v>
          </cell>
          <cell r="Q688" t="str">
            <v>経験値素材</v>
          </cell>
          <cell r="R688">
            <v>3</v>
          </cell>
          <cell r="S688" t="str">
            <v>NULL</v>
          </cell>
          <cell r="T688" t="str">
            <v>normal</v>
          </cell>
          <cell r="U688" t="str">
            <v>NULL</v>
          </cell>
          <cell r="V688" t="str">
            <v>NULL</v>
          </cell>
          <cell r="W688" t="str">
            <v>NULL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  <cell r="N689" t="str">
            <v>ヒューマン</v>
          </cell>
          <cell r="O689" t="str">
            <v>none</v>
          </cell>
          <cell r="P689" t="str">
            <v>種族なし</v>
          </cell>
          <cell r="Q689" t="str">
            <v>アタッカー</v>
          </cell>
          <cell r="R689">
            <v>3</v>
          </cell>
          <cell r="S689" t="str">
            <v>NULL</v>
          </cell>
          <cell r="T689" t="str">
            <v>normal</v>
          </cell>
          <cell r="U689" t="str">
            <v>NULL</v>
          </cell>
          <cell r="V689" t="str">
            <v>NULL</v>
          </cell>
          <cell r="W689" t="str">
            <v>NULL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  <cell r="N690" t="str">
            <v>ヒューマン</v>
          </cell>
          <cell r="O690" t="str">
            <v>none</v>
          </cell>
          <cell r="P690" t="str">
            <v>種族なし</v>
          </cell>
          <cell r="Q690" t="str">
            <v>アタッカー</v>
          </cell>
          <cell r="R690">
            <v>3</v>
          </cell>
          <cell r="S690" t="str">
            <v>NULL</v>
          </cell>
          <cell r="T690" t="str">
            <v>normal</v>
          </cell>
          <cell r="U690" t="str">
            <v>NULL</v>
          </cell>
          <cell r="V690" t="str">
            <v>NULL</v>
          </cell>
          <cell r="W690" t="str">
            <v>NULL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  <cell r="N691" t="str">
            <v>ヒューマン</v>
          </cell>
          <cell r="O691" t="str">
            <v>none</v>
          </cell>
          <cell r="P691" t="str">
            <v>種族なし</v>
          </cell>
          <cell r="Q691" t="str">
            <v>アタッカー</v>
          </cell>
          <cell r="R691">
            <v>3</v>
          </cell>
          <cell r="S691" t="str">
            <v>NULL</v>
          </cell>
          <cell r="T691" t="str">
            <v>normal</v>
          </cell>
          <cell r="U691" t="str">
            <v>NULL</v>
          </cell>
          <cell r="V691" t="str">
            <v>NULL</v>
          </cell>
          <cell r="W691" t="str">
            <v>NULL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  <cell r="N692" t="str">
            <v>ヒューマン</v>
          </cell>
          <cell r="O692" t="str">
            <v>none</v>
          </cell>
          <cell r="P692" t="str">
            <v>種族なし</v>
          </cell>
          <cell r="Q692" t="str">
            <v>アタッカー</v>
          </cell>
          <cell r="R692">
            <v>3</v>
          </cell>
          <cell r="S692" t="str">
            <v>NULL</v>
          </cell>
          <cell r="T692" t="str">
            <v>normal</v>
          </cell>
          <cell r="U692" t="str">
            <v>NULL</v>
          </cell>
          <cell r="V692" t="str">
            <v>NULL</v>
          </cell>
          <cell r="W692" t="str">
            <v>NULL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  <cell r="N693" t="str">
            <v>ヒューマン</v>
          </cell>
          <cell r="O693" t="str">
            <v>none</v>
          </cell>
          <cell r="P693" t="str">
            <v>種族なし</v>
          </cell>
          <cell r="Q693" t="str">
            <v>アタッカー</v>
          </cell>
          <cell r="R693">
            <v>3</v>
          </cell>
          <cell r="S693" t="str">
            <v>NULL</v>
          </cell>
          <cell r="T693" t="str">
            <v>normal</v>
          </cell>
          <cell r="U693" t="str">
            <v>NULL</v>
          </cell>
          <cell r="V693" t="str">
            <v>NULL</v>
          </cell>
          <cell r="W693" t="str">
            <v>NULL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  <cell r="N694" t="str">
            <v>ヒューマン</v>
          </cell>
          <cell r="O694" t="str">
            <v>none</v>
          </cell>
          <cell r="P694" t="str">
            <v>種族なし</v>
          </cell>
          <cell r="Q694" t="str">
            <v>アタッカー</v>
          </cell>
          <cell r="R694">
            <v>3</v>
          </cell>
          <cell r="S694" t="str">
            <v>NULL</v>
          </cell>
          <cell r="T694" t="str">
            <v>normal</v>
          </cell>
          <cell r="U694" t="str">
            <v>NULL</v>
          </cell>
          <cell r="V694" t="str">
            <v>NULL</v>
          </cell>
          <cell r="W694" t="str">
            <v>NULL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  <cell r="N695" t="str">
            <v>ヒューマン</v>
          </cell>
          <cell r="O695" t="str">
            <v>none</v>
          </cell>
          <cell r="P695" t="str">
            <v>種族なし</v>
          </cell>
          <cell r="Q695" t="str">
            <v>アタッカー</v>
          </cell>
          <cell r="R695">
            <v>3</v>
          </cell>
          <cell r="S695" t="str">
            <v>NULL</v>
          </cell>
          <cell r="T695" t="str">
            <v>normal</v>
          </cell>
          <cell r="U695" t="str">
            <v>NULL</v>
          </cell>
          <cell r="V695" t="str">
            <v>NULL</v>
          </cell>
          <cell r="W695" t="str">
            <v>NULL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  <cell r="N696" t="str">
            <v>Unknown</v>
          </cell>
          <cell r="O696" t="str">
            <v>none</v>
          </cell>
          <cell r="P696" t="str">
            <v>種族なし</v>
          </cell>
          <cell r="Q696" t="str">
            <v>アタッカー</v>
          </cell>
          <cell r="R696">
            <v>3</v>
          </cell>
          <cell r="S696" t="str">
            <v>NULL</v>
          </cell>
          <cell r="T696" t="str">
            <v>normal</v>
          </cell>
          <cell r="U696" t="str">
            <v>NULL</v>
          </cell>
          <cell r="V696" t="str">
            <v>NULL</v>
          </cell>
          <cell r="W696" t="str">
            <v>NULL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  <cell r="N697" t="str">
            <v>Unknown</v>
          </cell>
          <cell r="O697" t="str">
            <v>none</v>
          </cell>
          <cell r="P697" t="str">
            <v>種族なし</v>
          </cell>
          <cell r="Q697" t="str">
            <v>アタッカー</v>
          </cell>
          <cell r="R697">
            <v>3</v>
          </cell>
          <cell r="S697" t="str">
            <v>NULL</v>
          </cell>
          <cell r="T697" t="str">
            <v>normal</v>
          </cell>
          <cell r="U697" t="str">
            <v>NULL</v>
          </cell>
          <cell r="V697" t="str">
            <v>NULL</v>
          </cell>
          <cell r="W697" t="str">
            <v>NULL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  <cell r="N698" t="str">
            <v>Unknown</v>
          </cell>
          <cell r="O698" t="str">
            <v>none</v>
          </cell>
          <cell r="P698" t="str">
            <v>種族なし</v>
          </cell>
          <cell r="Q698" t="str">
            <v>アタッカー</v>
          </cell>
          <cell r="R698">
            <v>3</v>
          </cell>
          <cell r="S698" t="str">
            <v>NULL</v>
          </cell>
          <cell r="T698" t="str">
            <v>normal</v>
          </cell>
          <cell r="U698" t="str">
            <v>NULL</v>
          </cell>
          <cell r="V698" t="str">
            <v>NULL</v>
          </cell>
          <cell r="W698" t="str">
            <v>NULL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  <cell r="N699" t="str">
            <v>ヒューマン</v>
          </cell>
          <cell r="O699" t="str">
            <v>unknown</v>
          </cell>
          <cell r="P699" t="str">
            <v>Unknown</v>
          </cell>
          <cell r="Q699" t="str">
            <v>アタッカー</v>
          </cell>
          <cell r="R699">
            <v>3</v>
          </cell>
          <cell r="S699" t="str">
            <v>NULL</v>
          </cell>
          <cell r="T699" t="str">
            <v>normal</v>
          </cell>
          <cell r="U699" t="str">
            <v>NULL</v>
          </cell>
          <cell r="V699" t="str">
            <v>NULL</v>
          </cell>
          <cell r="W699" t="str">
            <v>NULL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  <cell r="N700" t="str">
            <v>ヒューマン</v>
          </cell>
          <cell r="O700" t="str">
            <v>unknown</v>
          </cell>
          <cell r="P700" t="str">
            <v>Unknown</v>
          </cell>
          <cell r="Q700" t="str">
            <v>アタッカー</v>
          </cell>
          <cell r="R700">
            <v>3</v>
          </cell>
          <cell r="S700" t="str">
            <v>NULL</v>
          </cell>
          <cell r="T700" t="str">
            <v>normal</v>
          </cell>
          <cell r="U700" t="str">
            <v>NULL</v>
          </cell>
          <cell r="V700" t="str">
            <v>NULL</v>
          </cell>
          <cell r="W700" t="str">
            <v>NULL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  <cell r="N701" t="str">
            <v>ヒューマン</v>
          </cell>
          <cell r="O701" t="str">
            <v>none</v>
          </cell>
          <cell r="P701" t="str">
            <v>種族なし</v>
          </cell>
          <cell r="Q701" t="str">
            <v>アタッカー</v>
          </cell>
          <cell r="R701">
            <v>3</v>
          </cell>
          <cell r="S701" t="str">
            <v>NULL</v>
          </cell>
          <cell r="T701" t="str">
            <v>normal</v>
          </cell>
          <cell r="U701" t="str">
            <v>NULL</v>
          </cell>
          <cell r="V701" t="str">
            <v>NULL</v>
          </cell>
          <cell r="W701" t="str">
            <v>NULL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  <cell r="N702" t="str">
            <v>ヒューマン</v>
          </cell>
          <cell r="O702" t="str">
            <v>none</v>
          </cell>
          <cell r="P702" t="str">
            <v>種族なし</v>
          </cell>
          <cell r="Q702" t="str">
            <v>アタッカー</v>
          </cell>
          <cell r="R702">
            <v>3</v>
          </cell>
          <cell r="S702" t="str">
            <v>NULL</v>
          </cell>
          <cell r="T702" t="str">
            <v>normal</v>
          </cell>
          <cell r="U702" t="str">
            <v>NULL</v>
          </cell>
          <cell r="V702" t="str">
            <v>NULL</v>
          </cell>
          <cell r="W702" t="str">
            <v>NULL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  <cell r="N703" t="str">
            <v>ヒューマン</v>
          </cell>
          <cell r="O703" t="str">
            <v>none</v>
          </cell>
          <cell r="P703" t="str">
            <v>種族なし</v>
          </cell>
          <cell r="Q703" t="str">
            <v>アタッカー</v>
          </cell>
          <cell r="R703">
            <v>3</v>
          </cell>
          <cell r="S703" t="str">
            <v>NULL</v>
          </cell>
          <cell r="T703" t="str">
            <v>normal</v>
          </cell>
          <cell r="U703" t="str">
            <v>NULL</v>
          </cell>
          <cell r="V703" t="str">
            <v>NULL</v>
          </cell>
          <cell r="W703" t="str">
            <v>NULL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  <cell r="N704" t="str">
            <v>ヒューマン</v>
          </cell>
          <cell r="O704" t="str">
            <v>none</v>
          </cell>
          <cell r="P704" t="str">
            <v>種族なし</v>
          </cell>
          <cell r="Q704" t="str">
            <v>アタッカー</v>
          </cell>
          <cell r="R704">
            <v>3</v>
          </cell>
          <cell r="S704" t="str">
            <v>NULL</v>
          </cell>
          <cell r="T704" t="str">
            <v>normal</v>
          </cell>
          <cell r="U704" t="str">
            <v>NULL</v>
          </cell>
          <cell r="V704" t="str">
            <v>NULL</v>
          </cell>
          <cell r="W704" t="str">
            <v>NULL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  <cell r="N705" t="str">
            <v>ヒューマン</v>
          </cell>
          <cell r="O705" t="str">
            <v>none</v>
          </cell>
          <cell r="P705" t="str">
            <v>種族なし</v>
          </cell>
          <cell r="Q705" t="str">
            <v>アタッカー</v>
          </cell>
          <cell r="R705">
            <v>3</v>
          </cell>
          <cell r="S705" t="str">
            <v>NULL</v>
          </cell>
          <cell r="T705" t="str">
            <v>normal</v>
          </cell>
          <cell r="U705" t="str">
            <v>NULL</v>
          </cell>
          <cell r="V705" t="str">
            <v>NULL</v>
          </cell>
          <cell r="W705" t="str">
            <v>NULL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  <cell r="N706" t="str">
            <v>ヒューマン</v>
          </cell>
          <cell r="O706" t="str">
            <v>none</v>
          </cell>
          <cell r="P706" t="str">
            <v>種族なし</v>
          </cell>
          <cell r="Q706" t="str">
            <v>アタッカー</v>
          </cell>
          <cell r="R706">
            <v>3</v>
          </cell>
          <cell r="S706" t="str">
            <v>NULL</v>
          </cell>
          <cell r="T706" t="str">
            <v>normal</v>
          </cell>
          <cell r="U706" t="str">
            <v>NULL</v>
          </cell>
          <cell r="V706" t="str">
            <v>NULL</v>
          </cell>
          <cell r="W706" t="str">
            <v>NULL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  <cell r="N707" t="str">
            <v>ヒューマン</v>
          </cell>
          <cell r="O707" t="str">
            <v>none</v>
          </cell>
          <cell r="P707" t="str">
            <v>種族なし</v>
          </cell>
          <cell r="Q707" t="str">
            <v>アタッカー</v>
          </cell>
          <cell r="R707">
            <v>3</v>
          </cell>
          <cell r="S707" t="str">
            <v>NULL</v>
          </cell>
          <cell r="T707" t="str">
            <v>normal</v>
          </cell>
          <cell r="U707" t="str">
            <v>NULL</v>
          </cell>
          <cell r="V707" t="str">
            <v>NULL</v>
          </cell>
          <cell r="W707" t="str">
            <v>NULL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  <cell r="N708" t="str">
            <v>ヒューマン</v>
          </cell>
          <cell r="O708" t="str">
            <v>none</v>
          </cell>
          <cell r="P708" t="str">
            <v>種族なし</v>
          </cell>
          <cell r="Q708" t="str">
            <v>アタッカー</v>
          </cell>
          <cell r="R708">
            <v>3</v>
          </cell>
          <cell r="S708" t="str">
            <v>NULL</v>
          </cell>
          <cell r="T708" t="str">
            <v>normal</v>
          </cell>
          <cell r="U708" t="str">
            <v>NULL</v>
          </cell>
          <cell r="V708" t="str">
            <v>NULL</v>
          </cell>
          <cell r="W708" t="str">
            <v>NULL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  <cell r="N709" t="str">
            <v>ヒューマン</v>
          </cell>
          <cell r="O709" t="str">
            <v>none</v>
          </cell>
          <cell r="P709" t="str">
            <v>種族なし</v>
          </cell>
          <cell r="Q709" t="str">
            <v>アタッカー</v>
          </cell>
          <cell r="R709">
            <v>3</v>
          </cell>
          <cell r="S709" t="str">
            <v>NULL</v>
          </cell>
          <cell r="T709" t="str">
            <v>normal</v>
          </cell>
          <cell r="U709" t="str">
            <v>NULL</v>
          </cell>
          <cell r="V709" t="str">
            <v>NULL</v>
          </cell>
          <cell r="W709" t="str">
            <v>NULL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  <cell r="N710" t="str">
            <v>ヒューマン</v>
          </cell>
          <cell r="O710" t="str">
            <v>none</v>
          </cell>
          <cell r="P710" t="str">
            <v>種族なし</v>
          </cell>
          <cell r="Q710" t="str">
            <v>アタッカー</v>
          </cell>
          <cell r="R710">
            <v>3</v>
          </cell>
          <cell r="S710" t="str">
            <v>NULL</v>
          </cell>
          <cell r="T710" t="str">
            <v>normal</v>
          </cell>
          <cell r="U710" t="str">
            <v>NULL</v>
          </cell>
          <cell r="V710" t="str">
            <v>NULL</v>
          </cell>
          <cell r="W710" t="str">
            <v>NULL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  <cell r="N711" t="str">
            <v>ヒューマン</v>
          </cell>
          <cell r="O711" t="str">
            <v>none</v>
          </cell>
          <cell r="P711" t="str">
            <v>種族なし</v>
          </cell>
          <cell r="Q711" t="str">
            <v>アタッカー</v>
          </cell>
          <cell r="R711">
            <v>3</v>
          </cell>
          <cell r="S711" t="str">
            <v>NULL</v>
          </cell>
          <cell r="T711" t="str">
            <v>normal</v>
          </cell>
          <cell r="U711" t="str">
            <v>NULL</v>
          </cell>
          <cell r="V711" t="str">
            <v>NULL</v>
          </cell>
          <cell r="W711" t="str">
            <v>NULL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  <cell r="N712" t="str">
            <v>ヒューマン</v>
          </cell>
          <cell r="O712" t="str">
            <v>none</v>
          </cell>
          <cell r="P712" t="str">
            <v>種族なし</v>
          </cell>
          <cell r="Q712" t="str">
            <v>アタッカー</v>
          </cell>
          <cell r="R712">
            <v>3</v>
          </cell>
          <cell r="S712" t="str">
            <v>NULL</v>
          </cell>
          <cell r="T712" t="str">
            <v>normal</v>
          </cell>
          <cell r="U712" t="str">
            <v>NULL</v>
          </cell>
          <cell r="V712" t="str">
            <v>NULL</v>
          </cell>
          <cell r="W712" t="str">
            <v>NULL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  <cell r="N713" t="str">
            <v>ヒューマン</v>
          </cell>
          <cell r="O713" t="str">
            <v>none</v>
          </cell>
          <cell r="P713" t="str">
            <v>種族なし</v>
          </cell>
          <cell r="Q713" t="str">
            <v>アタッカー</v>
          </cell>
          <cell r="R713">
            <v>3</v>
          </cell>
          <cell r="S713" t="str">
            <v>NULL</v>
          </cell>
          <cell r="T713" t="str">
            <v>normal</v>
          </cell>
          <cell r="U713" t="str">
            <v>NULL</v>
          </cell>
          <cell r="V713" t="str">
            <v>NULL</v>
          </cell>
          <cell r="W713" t="str">
            <v>NULL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  <cell r="N714" t="str">
            <v>ヒューマン</v>
          </cell>
          <cell r="O714" t="str">
            <v>none</v>
          </cell>
          <cell r="P714" t="str">
            <v>種族なし</v>
          </cell>
          <cell r="Q714" t="str">
            <v>アタッカー</v>
          </cell>
          <cell r="R714">
            <v>3</v>
          </cell>
          <cell r="S714" t="str">
            <v>NULL</v>
          </cell>
          <cell r="T714" t="str">
            <v>normal</v>
          </cell>
          <cell r="U714" t="str">
            <v>NULL</v>
          </cell>
          <cell r="V714" t="str">
            <v>NULL</v>
          </cell>
          <cell r="W714" t="str">
            <v>NULL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  <cell r="N715" t="str">
            <v>ヒューマン</v>
          </cell>
          <cell r="O715" t="str">
            <v>none</v>
          </cell>
          <cell r="P715" t="str">
            <v>種族なし</v>
          </cell>
          <cell r="Q715" t="str">
            <v>アタッカー</v>
          </cell>
          <cell r="R715">
            <v>3</v>
          </cell>
          <cell r="S715" t="str">
            <v>NULL</v>
          </cell>
          <cell r="T715" t="str">
            <v>normal</v>
          </cell>
          <cell r="U715" t="str">
            <v>NULL</v>
          </cell>
          <cell r="V715" t="str">
            <v>NULL</v>
          </cell>
          <cell r="W715" t="str">
            <v>NULL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  <cell r="N716" t="str">
            <v>ヒューマン</v>
          </cell>
          <cell r="O716" t="str">
            <v>none</v>
          </cell>
          <cell r="P716" t="str">
            <v>種族なし</v>
          </cell>
          <cell r="Q716" t="str">
            <v>アタッカー</v>
          </cell>
          <cell r="R716">
            <v>3</v>
          </cell>
          <cell r="S716" t="str">
            <v>NULL</v>
          </cell>
          <cell r="T716" t="str">
            <v>normal</v>
          </cell>
          <cell r="U716" t="str">
            <v>NULL</v>
          </cell>
          <cell r="V716" t="str">
            <v>NULL</v>
          </cell>
          <cell r="W716" t="str">
            <v>NULL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  <cell r="N717" t="str">
            <v>ヒューマン</v>
          </cell>
          <cell r="O717" t="str">
            <v>none</v>
          </cell>
          <cell r="P717" t="str">
            <v>種族なし</v>
          </cell>
          <cell r="Q717" t="str">
            <v>アタッカー</v>
          </cell>
          <cell r="R717">
            <v>3</v>
          </cell>
          <cell r="S717" t="str">
            <v>NULL</v>
          </cell>
          <cell r="T717" t="str">
            <v>normal</v>
          </cell>
          <cell r="U717" t="str">
            <v>NULL</v>
          </cell>
          <cell r="V717" t="str">
            <v>NULL</v>
          </cell>
          <cell r="W717" t="str">
            <v>NULL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  <cell r="N718" t="str">
            <v>ヒューマン</v>
          </cell>
          <cell r="O718" t="str">
            <v>none</v>
          </cell>
          <cell r="P718" t="str">
            <v>種族なし</v>
          </cell>
          <cell r="Q718" t="str">
            <v>アタッカー</v>
          </cell>
          <cell r="R718">
            <v>3</v>
          </cell>
          <cell r="S718" t="str">
            <v>NULL</v>
          </cell>
          <cell r="T718" t="str">
            <v>normal</v>
          </cell>
          <cell r="U718" t="str">
            <v>NULL</v>
          </cell>
          <cell r="V718" t="str">
            <v>NULL</v>
          </cell>
          <cell r="W718" t="str">
            <v>NULL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  <cell r="N719" t="str">
            <v>ヒューマン</v>
          </cell>
          <cell r="O719" t="str">
            <v>none</v>
          </cell>
          <cell r="P719" t="str">
            <v>種族なし</v>
          </cell>
          <cell r="Q719" t="str">
            <v>アタッカー</v>
          </cell>
          <cell r="R719">
            <v>3</v>
          </cell>
          <cell r="S719" t="str">
            <v>NULL</v>
          </cell>
          <cell r="T719" t="str">
            <v>normal</v>
          </cell>
          <cell r="U719" t="str">
            <v>NULL</v>
          </cell>
          <cell r="V719" t="str">
            <v>NULL</v>
          </cell>
          <cell r="W719" t="str">
            <v>NULL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  <cell r="N720" t="str">
            <v>ヒューマン</v>
          </cell>
          <cell r="O720" t="str">
            <v>none</v>
          </cell>
          <cell r="P720" t="str">
            <v>種族なし</v>
          </cell>
          <cell r="Q720" t="str">
            <v>アタッカー</v>
          </cell>
          <cell r="R720">
            <v>3</v>
          </cell>
          <cell r="S720" t="str">
            <v>NULL</v>
          </cell>
          <cell r="T720" t="str">
            <v>normal</v>
          </cell>
          <cell r="U720" t="str">
            <v>NULL</v>
          </cell>
          <cell r="V720" t="str">
            <v>NULL</v>
          </cell>
          <cell r="W720" t="str">
            <v>NULL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  <cell r="N721" t="str">
            <v>ヒューマン</v>
          </cell>
          <cell r="O721" t="str">
            <v>samurai</v>
          </cell>
          <cell r="P721" t="str">
            <v>サムライ</v>
          </cell>
          <cell r="Q721" t="str">
            <v>アタッカー</v>
          </cell>
          <cell r="R721">
            <v>3</v>
          </cell>
          <cell r="S721" t="str">
            <v>NULL</v>
          </cell>
          <cell r="T721" t="str">
            <v>normal</v>
          </cell>
          <cell r="U721" t="str">
            <v>NULL</v>
          </cell>
          <cell r="V721" t="str">
            <v>NULL</v>
          </cell>
          <cell r="W721" t="str">
            <v>NULL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  <cell r="N722" t="str">
            <v>ヒューマン</v>
          </cell>
          <cell r="O722" t="str">
            <v>samurai</v>
          </cell>
          <cell r="P722" t="str">
            <v>サムライ</v>
          </cell>
          <cell r="Q722" t="str">
            <v>アタッカー</v>
          </cell>
          <cell r="R722">
            <v>3</v>
          </cell>
          <cell r="S722" t="str">
            <v>NULL</v>
          </cell>
          <cell r="T722" t="str">
            <v>normal</v>
          </cell>
          <cell r="U722" t="str">
            <v>NULL</v>
          </cell>
          <cell r="V722" t="str">
            <v>NULL</v>
          </cell>
          <cell r="W722" t="str">
            <v>NULL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  <cell r="N723" t="str">
            <v>ヒューマン</v>
          </cell>
          <cell r="O723" t="str">
            <v>samurai</v>
          </cell>
          <cell r="P723" t="str">
            <v>サムライ</v>
          </cell>
          <cell r="Q723" t="str">
            <v>アタッカー</v>
          </cell>
          <cell r="R723">
            <v>3</v>
          </cell>
          <cell r="S723" t="str">
            <v>NULL</v>
          </cell>
          <cell r="T723" t="str">
            <v>normal</v>
          </cell>
          <cell r="U723" t="str">
            <v>NULL</v>
          </cell>
          <cell r="V723" t="str">
            <v>NULL</v>
          </cell>
          <cell r="W723" t="str">
            <v>NULL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  <cell r="N724" t="str">
            <v>ヒューマン</v>
          </cell>
          <cell r="O724" t="str">
            <v>samurai</v>
          </cell>
          <cell r="P724" t="str">
            <v>サムライ</v>
          </cell>
          <cell r="Q724" t="str">
            <v>アタッカー</v>
          </cell>
          <cell r="R724">
            <v>3</v>
          </cell>
          <cell r="S724" t="str">
            <v>NULL</v>
          </cell>
          <cell r="T724" t="str">
            <v>normal</v>
          </cell>
          <cell r="U724" t="str">
            <v>NULL</v>
          </cell>
          <cell r="V724" t="str">
            <v>NULL</v>
          </cell>
          <cell r="W724" t="str">
            <v>NULL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  <cell r="N725" t="str">
            <v>ヒューマン</v>
          </cell>
          <cell r="O725" t="str">
            <v>samurai</v>
          </cell>
          <cell r="P725" t="str">
            <v>サムライ</v>
          </cell>
          <cell r="Q725" t="str">
            <v>アタッカー</v>
          </cell>
          <cell r="R725">
            <v>3</v>
          </cell>
          <cell r="S725" t="str">
            <v>NULL</v>
          </cell>
          <cell r="T725" t="str">
            <v>normal</v>
          </cell>
          <cell r="U725" t="str">
            <v>NULL</v>
          </cell>
          <cell r="V725" t="str">
            <v>NULL</v>
          </cell>
          <cell r="W725" t="str">
            <v>NULL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  <cell r="N726" t="str">
            <v>ヒューマン</v>
          </cell>
          <cell r="O726" t="str">
            <v>samurai</v>
          </cell>
          <cell r="P726" t="str">
            <v>サムライ</v>
          </cell>
          <cell r="Q726" t="str">
            <v>アタッカー</v>
          </cell>
          <cell r="R726">
            <v>3</v>
          </cell>
          <cell r="S726" t="str">
            <v>NULL</v>
          </cell>
          <cell r="T726" t="str">
            <v>normal</v>
          </cell>
          <cell r="U726" t="str">
            <v>NULL</v>
          </cell>
          <cell r="V726" t="str">
            <v>NULL</v>
          </cell>
          <cell r="W726" t="str">
            <v>NULL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  <cell r="N727" t="str">
            <v>ヒューマン</v>
          </cell>
          <cell r="O727" t="str">
            <v>samurai</v>
          </cell>
          <cell r="P727" t="str">
            <v>サムライ</v>
          </cell>
          <cell r="Q727" t="str">
            <v>アタッカー</v>
          </cell>
          <cell r="R727">
            <v>3</v>
          </cell>
          <cell r="S727" t="str">
            <v>NULL</v>
          </cell>
          <cell r="T727" t="str">
            <v>normal</v>
          </cell>
          <cell r="U727" t="str">
            <v>NULL</v>
          </cell>
          <cell r="V727" t="str">
            <v>NULL</v>
          </cell>
          <cell r="W727" t="str">
            <v>NULL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  <cell r="N728" t="str">
            <v>ヒューマン</v>
          </cell>
          <cell r="O728" t="str">
            <v>samurai</v>
          </cell>
          <cell r="P728" t="str">
            <v>サムライ</v>
          </cell>
          <cell r="Q728" t="str">
            <v>アタッカー</v>
          </cell>
          <cell r="R728">
            <v>3</v>
          </cell>
          <cell r="S728" t="str">
            <v>NULL</v>
          </cell>
          <cell r="T728" t="str">
            <v>normal</v>
          </cell>
          <cell r="U728" t="str">
            <v>NULL</v>
          </cell>
          <cell r="V728" t="str">
            <v>NULL</v>
          </cell>
          <cell r="W728" t="str">
            <v>NULL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  <cell r="N729" t="str">
            <v>ヒューマン</v>
          </cell>
          <cell r="O729" t="str">
            <v>samurai</v>
          </cell>
          <cell r="P729" t="str">
            <v>サムライ</v>
          </cell>
          <cell r="Q729" t="str">
            <v>アタッカー</v>
          </cell>
          <cell r="R729">
            <v>3</v>
          </cell>
          <cell r="S729" t="str">
            <v>NULL</v>
          </cell>
          <cell r="T729" t="str">
            <v>normal</v>
          </cell>
          <cell r="U729" t="str">
            <v>NULL</v>
          </cell>
          <cell r="V729" t="str">
            <v>NULL</v>
          </cell>
          <cell r="W729" t="str">
            <v>NULL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  <cell r="N730" t="str">
            <v>ヒューマン</v>
          </cell>
          <cell r="O730" t="str">
            <v>samurai</v>
          </cell>
          <cell r="P730" t="str">
            <v>サムライ</v>
          </cell>
          <cell r="Q730" t="str">
            <v>アタッカー</v>
          </cell>
          <cell r="R730">
            <v>3</v>
          </cell>
          <cell r="S730" t="str">
            <v>NULL</v>
          </cell>
          <cell r="T730" t="str">
            <v>normal</v>
          </cell>
          <cell r="U730" t="str">
            <v>NULL</v>
          </cell>
          <cell r="V730" t="str">
            <v>NULL</v>
          </cell>
          <cell r="W730" t="str">
            <v>NULL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  <cell r="N731" t="str">
            <v>ヒューマン</v>
          </cell>
          <cell r="O731" t="str">
            <v>none</v>
          </cell>
          <cell r="P731" t="str">
            <v>種族なし</v>
          </cell>
          <cell r="Q731" t="str">
            <v>アタッカー</v>
          </cell>
          <cell r="R731">
            <v>3</v>
          </cell>
          <cell r="S731" t="str">
            <v>NULL</v>
          </cell>
          <cell r="T731" t="str">
            <v>normal</v>
          </cell>
          <cell r="U731" t="str">
            <v>NULL</v>
          </cell>
          <cell r="V731" t="str">
            <v>NULL</v>
          </cell>
          <cell r="W731" t="str">
            <v>NULL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  <cell r="N732" t="str">
            <v>ヒューマン</v>
          </cell>
          <cell r="O732" t="str">
            <v>none</v>
          </cell>
          <cell r="P732" t="str">
            <v>種族なし</v>
          </cell>
          <cell r="Q732" t="str">
            <v>アタッカー</v>
          </cell>
          <cell r="R732">
            <v>3</v>
          </cell>
          <cell r="S732" t="str">
            <v>NULL</v>
          </cell>
          <cell r="T732" t="str">
            <v>normal</v>
          </cell>
          <cell r="U732" t="str">
            <v>NULL</v>
          </cell>
          <cell r="V732" t="str">
            <v>NULL</v>
          </cell>
          <cell r="W732" t="str">
            <v>NULL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  <cell r="N733" t="str">
            <v>ヒューマン</v>
          </cell>
          <cell r="O733" t="str">
            <v>samurai</v>
          </cell>
          <cell r="P733" t="str">
            <v>サムライ</v>
          </cell>
          <cell r="Q733" t="str">
            <v>アタッカー</v>
          </cell>
          <cell r="R733">
            <v>3</v>
          </cell>
          <cell r="S733" t="str">
            <v>NULL</v>
          </cell>
          <cell r="T733" t="str">
            <v>normal</v>
          </cell>
          <cell r="U733" t="str">
            <v>NULL</v>
          </cell>
          <cell r="V733" t="str">
            <v>NULL</v>
          </cell>
          <cell r="W733" t="str">
            <v>NULL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  <cell r="N734" t="str">
            <v>ヒューマン</v>
          </cell>
          <cell r="O734" t="str">
            <v>samurai</v>
          </cell>
          <cell r="P734" t="str">
            <v>サムライ</v>
          </cell>
          <cell r="Q734" t="str">
            <v>アタッカー</v>
          </cell>
          <cell r="R734">
            <v>3</v>
          </cell>
          <cell r="S734" t="str">
            <v>NULL</v>
          </cell>
          <cell r="T734" t="str">
            <v>normal</v>
          </cell>
          <cell r="U734" t="str">
            <v>NULL</v>
          </cell>
          <cell r="V734" t="str">
            <v>NULL</v>
          </cell>
          <cell r="W734" t="str">
            <v>NULL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  <cell r="N735" t="str">
            <v>ヒューマン</v>
          </cell>
          <cell r="O735" t="str">
            <v>samurai</v>
          </cell>
          <cell r="P735" t="str">
            <v>サムライ</v>
          </cell>
          <cell r="Q735" t="str">
            <v>アタッカー</v>
          </cell>
          <cell r="R735">
            <v>3</v>
          </cell>
          <cell r="S735" t="str">
            <v>NULL</v>
          </cell>
          <cell r="T735" t="str">
            <v>normal</v>
          </cell>
          <cell r="U735" t="str">
            <v>NULL</v>
          </cell>
          <cell r="V735" t="str">
            <v>NULL</v>
          </cell>
          <cell r="W735" t="str">
            <v>NULL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  <cell r="N736" t="str">
            <v>ヒューマン</v>
          </cell>
          <cell r="O736" t="str">
            <v>samurai</v>
          </cell>
          <cell r="P736" t="str">
            <v>サムライ</v>
          </cell>
          <cell r="Q736" t="str">
            <v>アタッカー</v>
          </cell>
          <cell r="R736">
            <v>3</v>
          </cell>
          <cell r="S736" t="str">
            <v>NULL</v>
          </cell>
          <cell r="T736" t="str">
            <v>normal</v>
          </cell>
          <cell r="U736" t="str">
            <v>NULL</v>
          </cell>
          <cell r="V736" t="str">
            <v>NULL</v>
          </cell>
          <cell r="W736" t="str">
            <v>NULL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  <cell r="N737" t="str">
            <v>アニマル</v>
          </cell>
          <cell r="O737" t="str">
            <v>none</v>
          </cell>
          <cell r="P737" t="str">
            <v>種族なし</v>
          </cell>
          <cell r="Q737" t="str">
            <v>アタッカー</v>
          </cell>
          <cell r="R737">
            <v>3</v>
          </cell>
          <cell r="S737" t="str">
            <v>NULL</v>
          </cell>
          <cell r="T737" t="str">
            <v>normal</v>
          </cell>
          <cell r="U737" t="str">
            <v>NULL</v>
          </cell>
          <cell r="V737" t="str">
            <v>NULL</v>
          </cell>
          <cell r="W737" t="str">
            <v>NULL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  <cell r="N738" t="str">
            <v>アニマル</v>
          </cell>
          <cell r="O738" t="str">
            <v>none</v>
          </cell>
          <cell r="P738" t="str">
            <v>種族なし</v>
          </cell>
          <cell r="Q738" t="str">
            <v>アタッカー</v>
          </cell>
          <cell r="R738">
            <v>3</v>
          </cell>
          <cell r="S738" t="str">
            <v>NULL</v>
          </cell>
          <cell r="T738" t="str">
            <v>normal</v>
          </cell>
          <cell r="U738" t="str">
            <v>NULL</v>
          </cell>
          <cell r="V738" t="str">
            <v>NULL</v>
          </cell>
          <cell r="W738" t="str">
            <v>NULL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  <cell r="N739" t="str">
            <v>ドラゴン</v>
          </cell>
          <cell r="O739" t="str">
            <v>machine</v>
          </cell>
          <cell r="P739" t="str">
            <v>マシン</v>
          </cell>
          <cell r="Q739" t="str">
            <v>アタッカー</v>
          </cell>
          <cell r="R739">
            <v>3</v>
          </cell>
          <cell r="S739" t="str">
            <v>NULL</v>
          </cell>
          <cell r="T739" t="str">
            <v>normal</v>
          </cell>
          <cell r="U739" t="str">
            <v>NULL</v>
          </cell>
          <cell r="V739" t="str">
            <v>NULL</v>
          </cell>
          <cell r="W739" t="str">
            <v>NULL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  <cell r="N740" t="str">
            <v>ドラゴン</v>
          </cell>
          <cell r="O740" t="str">
            <v>machine</v>
          </cell>
          <cell r="P740" t="str">
            <v>マシン</v>
          </cell>
          <cell r="Q740" t="str">
            <v>アタッカー</v>
          </cell>
          <cell r="R740">
            <v>3</v>
          </cell>
          <cell r="S740" t="str">
            <v>NULL</v>
          </cell>
          <cell r="T740" t="str">
            <v>normal</v>
          </cell>
          <cell r="U740" t="str">
            <v>NULL</v>
          </cell>
          <cell r="V740" t="str">
            <v>NULL</v>
          </cell>
          <cell r="W740" t="str">
            <v>NULL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  <cell r="N741" t="str">
            <v>ドラゴン</v>
          </cell>
          <cell r="O741" t="str">
            <v>none</v>
          </cell>
          <cell r="P741" t="str">
            <v>種族なし</v>
          </cell>
          <cell r="Q741" t="str">
            <v>アタッカー</v>
          </cell>
          <cell r="R741">
            <v>3</v>
          </cell>
          <cell r="S741" t="str">
            <v>NULL</v>
          </cell>
          <cell r="T741" t="str">
            <v>normal</v>
          </cell>
          <cell r="U741" t="str">
            <v>NULL</v>
          </cell>
          <cell r="V741" t="str">
            <v>NULL</v>
          </cell>
          <cell r="W741" t="str">
            <v>NULL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  <cell r="N742" t="str">
            <v>ドラゴン</v>
          </cell>
          <cell r="O742" t="str">
            <v>none</v>
          </cell>
          <cell r="P742" t="str">
            <v>種族なし</v>
          </cell>
          <cell r="Q742" t="str">
            <v>アタッカー</v>
          </cell>
          <cell r="R742">
            <v>3</v>
          </cell>
          <cell r="S742" t="str">
            <v>NULL</v>
          </cell>
          <cell r="T742" t="str">
            <v>normal</v>
          </cell>
          <cell r="U742" t="str">
            <v>NULL</v>
          </cell>
          <cell r="V742" t="str">
            <v>NULL</v>
          </cell>
          <cell r="W742" t="str">
            <v>NULL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  <cell r="N743" t="str">
            <v>ゴッド</v>
          </cell>
          <cell r="O743" t="str">
            <v>none</v>
          </cell>
          <cell r="P743" t="str">
            <v>種族なし</v>
          </cell>
          <cell r="Q743" t="str">
            <v>アタッカー</v>
          </cell>
          <cell r="R743">
            <v>3</v>
          </cell>
          <cell r="S743" t="str">
            <v>NULL</v>
          </cell>
          <cell r="T743" t="str">
            <v>normal</v>
          </cell>
          <cell r="U743" t="str">
            <v>NULL</v>
          </cell>
          <cell r="V743" t="str">
            <v>NULL</v>
          </cell>
          <cell r="W743" t="str">
            <v>NULL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  <cell r="N744" t="str">
            <v>ゴッド</v>
          </cell>
          <cell r="O744" t="str">
            <v>none</v>
          </cell>
          <cell r="P744" t="str">
            <v>種族なし</v>
          </cell>
          <cell r="Q744" t="str">
            <v>アタッカー</v>
          </cell>
          <cell r="R744">
            <v>3</v>
          </cell>
          <cell r="S744" t="str">
            <v>NULL</v>
          </cell>
          <cell r="T744" t="str">
            <v>normal</v>
          </cell>
          <cell r="U744" t="str">
            <v>NULL</v>
          </cell>
          <cell r="V744" t="str">
            <v>NULL</v>
          </cell>
          <cell r="W744" t="str">
            <v>NULL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  <cell r="N745" t="str">
            <v>ゴッド</v>
          </cell>
          <cell r="O745" t="str">
            <v>none</v>
          </cell>
          <cell r="P745" t="str">
            <v>種族なし</v>
          </cell>
          <cell r="Q745" t="str">
            <v>アタッカー</v>
          </cell>
          <cell r="R745">
            <v>3</v>
          </cell>
          <cell r="S745" t="str">
            <v>NULL</v>
          </cell>
          <cell r="T745" t="str">
            <v>normal</v>
          </cell>
          <cell r="U745" t="str">
            <v>NULL</v>
          </cell>
          <cell r="V745" t="str">
            <v>NULL</v>
          </cell>
          <cell r="W745" t="str">
            <v>NULL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  <cell r="N746" t="str">
            <v>ゴッド</v>
          </cell>
          <cell r="O746" t="str">
            <v>none</v>
          </cell>
          <cell r="P746" t="str">
            <v>種族なし</v>
          </cell>
          <cell r="Q746" t="str">
            <v>アタッカー</v>
          </cell>
          <cell r="R746">
            <v>3</v>
          </cell>
          <cell r="S746" t="str">
            <v>NULL</v>
          </cell>
          <cell r="T746" t="str">
            <v>normal</v>
          </cell>
          <cell r="U746" t="str">
            <v>NULL</v>
          </cell>
          <cell r="V746" t="str">
            <v>NULL</v>
          </cell>
          <cell r="W746" t="str">
            <v>NULL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  <cell r="N747" t="str">
            <v>ゴッド</v>
          </cell>
          <cell r="O747" t="str">
            <v>none</v>
          </cell>
          <cell r="P747" t="str">
            <v>種族なし</v>
          </cell>
          <cell r="Q747" t="str">
            <v>アタッカー</v>
          </cell>
          <cell r="R747">
            <v>3</v>
          </cell>
          <cell r="S747" t="str">
            <v>NULL</v>
          </cell>
          <cell r="T747" t="str">
            <v>normal</v>
          </cell>
          <cell r="U747" t="str">
            <v>NULL</v>
          </cell>
          <cell r="V747" t="str">
            <v>NULL</v>
          </cell>
          <cell r="W747" t="str">
            <v>NULL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  <cell r="N748" t="str">
            <v>ゴッド</v>
          </cell>
          <cell r="O748" t="str">
            <v>none</v>
          </cell>
          <cell r="P748" t="str">
            <v>種族なし</v>
          </cell>
          <cell r="Q748" t="str">
            <v>アタッカー</v>
          </cell>
          <cell r="R748">
            <v>3</v>
          </cell>
          <cell r="S748" t="str">
            <v>NULL</v>
          </cell>
          <cell r="T748" t="str">
            <v>normal</v>
          </cell>
          <cell r="U748" t="str">
            <v>NULL</v>
          </cell>
          <cell r="V748" t="str">
            <v>NULL</v>
          </cell>
          <cell r="W748" t="str">
            <v>NULL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  <cell r="N749" t="str">
            <v>アニマル</v>
          </cell>
          <cell r="O749" t="str">
            <v>none</v>
          </cell>
          <cell r="P749" t="str">
            <v>種族なし</v>
          </cell>
          <cell r="Q749" t="str">
            <v>アタッカー</v>
          </cell>
          <cell r="R749">
            <v>3</v>
          </cell>
          <cell r="S749" t="str">
            <v>NULL</v>
          </cell>
          <cell r="T749" t="str">
            <v>normal</v>
          </cell>
          <cell r="U749" t="str">
            <v>NULL</v>
          </cell>
          <cell r="V749" t="str">
            <v>NULL</v>
          </cell>
          <cell r="W749" t="str">
            <v>NULL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  <cell r="N750" t="str">
            <v>アニマル</v>
          </cell>
          <cell r="O750" t="str">
            <v>none</v>
          </cell>
          <cell r="P750" t="str">
            <v>種族なし</v>
          </cell>
          <cell r="Q750" t="str">
            <v>アタッカー</v>
          </cell>
          <cell r="R750">
            <v>3</v>
          </cell>
          <cell r="S750" t="str">
            <v>NULL</v>
          </cell>
          <cell r="T750" t="str">
            <v>normal</v>
          </cell>
          <cell r="U750" t="str">
            <v>NULL</v>
          </cell>
          <cell r="V750" t="str">
            <v>NULL</v>
          </cell>
          <cell r="W750" t="str">
            <v>NULL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  <cell r="N751" t="str">
            <v>アカデミア</v>
          </cell>
          <cell r="O751" t="str">
            <v>unknown</v>
          </cell>
          <cell r="P751" t="str">
            <v>Unknown</v>
          </cell>
          <cell r="Q751" t="str">
            <v>アタッカー</v>
          </cell>
          <cell r="R751">
            <v>3</v>
          </cell>
          <cell r="S751" t="str">
            <v>NULL</v>
          </cell>
          <cell r="T751" t="str">
            <v>normal</v>
          </cell>
          <cell r="U751" t="str">
            <v>NULL</v>
          </cell>
          <cell r="V751" t="str">
            <v>NULL</v>
          </cell>
          <cell r="W751" t="str">
            <v>NULL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  <cell r="N752" t="str">
            <v>アカデミア</v>
          </cell>
          <cell r="O752" t="str">
            <v>unknown</v>
          </cell>
          <cell r="P752" t="str">
            <v>Unknown</v>
          </cell>
          <cell r="Q752" t="str">
            <v>アタッカー</v>
          </cell>
          <cell r="R752">
            <v>3</v>
          </cell>
          <cell r="S752" t="str">
            <v>NULL</v>
          </cell>
          <cell r="T752" t="str">
            <v>normal</v>
          </cell>
          <cell r="U752" t="str">
            <v>NULL</v>
          </cell>
          <cell r="V752" t="str">
            <v>NULL</v>
          </cell>
          <cell r="W752" t="str">
            <v>NULL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  <cell r="N753" t="str">
            <v>ウェポン</v>
          </cell>
          <cell r="O753" t="str">
            <v>none</v>
          </cell>
          <cell r="P753" t="str">
            <v>種族なし</v>
          </cell>
          <cell r="Q753" t="str">
            <v>アタッカー</v>
          </cell>
          <cell r="R753">
            <v>3</v>
          </cell>
          <cell r="S753" t="str">
            <v>NULL</v>
          </cell>
          <cell r="T753" t="str">
            <v>normal</v>
          </cell>
          <cell r="U753" t="str">
            <v>NULL</v>
          </cell>
          <cell r="V753" t="str">
            <v>NULL</v>
          </cell>
          <cell r="W753" t="str">
            <v>NULL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  <cell r="N754" t="str">
            <v>ウェポン</v>
          </cell>
          <cell r="O754" t="str">
            <v>none</v>
          </cell>
          <cell r="P754" t="str">
            <v>種族なし</v>
          </cell>
          <cell r="Q754" t="str">
            <v>アタッカー</v>
          </cell>
          <cell r="R754">
            <v>3</v>
          </cell>
          <cell r="S754" t="str">
            <v>NULL</v>
          </cell>
          <cell r="T754" t="str">
            <v>normal</v>
          </cell>
          <cell r="U754" t="str">
            <v>NULL</v>
          </cell>
          <cell r="V754" t="str">
            <v>NULL</v>
          </cell>
          <cell r="W754" t="str">
            <v>NULL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  <cell r="N755" t="str">
            <v>ウェポン</v>
          </cell>
          <cell r="O755" t="str">
            <v>none</v>
          </cell>
          <cell r="P755" t="str">
            <v>種族なし</v>
          </cell>
          <cell r="Q755" t="str">
            <v>アタッカー</v>
          </cell>
          <cell r="R755">
            <v>3</v>
          </cell>
          <cell r="S755" t="str">
            <v>NULL</v>
          </cell>
          <cell r="T755" t="str">
            <v>normal</v>
          </cell>
          <cell r="U755" t="str">
            <v>NULL</v>
          </cell>
          <cell r="V755" t="str">
            <v>NULL</v>
          </cell>
          <cell r="W755" t="str">
            <v>NULL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  <cell r="N756" t="str">
            <v>ウェポン</v>
          </cell>
          <cell r="O756" t="str">
            <v>none</v>
          </cell>
          <cell r="P756" t="str">
            <v>種族なし</v>
          </cell>
          <cell r="Q756" t="str">
            <v>アタッカー</v>
          </cell>
          <cell r="R756">
            <v>3</v>
          </cell>
          <cell r="S756" t="str">
            <v>NULL</v>
          </cell>
          <cell r="T756" t="str">
            <v>normal</v>
          </cell>
          <cell r="U756" t="str">
            <v>NULL</v>
          </cell>
          <cell r="V756" t="str">
            <v>NULL</v>
          </cell>
          <cell r="W756" t="str">
            <v>NULL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  <cell r="N757" t="str">
            <v>ウェポン</v>
          </cell>
          <cell r="O757" t="str">
            <v>none</v>
          </cell>
          <cell r="P757" t="str">
            <v>種族なし</v>
          </cell>
          <cell r="Q757" t="str">
            <v>アタッカー</v>
          </cell>
          <cell r="R757">
            <v>3</v>
          </cell>
          <cell r="S757" t="str">
            <v>NULL</v>
          </cell>
          <cell r="T757" t="str">
            <v>normal</v>
          </cell>
          <cell r="U757" t="str">
            <v>NULL</v>
          </cell>
          <cell r="V757" t="str">
            <v>NULL</v>
          </cell>
          <cell r="W757" t="str">
            <v>NULL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  <cell r="N758" t="str">
            <v>ウェポン</v>
          </cell>
          <cell r="O758" t="str">
            <v>none</v>
          </cell>
          <cell r="P758" t="str">
            <v>種族なし</v>
          </cell>
          <cell r="Q758" t="str">
            <v>アタッカー</v>
          </cell>
          <cell r="R758">
            <v>3</v>
          </cell>
          <cell r="S758" t="str">
            <v>NULL</v>
          </cell>
          <cell r="T758" t="str">
            <v>normal</v>
          </cell>
          <cell r="U758" t="str">
            <v>NULL</v>
          </cell>
          <cell r="V758" t="str">
            <v>NULL</v>
          </cell>
          <cell r="W758" t="str">
            <v>NULL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  <cell r="N759" t="str">
            <v>ウェポン</v>
          </cell>
          <cell r="O759" t="str">
            <v>none</v>
          </cell>
          <cell r="P759" t="str">
            <v>種族なし</v>
          </cell>
          <cell r="Q759" t="str">
            <v>アタッカー</v>
          </cell>
          <cell r="R759">
            <v>1</v>
          </cell>
          <cell r="S759" t="str">
            <v>NULL</v>
          </cell>
          <cell r="T759" t="str">
            <v>normal</v>
          </cell>
          <cell r="U759" t="str">
            <v>NULL</v>
          </cell>
          <cell r="V759" t="str">
            <v>NULL</v>
          </cell>
          <cell r="W759" t="str">
            <v>NULL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  <cell r="N760" t="str">
            <v>ウェポン</v>
          </cell>
          <cell r="O760" t="str">
            <v>none</v>
          </cell>
          <cell r="P760" t="str">
            <v>種族なし</v>
          </cell>
          <cell r="Q760" t="str">
            <v>アタッカー</v>
          </cell>
          <cell r="R760">
            <v>1</v>
          </cell>
          <cell r="S760" t="str">
            <v>NULL</v>
          </cell>
          <cell r="T760" t="str">
            <v>normal</v>
          </cell>
          <cell r="U760" t="str">
            <v>NULL</v>
          </cell>
          <cell r="V760" t="str">
            <v>NULL</v>
          </cell>
          <cell r="W760" t="str">
            <v>NULL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  <cell r="N761" t="str">
            <v>ヒューマン</v>
          </cell>
          <cell r="O761" t="str">
            <v>none</v>
          </cell>
          <cell r="P761" t="str">
            <v>種族なし</v>
          </cell>
          <cell r="Q761" t="str">
            <v>アタッカー</v>
          </cell>
          <cell r="R761">
            <v>3</v>
          </cell>
          <cell r="S761" t="str">
            <v>NULL</v>
          </cell>
          <cell r="T761" t="str">
            <v>normal</v>
          </cell>
          <cell r="U761" t="str">
            <v>NULL</v>
          </cell>
          <cell r="V761" t="str">
            <v>NULL</v>
          </cell>
          <cell r="W761" t="str">
            <v>NULL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  <cell r="N762" t="str">
            <v>ヒューマン</v>
          </cell>
          <cell r="O762" t="str">
            <v>none</v>
          </cell>
          <cell r="P762" t="str">
            <v>種族なし</v>
          </cell>
          <cell r="Q762" t="str">
            <v>アタッカー</v>
          </cell>
          <cell r="R762">
            <v>3</v>
          </cell>
          <cell r="S762" t="str">
            <v>NULL</v>
          </cell>
          <cell r="T762" t="str">
            <v>normal</v>
          </cell>
          <cell r="U762" t="str">
            <v>NULL</v>
          </cell>
          <cell r="V762" t="str">
            <v>NULL</v>
          </cell>
          <cell r="W762" t="str">
            <v>NULL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  <cell r="N763" t="str">
            <v>ヒューマン</v>
          </cell>
          <cell r="O763" t="str">
            <v>machine</v>
          </cell>
          <cell r="P763" t="str">
            <v>マシン</v>
          </cell>
          <cell r="Q763" t="str">
            <v>アタッカー</v>
          </cell>
          <cell r="R763">
            <v>3</v>
          </cell>
          <cell r="S763" t="str">
            <v>NULL</v>
          </cell>
          <cell r="T763" t="str">
            <v>normal</v>
          </cell>
          <cell r="U763" t="str">
            <v>NULL</v>
          </cell>
          <cell r="V763" t="str">
            <v>NULL</v>
          </cell>
          <cell r="W763" t="str">
            <v>NULL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  <cell r="N764" t="str">
            <v>ヒューマン</v>
          </cell>
          <cell r="O764" t="str">
            <v>machine</v>
          </cell>
          <cell r="P764" t="str">
            <v>マシン</v>
          </cell>
          <cell r="Q764" t="str">
            <v>アタッカー</v>
          </cell>
          <cell r="R764">
            <v>3</v>
          </cell>
          <cell r="S764" t="str">
            <v>NULL</v>
          </cell>
          <cell r="T764" t="str">
            <v>normal</v>
          </cell>
          <cell r="U764" t="str">
            <v>NULL</v>
          </cell>
          <cell r="V764" t="str">
            <v>NULL</v>
          </cell>
          <cell r="W764" t="str">
            <v>NULL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  <cell r="N765" t="str">
            <v>アニマル</v>
          </cell>
          <cell r="O765" t="str">
            <v>none</v>
          </cell>
          <cell r="P765" t="str">
            <v>種族なし</v>
          </cell>
          <cell r="Q765" t="str">
            <v>アタッカー</v>
          </cell>
          <cell r="R765">
            <v>3</v>
          </cell>
          <cell r="S765" t="str">
            <v>NULL</v>
          </cell>
          <cell r="T765" t="str">
            <v>normal</v>
          </cell>
          <cell r="U765" t="str">
            <v>NULL</v>
          </cell>
          <cell r="V765" t="str">
            <v>NULL</v>
          </cell>
          <cell r="W765" t="str">
            <v>NULL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  <cell r="N766" t="str">
            <v>アニマル</v>
          </cell>
          <cell r="O766" t="str">
            <v>none</v>
          </cell>
          <cell r="P766" t="str">
            <v>種族なし</v>
          </cell>
          <cell r="Q766" t="str">
            <v>アタッカー</v>
          </cell>
          <cell r="R766">
            <v>3</v>
          </cell>
          <cell r="S766" t="str">
            <v>NULL</v>
          </cell>
          <cell r="T766" t="str">
            <v>normal</v>
          </cell>
          <cell r="U766" t="str">
            <v>NULL</v>
          </cell>
          <cell r="V766" t="str">
            <v>NULL</v>
          </cell>
          <cell r="W766" t="str">
            <v>NULL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  <cell r="N767" t="str">
            <v>ドラゴン</v>
          </cell>
          <cell r="O767" t="str">
            <v>none</v>
          </cell>
          <cell r="P767" t="str">
            <v>種族なし</v>
          </cell>
          <cell r="Q767" t="str">
            <v>アタッカー</v>
          </cell>
          <cell r="R767">
            <v>3</v>
          </cell>
          <cell r="S767" t="str">
            <v>NULL</v>
          </cell>
          <cell r="T767" t="str">
            <v>normal</v>
          </cell>
          <cell r="U767" t="str">
            <v>NULL</v>
          </cell>
          <cell r="V767" t="str">
            <v>NULL</v>
          </cell>
          <cell r="W767" t="str">
            <v>NULL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  <cell r="N768" t="str">
            <v>ドラゴン</v>
          </cell>
          <cell r="O768" t="str">
            <v>none</v>
          </cell>
          <cell r="P768" t="str">
            <v>種族なし</v>
          </cell>
          <cell r="Q768" t="str">
            <v>アタッカー</v>
          </cell>
          <cell r="R768">
            <v>3</v>
          </cell>
          <cell r="S768" t="str">
            <v>NULL</v>
          </cell>
          <cell r="T768" t="str">
            <v>normal</v>
          </cell>
          <cell r="U768" t="str">
            <v>NULL</v>
          </cell>
          <cell r="V768" t="str">
            <v>NULL</v>
          </cell>
          <cell r="W768" t="str">
            <v>NULL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  <cell r="N769" t="str">
            <v>ヒューマン</v>
          </cell>
          <cell r="O769" t="str">
            <v>none</v>
          </cell>
          <cell r="P769" t="str">
            <v>種族なし</v>
          </cell>
          <cell r="Q769" t="str">
            <v>アタッカー</v>
          </cell>
          <cell r="R769">
            <v>3</v>
          </cell>
          <cell r="S769" t="str">
            <v>NULL</v>
          </cell>
          <cell r="T769" t="str">
            <v>normal</v>
          </cell>
          <cell r="U769" t="str">
            <v>NULL</v>
          </cell>
          <cell r="V769" t="str">
            <v>NULL</v>
          </cell>
          <cell r="W769" t="str">
            <v>NULL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  <cell r="N770" t="str">
            <v>ヒューマン</v>
          </cell>
          <cell r="O770" t="str">
            <v>none</v>
          </cell>
          <cell r="P770" t="str">
            <v>種族なし</v>
          </cell>
          <cell r="Q770" t="str">
            <v>アタッカー</v>
          </cell>
          <cell r="R770">
            <v>3</v>
          </cell>
          <cell r="S770" t="str">
            <v>NULL</v>
          </cell>
          <cell r="T770" t="str">
            <v>normal</v>
          </cell>
          <cell r="U770" t="str">
            <v>NULL</v>
          </cell>
          <cell r="V770" t="str">
            <v>NULL</v>
          </cell>
          <cell r="W770" t="str">
            <v>NULL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  <cell r="N771" t="str">
            <v>アニマル</v>
          </cell>
          <cell r="O771" t="str">
            <v>none</v>
          </cell>
          <cell r="P771" t="str">
            <v>種族なし</v>
          </cell>
          <cell r="Q771" t="str">
            <v>アタッカー</v>
          </cell>
          <cell r="R771">
            <v>3</v>
          </cell>
          <cell r="S771" t="str">
            <v>NULL</v>
          </cell>
          <cell r="T771" t="str">
            <v>normal</v>
          </cell>
          <cell r="U771" t="str">
            <v>NULL</v>
          </cell>
          <cell r="V771" t="str">
            <v>NULL</v>
          </cell>
          <cell r="W771" t="str">
            <v>NULL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  <cell r="N772" t="str">
            <v>アニマル</v>
          </cell>
          <cell r="O772" t="str">
            <v>none</v>
          </cell>
          <cell r="P772" t="str">
            <v>種族なし</v>
          </cell>
          <cell r="Q772" t="str">
            <v>アタッカー</v>
          </cell>
          <cell r="R772">
            <v>3</v>
          </cell>
          <cell r="S772" t="str">
            <v>NULL</v>
          </cell>
          <cell r="T772" t="str">
            <v>normal</v>
          </cell>
          <cell r="U772" t="str">
            <v>NULL</v>
          </cell>
          <cell r="V772" t="str">
            <v>NULL</v>
          </cell>
          <cell r="W772" t="str">
            <v>NULL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  <cell r="N773" t="str">
            <v>アニマル</v>
          </cell>
          <cell r="O773" t="str">
            <v>none</v>
          </cell>
          <cell r="P773" t="str">
            <v>種族なし</v>
          </cell>
          <cell r="Q773" t="str">
            <v>アタッカー</v>
          </cell>
          <cell r="R773">
            <v>3</v>
          </cell>
          <cell r="S773" t="str">
            <v>NULL</v>
          </cell>
          <cell r="T773" t="str">
            <v>normal</v>
          </cell>
          <cell r="U773" t="str">
            <v>NULL</v>
          </cell>
          <cell r="V773" t="str">
            <v>NULL</v>
          </cell>
          <cell r="W773" t="str">
            <v>NULL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  <cell r="N774" t="str">
            <v>アニマル</v>
          </cell>
          <cell r="O774" t="str">
            <v>none</v>
          </cell>
          <cell r="P774" t="str">
            <v>種族なし</v>
          </cell>
          <cell r="Q774" t="str">
            <v>アタッカー</v>
          </cell>
          <cell r="R774">
            <v>3</v>
          </cell>
          <cell r="S774" t="str">
            <v>NULL</v>
          </cell>
          <cell r="T774" t="str">
            <v>normal</v>
          </cell>
          <cell r="U774" t="str">
            <v>NULL</v>
          </cell>
          <cell r="V774" t="str">
            <v>NULL</v>
          </cell>
          <cell r="W774" t="str">
            <v>NULL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  <cell r="N775" t="str">
            <v>ドラゴン</v>
          </cell>
          <cell r="O775" t="str">
            <v>none</v>
          </cell>
          <cell r="P775" t="str">
            <v>種族なし</v>
          </cell>
          <cell r="Q775" t="str">
            <v>アタッカー</v>
          </cell>
          <cell r="R775">
            <v>3</v>
          </cell>
          <cell r="S775" t="str">
            <v>NULL</v>
          </cell>
          <cell r="T775" t="str">
            <v>normal</v>
          </cell>
          <cell r="U775" t="str">
            <v>NULL</v>
          </cell>
          <cell r="V775" t="str">
            <v>NULL</v>
          </cell>
          <cell r="W775" t="str">
            <v>NULL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  <cell r="N776" t="str">
            <v>ドラゴン</v>
          </cell>
          <cell r="O776" t="str">
            <v>none</v>
          </cell>
          <cell r="P776" t="str">
            <v>種族なし</v>
          </cell>
          <cell r="Q776" t="str">
            <v>アタッカー</v>
          </cell>
          <cell r="R776">
            <v>3</v>
          </cell>
          <cell r="S776" t="str">
            <v>NULL</v>
          </cell>
          <cell r="T776" t="str">
            <v>normal</v>
          </cell>
          <cell r="U776" t="str">
            <v>NULL</v>
          </cell>
          <cell r="V776" t="str">
            <v>NULL</v>
          </cell>
          <cell r="W776" t="str">
            <v>NULL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  <cell r="N777" t="str">
            <v>ドラゴン</v>
          </cell>
          <cell r="O777" t="str">
            <v>none</v>
          </cell>
          <cell r="P777" t="str">
            <v>種族なし</v>
          </cell>
          <cell r="Q777" t="str">
            <v>アタッカー</v>
          </cell>
          <cell r="R777">
            <v>3</v>
          </cell>
          <cell r="S777" t="str">
            <v>NULL</v>
          </cell>
          <cell r="T777" t="str">
            <v>normal</v>
          </cell>
          <cell r="U777" t="str">
            <v>NULL</v>
          </cell>
          <cell r="V777" t="str">
            <v>NULL</v>
          </cell>
          <cell r="W777" t="str">
            <v>NULL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  <cell r="N778" t="str">
            <v>アニマル</v>
          </cell>
          <cell r="O778" t="str">
            <v>none</v>
          </cell>
          <cell r="P778" t="str">
            <v>種族なし</v>
          </cell>
          <cell r="Q778" t="str">
            <v>アタッカー</v>
          </cell>
          <cell r="R778">
            <v>3</v>
          </cell>
          <cell r="S778" t="str">
            <v>NULL</v>
          </cell>
          <cell r="T778" t="str">
            <v>normal</v>
          </cell>
          <cell r="U778" t="str">
            <v>NULL</v>
          </cell>
          <cell r="V778" t="str">
            <v>NULL</v>
          </cell>
          <cell r="W778" t="str">
            <v>NULL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  <cell r="N779" t="str">
            <v>アニマル</v>
          </cell>
          <cell r="O779" t="str">
            <v>none</v>
          </cell>
          <cell r="P779" t="str">
            <v>種族なし</v>
          </cell>
          <cell r="Q779" t="str">
            <v>アタッカー</v>
          </cell>
          <cell r="R779">
            <v>3</v>
          </cell>
          <cell r="S779" t="str">
            <v>NULL</v>
          </cell>
          <cell r="T779" t="str">
            <v>normal</v>
          </cell>
          <cell r="U779" t="str">
            <v>NULL</v>
          </cell>
          <cell r="V779" t="str">
            <v>NULL</v>
          </cell>
          <cell r="W779" t="str">
            <v>NULL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  <cell r="N780" t="str">
            <v>アニマル</v>
          </cell>
          <cell r="O780" t="str">
            <v>none</v>
          </cell>
          <cell r="P780" t="str">
            <v>種族なし</v>
          </cell>
          <cell r="Q780" t="str">
            <v>アタッカー</v>
          </cell>
          <cell r="R780">
            <v>3</v>
          </cell>
          <cell r="S780" t="str">
            <v>NULL</v>
          </cell>
          <cell r="T780" t="str">
            <v>normal</v>
          </cell>
          <cell r="U780" t="str">
            <v>NULL</v>
          </cell>
          <cell r="V780" t="str">
            <v>NULL</v>
          </cell>
          <cell r="W780" t="str">
            <v>NULL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  <cell r="N781" t="str">
            <v>Unknown</v>
          </cell>
          <cell r="O781" t="str">
            <v>none</v>
          </cell>
          <cell r="P781" t="str">
            <v>種族なし</v>
          </cell>
          <cell r="Q781" t="str">
            <v>アタッカー</v>
          </cell>
          <cell r="R781">
            <v>3</v>
          </cell>
          <cell r="S781" t="str">
            <v>NULL</v>
          </cell>
          <cell r="T781" t="str">
            <v>normal</v>
          </cell>
          <cell r="U781" t="str">
            <v>NULL</v>
          </cell>
          <cell r="V781" t="str">
            <v>NULL</v>
          </cell>
          <cell r="W781" t="str">
            <v>NULL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  <cell r="N782" t="str">
            <v>Unknown</v>
          </cell>
          <cell r="O782" t="str">
            <v>none</v>
          </cell>
          <cell r="P782" t="str">
            <v>種族なし</v>
          </cell>
          <cell r="Q782" t="str">
            <v>アタッカー</v>
          </cell>
          <cell r="R782">
            <v>3</v>
          </cell>
          <cell r="S782" t="str">
            <v>NULL</v>
          </cell>
          <cell r="T782" t="str">
            <v>normal</v>
          </cell>
          <cell r="U782" t="str">
            <v>NULL</v>
          </cell>
          <cell r="V782" t="str">
            <v>NULL</v>
          </cell>
          <cell r="W782" t="str">
            <v>NULL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  <cell r="N783" t="str">
            <v>マシン</v>
          </cell>
          <cell r="O783" t="str">
            <v>god</v>
          </cell>
          <cell r="P783" t="str">
            <v>ゴッド</v>
          </cell>
          <cell r="Q783" t="str">
            <v>アタッカー</v>
          </cell>
          <cell r="R783">
            <v>3</v>
          </cell>
          <cell r="S783" t="str">
            <v>NULL</v>
          </cell>
          <cell r="T783" t="str">
            <v>normal</v>
          </cell>
          <cell r="U783" t="str">
            <v>NULL</v>
          </cell>
          <cell r="V783" t="str">
            <v>NULL</v>
          </cell>
          <cell r="W783" t="str">
            <v>NULL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  <cell r="N784" t="str">
            <v>アカデミア</v>
          </cell>
          <cell r="O784" t="str">
            <v>unknown</v>
          </cell>
          <cell r="P784" t="str">
            <v>Unknown</v>
          </cell>
          <cell r="Q784" t="str">
            <v>アタッカー</v>
          </cell>
          <cell r="R784">
            <v>3</v>
          </cell>
          <cell r="S784" t="str">
            <v>NULL</v>
          </cell>
          <cell r="T784" t="str">
            <v>normal</v>
          </cell>
          <cell r="U784" t="str">
            <v>NULL</v>
          </cell>
          <cell r="V784" t="str">
            <v>NULL</v>
          </cell>
          <cell r="W784" t="str">
            <v>NULL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  <cell r="N785" t="str">
            <v>アカデミア</v>
          </cell>
          <cell r="O785" t="str">
            <v>unknown</v>
          </cell>
          <cell r="P785" t="str">
            <v>Unknown</v>
          </cell>
          <cell r="Q785" t="str">
            <v>アタッカー</v>
          </cell>
          <cell r="R785">
            <v>3</v>
          </cell>
          <cell r="S785" t="str">
            <v>NULL</v>
          </cell>
          <cell r="T785" t="str">
            <v>normal</v>
          </cell>
          <cell r="U785" t="str">
            <v>NULL</v>
          </cell>
          <cell r="V785" t="str">
            <v>NULL</v>
          </cell>
          <cell r="W785" t="str">
            <v>NULL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  <cell r="N786" t="str">
            <v>Unknown</v>
          </cell>
          <cell r="O786" t="str">
            <v>none</v>
          </cell>
          <cell r="P786" t="str">
            <v>種族なし</v>
          </cell>
          <cell r="Q786" t="str">
            <v>アタッカー</v>
          </cell>
          <cell r="R786">
            <v>3</v>
          </cell>
          <cell r="S786" t="str">
            <v>NULL</v>
          </cell>
          <cell r="T786" t="str">
            <v>normal</v>
          </cell>
          <cell r="U786" t="str">
            <v>NULL</v>
          </cell>
          <cell r="V786" t="str">
            <v>NULL</v>
          </cell>
          <cell r="W786" t="str">
            <v>NULL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  <cell r="N787" t="str">
            <v>ドラゴン</v>
          </cell>
          <cell r="O787" t="str">
            <v>human</v>
          </cell>
          <cell r="P787" t="str">
            <v>ヒューマン</v>
          </cell>
          <cell r="Q787" t="str">
            <v>アタッカー</v>
          </cell>
          <cell r="R787">
            <v>3</v>
          </cell>
          <cell r="S787" t="str">
            <v>NULL</v>
          </cell>
          <cell r="T787" t="str">
            <v>normal</v>
          </cell>
          <cell r="U787" t="str">
            <v>NULL</v>
          </cell>
          <cell r="V787" t="str">
            <v>NULL</v>
          </cell>
          <cell r="W787" t="str">
            <v>NULL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  <cell r="N788" t="str">
            <v>ドラゴン</v>
          </cell>
          <cell r="O788" t="str">
            <v>human</v>
          </cell>
          <cell r="P788" t="str">
            <v>ヒューマン</v>
          </cell>
          <cell r="Q788" t="str">
            <v>アタッカー</v>
          </cell>
          <cell r="R788">
            <v>3</v>
          </cell>
          <cell r="S788" t="str">
            <v>NULL</v>
          </cell>
          <cell r="T788" t="str">
            <v>normal</v>
          </cell>
          <cell r="U788" t="str">
            <v>NULL</v>
          </cell>
          <cell r="V788" t="str">
            <v>NULL</v>
          </cell>
          <cell r="W788" t="str">
            <v>NULL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  <cell r="N789" t="str">
            <v>ゴッド</v>
          </cell>
          <cell r="O789" t="str">
            <v>animal</v>
          </cell>
          <cell r="P789" t="str">
            <v>アニマル</v>
          </cell>
          <cell r="Q789" t="str">
            <v>アタッカー</v>
          </cell>
          <cell r="R789">
            <v>3</v>
          </cell>
          <cell r="S789" t="str">
            <v>NULL</v>
          </cell>
          <cell r="T789" t="str">
            <v>normal</v>
          </cell>
          <cell r="U789" t="str">
            <v>NULL</v>
          </cell>
          <cell r="V789" t="str">
            <v>NULL</v>
          </cell>
          <cell r="W789" t="str">
            <v>NULL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  <cell r="N790" t="str">
            <v>ゴッド</v>
          </cell>
          <cell r="O790" t="str">
            <v>animal</v>
          </cell>
          <cell r="P790" t="str">
            <v>アニマル</v>
          </cell>
          <cell r="Q790" t="str">
            <v>アタッカー</v>
          </cell>
          <cell r="R790">
            <v>3</v>
          </cell>
          <cell r="S790" t="str">
            <v>NULL</v>
          </cell>
          <cell r="T790" t="str">
            <v>normal</v>
          </cell>
          <cell r="U790" t="str">
            <v>NULL</v>
          </cell>
          <cell r="V790" t="str">
            <v>NULL</v>
          </cell>
          <cell r="W790" t="str">
            <v>NULL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  <cell r="N791" t="str">
            <v>マシン</v>
          </cell>
          <cell r="O791" t="str">
            <v>human</v>
          </cell>
          <cell r="P791" t="str">
            <v>ヒューマン</v>
          </cell>
          <cell r="Q791" t="str">
            <v>アタッカー</v>
          </cell>
          <cell r="R791">
            <v>3</v>
          </cell>
          <cell r="S791" t="str">
            <v>NULL</v>
          </cell>
          <cell r="T791" t="str">
            <v>normal</v>
          </cell>
          <cell r="U791" t="str">
            <v>NULL</v>
          </cell>
          <cell r="V791" t="str">
            <v>NULL</v>
          </cell>
          <cell r="W791" t="str">
            <v>NULL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  <cell r="N792" t="str">
            <v>マシン</v>
          </cell>
          <cell r="O792" t="str">
            <v>human</v>
          </cell>
          <cell r="P792" t="str">
            <v>ヒューマン</v>
          </cell>
          <cell r="Q792" t="str">
            <v>アタッカー</v>
          </cell>
          <cell r="R792">
            <v>3</v>
          </cell>
          <cell r="S792" t="str">
            <v>NULL</v>
          </cell>
          <cell r="T792" t="str">
            <v>normal</v>
          </cell>
          <cell r="U792" t="str">
            <v>NULL</v>
          </cell>
          <cell r="V792" t="str">
            <v>NULL</v>
          </cell>
          <cell r="W792" t="str">
            <v>NULL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  <cell r="N793" t="str">
            <v>ヒューマン</v>
          </cell>
          <cell r="O793" t="str">
            <v>none</v>
          </cell>
          <cell r="P793" t="str">
            <v>種族なし</v>
          </cell>
          <cell r="Q793" t="str">
            <v>アタッカー</v>
          </cell>
          <cell r="R793">
            <v>3</v>
          </cell>
          <cell r="S793" t="str">
            <v>NULL</v>
          </cell>
          <cell r="T793" t="str">
            <v>normal</v>
          </cell>
          <cell r="U793" t="str">
            <v>NULL</v>
          </cell>
          <cell r="V793" t="str">
            <v>NULL</v>
          </cell>
          <cell r="W793" t="str">
            <v>NULL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  <cell r="N794" t="str">
            <v>アカデミア</v>
          </cell>
          <cell r="O794" t="str">
            <v>none</v>
          </cell>
          <cell r="P794" t="str">
            <v>種族なし</v>
          </cell>
          <cell r="Q794" t="str">
            <v>アタッカー</v>
          </cell>
          <cell r="R794">
            <v>3</v>
          </cell>
          <cell r="S794" t="str">
            <v>NULL</v>
          </cell>
          <cell r="T794" t="str">
            <v>normal</v>
          </cell>
          <cell r="U794" t="str">
            <v>NULL</v>
          </cell>
          <cell r="V794" t="str">
            <v>NULL</v>
          </cell>
          <cell r="W794" t="str">
            <v>NULL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  <cell r="N795" t="str">
            <v>Unknown</v>
          </cell>
          <cell r="O795" t="str">
            <v>none</v>
          </cell>
          <cell r="P795" t="str">
            <v>種族なし</v>
          </cell>
          <cell r="Q795" t="str">
            <v>アタッカー</v>
          </cell>
          <cell r="R795">
            <v>3</v>
          </cell>
          <cell r="S795" t="str">
            <v>NULL</v>
          </cell>
          <cell r="T795" t="str">
            <v>normal</v>
          </cell>
          <cell r="U795" t="str">
            <v>NULL</v>
          </cell>
          <cell r="V795" t="str">
            <v>NULL</v>
          </cell>
          <cell r="W795" t="str">
            <v>NULL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  <cell r="N796" t="str">
            <v>Unknown</v>
          </cell>
          <cell r="O796" t="str">
            <v>none</v>
          </cell>
          <cell r="P796" t="str">
            <v>種族なし</v>
          </cell>
          <cell r="Q796" t="str">
            <v>スキル進化素材</v>
          </cell>
          <cell r="R796">
            <v>3</v>
          </cell>
          <cell r="S796" t="str">
            <v>NULL</v>
          </cell>
          <cell r="T796" t="str">
            <v>normal</v>
          </cell>
          <cell r="U796" t="str">
            <v>NULL</v>
          </cell>
          <cell r="V796" t="str">
            <v>NULL</v>
          </cell>
          <cell r="W796" t="str">
            <v>NULL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  <cell r="N797" t="str">
            <v>ヒューマン</v>
          </cell>
          <cell r="O797" t="str">
            <v>none</v>
          </cell>
          <cell r="P797" t="str">
            <v>種族なし</v>
          </cell>
          <cell r="Q797" t="str">
            <v>アタッカー</v>
          </cell>
          <cell r="R797">
            <v>3</v>
          </cell>
          <cell r="S797" t="str">
            <v>NULL</v>
          </cell>
          <cell r="T797" t="str">
            <v>normal</v>
          </cell>
          <cell r="U797" t="str">
            <v>NULL</v>
          </cell>
          <cell r="V797" t="str">
            <v>NULL</v>
          </cell>
          <cell r="W797" t="str">
            <v>NULL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  <cell r="N798" t="str">
            <v>アニマル</v>
          </cell>
          <cell r="O798" t="str">
            <v>none</v>
          </cell>
          <cell r="P798" t="str">
            <v>種族なし</v>
          </cell>
          <cell r="Q798" t="str">
            <v>アタッカー</v>
          </cell>
          <cell r="R798">
            <v>3</v>
          </cell>
          <cell r="S798" t="str">
            <v>NULL</v>
          </cell>
          <cell r="T798" t="str">
            <v>normal</v>
          </cell>
          <cell r="U798" t="str">
            <v>NULL</v>
          </cell>
          <cell r="V798" t="str">
            <v>NULL</v>
          </cell>
          <cell r="W798" t="str">
            <v>NULL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  <cell r="N799" t="str">
            <v>ヒューマン</v>
          </cell>
          <cell r="O799" t="str">
            <v>none</v>
          </cell>
          <cell r="P799" t="str">
            <v>種族なし</v>
          </cell>
          <cell r="Q799" t="str">
            <v>アタッカー</v>
          </cell>
          <cell r="R799">
            <v>3</v>
          </cell>
          <cell r="S799" t="str">
            <v>NULL</v>
          </cell>
          <cell r="T799" t="str">
            <v>normal</v>
          </cell>
          <cell r="U799" t="str">
            <v>NULL</v>
          </cell>
          <cell r="V799" t="str">
            <v>NULL</v>
          </cell>
          <cell r="W799" t="str">
            <v>NULL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  <cell r="N800" t="str">
            <v>ヒューマン</v>
          </cell>
          <cell r="O800" t="str">
            <v>machine</v>
          </cell>
          <cell r="P800" t="str">
            <v>マシン</v>
          </cell>
          <cell r="Q800" t="str">
            <v>アタッカー</v>
          </cell>
          <cell r="R800">
            <v>3</v>
          </cell>
          <cell r="S800" t="str">
            <v>NULL</v>
          </cell>
          <cell r="T800" t="str">
            <v>normal</v>
          </cell>
          <cell r="U800" t="str">
            <v>NULL</v>
          </cell>
          <cell r="V800" t="str">
            <v>NULL</v>
          </cell>
          <cell r="W800" t="str">
            <v>NULL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  <cell r="N801" t="str">
            <v>ヒューマン</v>
          </cell>
          <cell r="O801" t="str">
            <v>none</v>
          </cell>
          <cell r="P801" t="str">
            <v>種族なし</v>
          </cell>
          <cell r="Q801" t="str">
            <v>アタッカー</v>
          </cell>
          <cell r="R801">
            <v>3</v>
          </cell>
          <cell r="S801" t="str">
            <v>NULL</v>
          </cell>
          <cell r="T801" t="str">
            <v>normal</v>
          </cell>
          <cell r="U801" t="str">
            <v>NULL</v>
          </cell>
          <cell r="V801" t="str">
            <v>NULL</v>
          </cell>
          <cell r="W801" t="str">
            <v>NULL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  <cell r="N802" t="str">
            <v>マシン</v>
          </cell>
          <cell r="O802" t="str">
            <v>god</v>
          </cell>
          <cell r="P802" t="str">
            <v>ゴッド</v>
          </cell>
          <cell r="Q802" t="str">
            <v>アタッカー</v>
          </cell>
          <cell r="R802">
            <v>3</v>
          </cell>
          <cell r="S802" t="str">
            <v>NULL</v>
          </cell>
          <cell r="T802" t="str">
            <v>normal</v>
          </cell>
          <cell r="U802" t="str">
            <v>NULL</v>
          </cell>
          <cell r="V802" t="str">
            <v>NULL</v>
          </cell>
          <cell r="W802" t="str">
            <v>NULL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  <cell r="N803" t="str">
            <v>ゴッド</v>
          </cell>
          <cell r="O803" t="str">
            <v>none</v>
          </cell>
          <cell r="P803" t="str">
            <v>種族なし</v>
          </cell>
          <cell r="Q803" t="str">
            <v>アタッカー</v>
          </cell>
          <cell r="R803">
            <v>3</v>
          </cell>
          <cell r="S803" t="str">
            <v>NULL</v>
          </cell>
          <cell r="T803" t="str">
            <v>normal</v>
          </cell>
          <cell r="U803" t="str">
            <v>NULL</v>
          </cell>
          <cell r="V803" t="str">
            <v>NULL</v>
          </cell>
          <cell r="W803" t="str">
            <v>NULL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  <cell r="N804" t="str">
            <v>ヒューマン</v>
          </cell>
          <cell r="O804" t="str">
            <v>none</v>
          </cell>
          <cell r="P804" t="str">
            <v>種族なし</v>
          </cell>
          <cell r="Q804" t="str">
            <v>アタッカー</v>
          </cell>
          <cell r="R804">
            <v>3</v>
          </cell>
          <cell r="S804" t="str">
            <v>NULL</v>
          </cell>
          <cell r="T804" t="str">
            <v>normal</v>
          </cell>
          <cell r="U804" t="str">
            <v>NULL</v>
          </cell>
          <cell r="V804" t="str">
            <v>NULL</v>
          </cell>
          <cell r="W804" t="str">
            <v>NULL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  <cell r="N805" t="str">
            <v>ヒューマン</v>
          </cell>
          <cell r="O805" t="str">
            <v>none</v>
          </cell>
          <cell r="P805" t="str">
            <v>種族なし</v>
          </cell>
          <cell r="Q805" t="str">
            <v>アタッカー</v>
          </cell>
          <cell r="R805">
            <v>3</v>
          </cell>
          <cell r="S805" t="str">
            <v>NULL</v>
          </cell>
          <cell r="T805" t="str">
            <v>normal</v>
          </cell>
          <cell r="U805" t="str">
            <v>NULL</v>
          </cell>
          <cell r="V805" t="str">
            <v>NULL</v>
          </cell>
          <cell r="W805" t="str">
            <v>NULL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  <cell r="N806" t="str">
            <v>ゴッド</v>
          </cell>
          <cell r="O806" t="str">
            <v>none</v>
          </cell>
          <cell r="P806" t="str">
            <v>種族なし</v>
          </cell>
          <cell r="Q806" t="str">
            <v>アタッカー</v>
          </cell>
          <cell r="R806">
            <v>3</v>
          </cell>
          <cell r="S806" t="str">
            <v>NULL</v>
          </cell>
          <cell r="T806" t="str">
            <v>normal</v>
          </cell>
          <cell r="U806" t="str">
            <v>NULL</v>
          </cell>
          <cell r="V806" t="str">
            <v>NULL</v>
          </cell>
          <cell r="W806" t="str">
            <v>NULL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  <cell r="N807" t="str">
            <v>ゴッド</v>
          </cell>
          <cell r="O807" t="str">
            <v>none</v>
          </cell>
          <cell r="P807" t="str">
            <v>種族なし</v>
          </cell>
          <cell r="Q807" t="str">
            <v>アタッカー</v>
          </cell>
          <cell r="R807">
            <v>3</v>
          </cell>
          <cell r="S807" t="str">
            <v>NULL</v>
          </cell>
          <cell r="T807" t="str">
            <v>normal</v>
          </cell>
          <cell r="U807" t="str">
            <v>NULL</v>
          </cell>
          <cell r="V807" t="str">
            <v>NULL</v>
          </cell>
          <cell r="W807" t="str">
            <v>NULL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  <cell r="N808" t="str">
            <v>ゴッド</v>
          </cell>
          <cell r="O808" t="str">
            <v>none</v>
          </cell>
          <cell r="P808" t="str">
            <v>種族なし</v>
          </cell>
          <cell r="Q808" t="str">
            <v>アタッカー</v>
          </cell>
          <cell r="R808">
            <v>3</v>
          </cell>
          <cell r="S808" t="str">
            <v>NULL</v>
          </cell>
          <cell r="T808" t="str">
            <v>normal</v>
          </cell>
          <cell r="U808" t="str">
            <v>NULL</v>
          </cell>
          <cell r="V808" t="str">
            <v>NULL</v>
          </cell>
          <cell r="W808" t="str">
            <v>NULL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  <cell r="N809" t="str">
            <v>ゴッド</v>
          </cell>
          <cell r="O809" t="str">
            <v>none</v>
          </cell>
          <cell r="P809" t="str">
            <v>種族なし</v>
          </cell>
          <cell r="Q809" t="str">
            <v>アタッカー</v>
          </cell>
          <cell r="R809">
            <v>3</v>
          </cell>
          <cell r="S809" t="str">
            <v>NULL</v>
          </cell>
          <cell r="T809" t="str">
            <v>normal</v>
          </cell>
          <cell r="U809" t="str">
            <v>NULL</v>
          </cell>
          <cell r="V809" t="str">
            <v>NULL</v>
          </cell>
          <cell r="W809" t="str">
            <v>NULL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  <cell r="N810" t="str">
            <v>ヒューマン</v>
          </cell>
          <cell r="O810" t="str">
            <v>none</v>
          </cell>
          <cell r="P810" t="str">
            <v>種族なし</v>
          </cell>
          <cell r="Q810" t="str">
            <v>アタッカー</v>
          </cell>
          <cell r="R810">
            <v>3</v>
          </cell>
          <cell r="S810" t="str">
            <v>NULL</v>
          </cell>
          <cell r="T810" t="str">
            <v>normal</v>
          </cell>
          <cell r="U810" t="str">
            <v>NULL</v>
          </cell>
          <cell r="V810" t="str">
            <v>NULL</v>
          </cell>
          <cell r="W810" t="str">
            <v>NULL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  <cell r="N811" t="str">
            <v>ゴッド</v>
          </cell>
          <cell r="O811" t="str">
            <v>none</v>
          </cell>
          <cell r="P811" t="str">
            <v>種族なし</v>
          </cell>
          <cell r="Q811" t="str">
            <v>アタッカー</v>
          </cell>
          <cell r="R811">
            <v>3</v>
          </cell>
          <cell r="S811" t="str">
            <v>NULL</v>
          </cell>
          <cell r="T811" t="str">
            <v>normal</v>
          </cell>
          <cell r="U811" t="str">
            <v>NULL</v>
          </cell>
          <cell r="V811" t="str">
            <v>NULL</v>
          </cell>
          <cell r="W811" t="str">
            <v>NULL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  <cell r="N812" t="str">
            <v>ヒューマン</v>
          </cell>
          <cell r="O812" t="str">
            <v>machine</v>
          </cell>
          <cell r="P812" t="str">
            <v>マシン</v>
          </cell>
          <cell r="Q812" t="str">
            <v>アタッカー</v>
          </cell>
          <cell r="R812">
            <v>3</v>
          </cell>
          <cell r="S812" t="str">
            <v>NULL</v>
          </cell>
          <cell r="T812" t="str">
            <v>normal</v>
          </cell>
          <cell r="U812" t="str">
            <v>NULL</v>
          </cell>
          <cell r="V812" t="str">
            <v>NULL</v>
          </cell>
          <cell r="W812" t="str">
            <v>NULL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  <cell r="N813" t="str">
            <v>ゴッド</v>
          </cell>
          <cell r="O813" t="str">
            <v>none</v>
          </cell>
          <cell r="P813" t="str">
            <v>種族なし</v>
          </cell>
          <cell r="Q813" t="str">
            <v>アタッカー</v>
          </cell>
          <cell r="R813">
            <v>3</v>
          </cell>
          <cell r="S813" t="str">
            <v>NULL</v>
          </cell>
          <cell r="T813" t="str">
            <v>normal</v>
          </cell>
          <cell r="U813" t="str">
            <v>NULL</v>
          </cell>
          <cell r="V813" t="str">
            <v>NULL</v>
          </cell>
          <cell r="W813" t="str">
            <v>NULL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  <cell r="N814" t="str">
            <v>ヒューマン</v>
          </cell>
          <cell r="O814" t="str">
            <v>machine</v>
          </cell>
          <cell r="P814" t="str">
            <v>マシン</v>
          </cell>
          <cell r="Q814" t="str">
            <v>アタッカー</v>
          </cell>
          <cell r="R814">
            <v>3</v>
          </cell>
          <cell r="S814" t="str">
            <v>NULL</v>
          </cell>
          <cell r="T814" t="str">
            <v>normal</v>
          </cell>
          <cell r="U814" t="str">
            <v>NULL</v>
          </cell>
          <cell r="V814" t="str">
            <v>NULL</v>
          </cell>
          <cell r="W814" t="str">
            <v>NULL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  <cell r="N815" t="str">
            <v>ヒューマン</v>
          </cell>
          <cell r="O815" t="str">
            <v>none</v>
          </cell>
          <cell r="P815" t="str">
            <v>種族なし</v>
          </cell>
          <cell r="Q815" t="str">
            <v>アタッカー</v>
          </cell>
          <cell r="R815">
            <v>3</v>
          </cell>
          <cell r="S815" t="str">
            <v>NULL</v>
          </cell>
          <cell r="T815" t="str">
            <v>normal</v>
          </cell>
          <cell r="U815" t="str">
            <v>NULL</v>
          </cell>
          <cell r="V815" t="str">
            <v>NULL</v>
          </cell>
          <cell r="W815" t="str">
            <v>NULL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  <cell r="N816" t="str">
            <v>アニマル</v>
          </cell>
          <cell r="O816" t="str">
            <v>none</v>
          </cell>
          <cell r="P816" t="str">
            <v>種族なし</v>
          </cell>
          <cell r="Q816" t="str">
            <v>アタッカー</v>
          </cell>
          <cell r="R816">
            <v>3</v>
          </cell>
          <cell r="S816" t="str">
            <v>NULL</v>
          </cell>
          <cell r="T816" t="str">
            <v>normal</v>
          </cell>
          <cell r="U816" t="str">
            <v>NULL</v>
          </cell>
          <cell r="V816" t="str">
            <v>NULL</v>
          </cell>
          <cell r="W816" t="str">
            <v>NULL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  <cell r="N817" t="str">
            <v>ヒューマン</v>
          </cell>
          <cell r="O817" t="str">
            <v>none</v>
          </cell>
          <cell r="P817" t="str">
            <v>種族なし</v>
          </cell>
          <cell r="Q817" t="str">
            <v>アタッカー</v>
          </cell>
          <cell r="R817">
            <v>3</v>
          </cell>
          <cell r="S817" t="str">
            <v>NULL</v>
          </cell>
          <cell r="T817" t="str">
            <v>normal</v>
          </cell>
          <cell r="U817" t="str">
            <v>NULL</v>
          </cell>
          <cell r="V817" t="str">
            <v>NULL</v>
          </cell>
          <cell r="W817" t="str">
            <v>NULL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  <cell r="N818" t="str">
            <v>ヒューマン</v>
          </cell>
          <cell r="O818" t="str">
            <v>none</v>
          </cell>
          <cell r="P818" t="str">
            <v>種族なし</v>
          </cell>
          <cell r="Q818" t="str">
            <v>アタッカー</v>
          </cell>
          <cell r="R818">
            <v>3</v>
          </cell>
          <cell r="S818" t="str">
            <v>NULL</v>
          </cell>
          <cell r="T818" t="str">
            <v>normal</v>
          </cell>
          <cell r="U818" t="str">
            <v>NULL</v>
          </cell>
          <cell r="V818" t="str">
            <v>NULL</v>
          </cell>
          <cell r="W818" t="str">
            <v>NULL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  <cell r="N819" t="str">
            <v>ヒューマン</v>
          </cell>
          <cell r="O819" t="str">
            <v>none</v>
          </cell>
          <cell r="P819" t="str">
            <v>種族なし</v>
          </cell>
          <cell r="Q819" t="str">
            <v>アタッカー</v>
          </cell>
          <cell r="R819">
            <v>3</v>
          </cell>
          <cell r="S819" t="str">
            <v>NULL</v>
          </cell>
          <cell r="T819" t="str">
            <v>normal</v>
          </cell>
          <cell r="U819" t="str">
            <v>NULL</v>
          </cell>
          <cell r="V819" t="str">
            <v>NULL</v>
          </cell>
          <cell r="W819" t="str">
            <v>NULL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  <cell r="N820" t="str">
            <v>ヒューマン</v>
          </cell>
          <cell r="O820" t="str">
            <v>none</v>
          </cell>
          <cell r="P820" t="str">
            <v>種族なし</v>
          </cell>
          <cell r="Q820" t="str">
            <v>アタッカー</v>
          </cell>
          <cell r="R820">
            <v>3</v>
          </cell>
          <cell r="S820" t="str">
            <v>NULL</v>
          </cell>
          <cell r="T820" t="str">
            <v>normal</v>
          </cell>
          <cell r="U820" t="str">
            <v>NULL</v>
          </cell>
          <cell r="V820" t="str">
            <v>NULL</v>
          </cell>
          <cell r="W820" t="str">
            <v>NULL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  <cell r="N821" t="str">
            <v>ヒューマン</v>
          </cell>
          <cell r="O821" t="str">
            <v>none</v>
          </cell>
          <cell r="P821" t="str">
            <v>種族なし</v>
          </cell>
          <cell r="Q821" t="str">
            <v>アタッカー</v>
          </cell>
          <cell r="R821">
            <v>3</v>
          </cell>
          <cell r="S821" t="str">
            <v>NULL</v>
          </cell>
          <cell r="T821" t="str">
            <v>normal</v>
          </cell>
          <cell r="U821" t="str">
            <v>NULL</v>
          </cell>
          <cell r="V821" t="str">
            <v>NULL</v>
          </cell>
          <cell r="W821" t="str">
            <v>NULL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  <cell r="N822" t="str">
            <v>アニマル</v>
          </cell>
          <cell r="O822" t="str">
            <v>machine</v>
          </cell>
          <cell r="P822" t="str">
            <v>マシン</v>
          </cell>
          <cell r="Q822" t="str">
            <v>アタッカー</v>
          </cell>
          <cell r="R822">
            <v>3</v>
          </cell>
          <cell r="S822" t="str">
            <v>NULL</v>
          </cell>
          <cell r="T822" t="str">
            <v>normal</v>
          </cell>
          <cell r="U822" t="str">
            <v>NULL</v>
          </cell>
          <cell r="V822" t="str">
            <v>NULL</v>
          </cell>
          <cell r="W822" t="str">
            <v>NULL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  <cell r="N823" t="str">
            <v>ヒューマン</v>
          </cell>
          <cell r="O823" t="str">
            <v>unknown</v>
          </cell>
          <cell r="P823" t="str">
            <v>Unknown</v>
          </cell>
          <cell r="Q823" t="str">
            <v>アタッカー</v>
          </cell>
          <cell r="R823">
            <v>3</v>
          </cell>
          <cell r="S823" t="str">
            <v>NULL</v>
          </cell>
          <cell r="T823" t="str">
            <v>normal</v>
          </cell>
          <cell r="U823" t="str">
            <v>NULL</v>
          </cell>
          <cell r="V823" t="str">
            <v>NULL</v>
          </cell>
          <cell r="W823" t="str">
            <v>NULL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  <cell r="N824" t="str">
            <v>ヒューマン</v>
          </cell>
          <cell r="O824" t="str">
            <v>none</v>
          </cell>
          <cell r="P824" t="str">
            <v>種族なし</v>
          </cell>
          <cell r="Q824" t="str">
            <v>アタッカー</v>
          </cell>
          <cell r="R824">
            <v>3</v>
          </cell>
          <cell r="S824" t="str">
            <v>NULL</v>
          </cell>
          <cell r="T824" t="str">
            <v>normal</v>
          </cell>
          <cell r="U824" t="str">
            <v>NULL</v>
          </cell>
          <cell r="V824" t="str">
            <v>NULL</v>
          </cell>
          <cell r="W824" t="str">
            <v>NULL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  <cell r="N825" t="str">
            <v>Unknown</v>
          </cell>
          <cell r="O825" t="str">
            <v>none</v>
          </cell>
          <cell r="P825" t="str">
            <v>種族なし</v>
          </cell>
          <cell r="Q825" t="str">
            <v>アタッカー</v>
          </cell>
          <cell r="R825">
            <v>3</v>
          </cell>
          <cell r="S825" t="str">
            <v>NULL</v>
          </cell>
          <cell r="T825" t="str">
            <v>normal</v>
          </cell>
          <cell r="U825" t="str">
            <v>NULL</v>
          </cell>
          <cell r="V825" t="str">
            <v>NULL</v>
          </cell>
          <cell r="W825" t="str">
            <v>NULL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  <cell r="N826" t="str">
            <v>アニマル</v>
          </cell>
          <cell r="O826" t="str">
            <v>none</v>
          </cell>
          <cell r="P826" t="str">
            <v>種族なし</v>
          </cell>
          <cell r="Q826" t="str">
            <v>アタッカー</v>
          </cell>
          <cell r="R826">
            <v>3</v>
          </cell>
          <cell r="S826" t="str">
            <v>NULL</v>
          </cell>
          <cell r="T826" t="str">
            <v>normal</v>
          </cell>
          <cell r="U826" t="str">
            <v>NULL</v>
          </cell>
          <cell r="V826" t="str">
            <v>NULL</v>
          </cell>
          <cell r="W826" t="str">
            <v>NULL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  <cell r="N827" t="str">
            <v>アニマル</v>
          </cell>
          <cell r="O827" t="str">
            <v>none</v>
          </cell>
          <cell r="P827" t="str">
            <v>種族なし</v>
          </cell>
          <cell r="Q827" t="str">
            <v>アタッカー</v>
          </cell>
          <cell r="R827">
            <v>3</v>
          </cell>
          <cell r="S827" t="str">
            <v>NULL</v>
          </cell>
          <cell r="T827" t="str">
            <v>normal</v>
          </cell>
          <cell r="U827" t="str">
            <v>NULL</v>
          </cell>
          <cell r="V827" t="str">
            <v>NULL</v>
          </cell>
          <cell r="W827" t="str">
            <v>NULL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  <cell r="N828" t="str">
            <v>ドラゴン</v>
          </cell>
          <cell r="O828" t="str">
            <v>none</v>
          </cell>
          <cell r="P828" t="str">
            <v>種族なし</v>
          </cell>
          <cell r="Q828" t="str">
            <v>アタッカー</v>
          </cell>
          <cell r="R828">
            <v>3</v>
          </cell>
          <cell r="S828" t="str">
            <v>NULL</v>
          </cell>
          <cell r="T828" t="str">
            <v>normal</v>
          </cell>
          <cell r="U828" t="str">
            <v>NULL</v>
          </cell>
          <cell r="V828" t="str">
            <v>NULL</v>
          </cell>
          <cell r="W828" t="str">
            <v>NULL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  <cell r="N829" t="str">
            <v>マシン</v>
          </cell>
          <cell r="O829" t="str">
            <v>animal</v>
          </cell>
          <cell r="P829" t="str">
            <v>アニマル</v>
          </cell>
          <cell r="Q829" t="str">
            <v>アタッカー</v>
          </cell>
          <cell r="R829">
            <v>3</v>
          </cell>
          <cell r="S829" t="str">
            <v>NULL</v>
          </cell>
          <cell r="T829" t="str">
            <v>normal</v>
          </cell>
          <cell r="U829" t="str">
            <v>NULL</v>
          </cell>
          <cell r="V829" t="str">
            <v>NULL</v>
          </cell>
          <cell r="W829" t="str">
            <v>NULL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  <cell r="N830" t="str">
            <v>Unknown</v>
          </cell>
          <cell r="O830" t="str">
            <v>animal</v>
          </cell>
          <cell r="P830" t="str">
            <v>アニマル</v>
          </cell>
          <cell r="Q830" t="str">
            <v>アタッカー</v>
          </cell>
          <cell r="R830">
            <v>3</v>
          </cell>
          <cell r="S830" t="str">
            <v>NULL</v>
          </cell>
          <cell r="T830" t="str">
            <v>normal</v>
          </cell>
          <cell r="U830" t="str">
            <v>NULL</v>
          </cell>
          <cell r="V830" t="str">
            <v>NULL</v>
          </cell>
          <cell r="W830" t="str">
            <v>NULL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  <cell r="N831" t="str">
            <v>Unknown</v>
          </cell>
          <cell r="O831" t="str">
            <v>animal</v>
          </cell>
          <cell r="P831" t="str">
            <v>アニマル</v>
          </cell>
          <cell r="Q831" t="str">
            <v>アタッカー</v>
          </cell>
          <cell r="R831">
            <v>3</v>
          </cell>
          <cell r="S831" t="str">
            <v>NULL</v>
          </cell>
          <cell r="T831" t="str">
            <v>normal</v>
          </cell>
          <cell r="U831" t="str">
            <v>NULL</v>
          </cell>
          <cell r="V831" t="str">
            <v>NULL</v>
          </cell>
          <cell r="W831" t="str">
            <v>NULL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  <cell r="N832" t="str">
            <v>ヒューマン</v>
          </cell>
          <cell r="O832" t="str">
            <v>unknown</v>
          </cell>
          <cell r="P832" t="str">
            <v>Unknown</v>
          </cell>
          <cell r="Q832" t="str">
            <v>アタッカー</v>
          </cell>
          <cell r="R832">
            <v>3</v>
          </cell>
          <cell r="S832" t="str">
            <v>NULL</v>
          </cell>
          <cell r="T832" t="str">
            <v>normal</v>
          </cell>
          <cell r="U832" t="str">
            <v>NULL</v>
          </cell>
          <cell r="V832" t="str">
            <v>NULL</v>
          </cell>
          <cell r="W832" t="str">
            <v>NULL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  <cell r="N833" t="str">
            <v>ゴッド</v>
          </cell>
          <cell r="O833" t="str">
            <v>unknown</v>
          </cell>
          <cell r="P833" t="str">
            <v>Unknown</v>
          </cell>
          <cell r="Q833" t="str">
            <v>アタッカー</v>
          </cell>
          <cell r="R833">
            <v>3</v>
          </cell>
          <cell r="S833" t="str">
            <v>NULL</v>
          </cell>
          <cell r="T833" t="str">
            <v>normal</v>
          </cell>
          <cell r="U833" t="str">
            <v>NULL</v>
          </cell>
          <cell r="V833" t="str">
            <v>NULL</v>
          </cell>
          <cell r="W833" t="str">
            <v>NULL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  <cell r="N834" t="str">
            <v>ゴッド</v>
          </cell>
          <cell r="O834" t="str">
            <v>none</v>
          </cell>
          <cell r="P834" t="str">
            <v>種族なし</v>
          </cell>
          <cell r="Q834" t="str">
            <v>アタッカー</v>
          </cell>
          <cell r="R834">
            <v>3</v>
          </cell>
          <cell r="S834" t="str">
            <v>NULL</v>
          </cell>
          <cell r="T834" t="str">
            <v>normal</v>
          </cell>
          <cell r="U834" t="str">
            <v>NULL</v>
          </cell>
          <cell r="V834" t="str">
            <v>NULL</v>
          </cell>
          <cell r="W834" t="str">
            <v>NULL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  <cell r="N835" t="str">
            <v>ゴッド</v>
          </cell>
          <cell r="O835" t="str">
            <v>none</v>
          </cell>
          <cell r="P835" t="str">
            <v>種族なし</v>
          </cell>
          <cell r="Q835" t="str">
            <v>アタッカー</v>
          </cell>
          <cell r="R835">
            <v>3</v>
          </cell>
          <cell r="S835" t="str">
            <v>NULL</v>
          </cell>
          <cell r="T835" t="str">
            <v>normal</v>
          </cell>
          <cell r="U835" t="str">
            <v>NULL</v>
          </cell>
          <cell r="V835" t="str">
            <v>NULL</v>
          </cell>
          <cell r="W835" t="str">
            <v>NULL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  <cell r="N836" t="str">
            <v>ゴッド</v>
          </cell>
          <cell r="O836" t="str">
            <v>none</v>
          </cell>
          <cell r="P836" t="str">
            <v>種族なし</v>
          </cell>
          <cell r="Q836" t="str">
            <v>アタッカー</v>
          </cell>
          <cell r="R836">
            <v>3</v>
          </cell>
          <cell r="S836" t="str">
            <v>NULL</v>
          </cell>
          <cell r="T836" t="str">
            <v>normal</v>
          </cell>
          <cell r="U836" t="str">
            <v>NULL</v>
          </cell>
          <cell r="V836" t="str">
            <v>NULL</v>
          </cell>
          <cell r="W836" t="str">
            <v>NULL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  <cell r="N837" t="str">
            <v>ゴッド</v>
          </cell>
          <cell r="O837" t="str">
            <v>none</v>
          </cell>
          <cell r="P837" t="str">
            <v>種族なし</v>
          </cell>
          <cell r="Q837" t="str">
            <v>アタッカー</v>
          </cell>
          <cell r="R837">
            <v>3</v>
          </cell>
          <cell r="S837" t="str">
            <v>NULL</v>
          </cell>
          <cell r="T837" t="str">
            <v>normal</v>
          </cell>
          <cell r="U837" t="str">
            <v>NULL</v>
          </cell>
          <cell r="V837" t="str">
            <v>NULL</v>
          </cell>
          <cell r="W837" t="str">
            <v>NULL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  <cell r="N838" t="str">
            <v>Unknown</v>
          </cell>
          <cell r="O838" t="str">
            <v>none</v>
          </cell>
          <cell r="P838" t="str">
            <v>種族なし</v>
          </cell>
          <cell r="Q838" t="str">
            <v>アタッカー</v>
          </cell>
          <cell r="R838">
            <v>3</v>
          </cell>
          <cell r="S838" t="str">
            <v>NULL</v>
          </cell>
          <cell r="T838" t="str">
            <v>normal</v>
          </cell>
          <cell r="U838" t="str">
            <v>NULL</v>
          </cell>
          <cell r="V838" t="str">
            <v>NULL</v>
          </cell>
          <cell r="W838" t="str">
            <v>NULL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  <cell r="N839" t="str">
            <v>ヒューマン</v>
          </cell>
          <cell r="O839" t="str">
            <v>samurai</v>
          </cell>
          <cell r="P839" t="str">
            <v>サムライ</v>
          </cell>
          <cell r="Q839" t="str">
            <v>アタッカー</v>
          </cell>
          <cell r="R839">
            <v>3</v>
          </cell>
          <cell r="S839" t="str">
            <v>NULL</v>
          </cell>
          <cell r="T839" t="str">
            <v>normal</v>
          </cell>
          <cell r="U839" t="str">
            <v>NULL</v>
          </cell>
          <cell r="V839" t="str">
            <v>NULL</v>
          </cell>
          <cell r="W839" t="str">
            <v>NULL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  <cell r="N840" t="str">
            <v>ヒューマン</v>
          </cell>
          <cell r="O840" t="str">
            <v>hero</v>
          </cell>
          <cell r="P840" t="str">
            <v>ヒーロー</v>
          </cell>
          <cell r="Q840" t="str">
            <v>アタッカー</v>
          </cell>
          <cell r="R840">
            <v>3</v>
          </cell>
          <cell r="S840" t="str">
            <v>NULL</v>
          </cell>
          <cell r="T840" t="str">
            <v>normal</v>
          </cell>
          <cell r="U840" t="str">
            <v>NULL</v>
          </cell>
          <cell r="V840" t="str">
            <v>NULL</v>
          </cell>
          <cell r="W840" t="str">
            <v>NULL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  <cell r="N841" t="str">
            <v>アニマル</v>
          </cell>
          <cell r="O841" t="str">
            <v>none</v>
          </cell>
          <cell r="P841" t="str">
            <v>種族なし</v>
          </cell>
          <cell r="Q841" t="str">
            <v>アタッカー</v>
          </cell>
          <cell r="R841">
            <v>3</v>
          </cell>
          <cell r="S841" t="str">
            <v>NULL</v>
          </cell>
          <cell r="T841" t="str">
            <v>normal</v>
          </cell>
          <cell r="U841" t="str">
            <v>NULL</v>
          </cell>
          <cell r="V841" t="str">
            <v>NULL</v>
          </cell>
          <cell r="W841" t="str">
            <v>NULL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  <cell r="N842" t="str">
            <v>アニマル</v>
          </cell>
          <cell r="O842" t="str">
            <v>none</v>
          </cell>
          <cell r="P842" t="str">
            <v>種族なし</v>
          </cell>
          <cell r="Q842" t="str">
            <v>アタッカー</v>
          </cell>
          <cell r="R842">
            <v>3</v>
          </cell>
          <cell r="S842" t="str">
            <v>NULL</v>
          </cell>
          <cell r="T842" t="str">
            <v>normal</v>
          </cell>
          <cell r="U842" t="str">
            <v>NULL</v>
          </cell>
          <cell r="V842" t="str">
            <v>NULL</v>
          </cell>
          <cell r="W842" t="str">
            <v>NULL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  <cell r="N843" t="str">
            <v>アニマル</v>
          </cell>
          <cell r="O843" t="str">
            <v>none</v>
          </cell>
          <cell r="P843" t="str">
            <v>種族なし</v>
          </cell>
          <cell r="Q843" t="str">
            <v>アタッカー</v>
          </cell>
          <cell r="R843">
            <v>3</v>
          </cell>
          <cell r="S843" t="str">
            <v>NULL</v>
          </cell>
          <cell r="T843" t="str">
            <v>normal</v>
          </cell>
          <cell r="U843" t="str">
            <v>NULL</v>
          </cell>
          <cell r="V843" t="str">
            <v>NULL</v>
          </cell>
          <cell r="W843" t="str">
            <v>NULL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  <cell r="N844" t="str">
            <v>アニマル</v>
          </cell>
          <cell r="O844" t="str">
            <v>none</v>
          </cell>
          <cell r="P844" t="str">
            <v>種族なし</v>
          </cell>
          <cell r="Q844" t="str">
            <v>アタッカー</v>
          </cell>
          <cell r="R844">
            <v>3</v>
          </cell>
          <cell r="S844" t="str">
            <v>NULL</v>
          </cell>
          <cell r="T844" t="str">
            <v>normal</v>
          </cell>
          <cell r="U844" t="str">
            <v>NULL</v>
          </cell>
          <cell r="V844" t="str">
            <v>NULL</v>
          </cell>
          <cell r="W844" t="str">
            <v>NULL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  <cell r="N845" t="str">
            <v>ゴッド</v>
          </cell>
          <cell r="O845" t="str">
            <v>animal</v>
          </cell>
          <cell r="P845" t="str">
            <v>アニマル</v>
          </cell>
          <cell r="Q845" t="str">
            <v>アタッカー</v>
          </cell>
          <cell r="R845">
            <v>3</v>
          </cell>
          <cell r="S845" t="str">
            <v>NULL</v>
          </cell>
          <cell r="T845" t="str">
            <v>normal</v>
          </cell>
          <cell r="U845" t="str">
            <v>NULL</v>
          </cell>
          <cell r="V845" t="str">
            <v>NULL</v>
          </cell>
          <cell r="W845" t="str">
            <v>NULL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  <cell r="N846" t="str">
            <v>ゴッド</v>
          </cell>
          <cell r="O846" t="str">
            <v>animal</v>
          </cell>
          <cell r="P846" t="str">
            <v>アニマル</v>
          </cell>
          <cell r="Q846" t="str">
            <v>アタッカー</v>
          </cell>
          <cell r="R846">
            <v>3</v>
          </cell>
          <cell r="S846" t="str">
            <v>NULL</v>
          </cell>
          <cell r="T846" t="str">
            <v>normal</v>
          </cell>
          <cell r="U846" t="str">
            <v>NULL</v>
          </cell>
          <cell r="V846" t="str">
            <v>NULL</v>
          </cell>
          <cell r="W846" t="str">
            <v>NULL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  <cell r="N847" t="str">
            <v>ゴッド</v>
          </cell>
          <cell r="O847" t="str">
            <v>none</v>
          </cell>
          <cell r="P847" t="str">
            <v>種族なし</v>
          </cell>
          <cell r="Q847" t="str">
            <v>アタッカー</v>
          </cell>
          <cell r="R847">
            <v>3</v>
          </cell>
          <cell r="S847" t="str">
            <v>NULL</v>
          </cell>
          <cell r="T847" t="str">
            <v>normal</v>
          </cell>
          <cell r="U847" t="str">
            <v>NULL</v>
          </cell>
          <cell r="V847" t="str">
            <v>NULL</v>
          </cell>
          <cell r="W847" t="str">
            <v>NULL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  <cell r="N848" t="str">
            <v>ゴッド</v>
          </cell>
          <cell r="O848" t="str">
            <v>none</v>
          </cell>
          <cell r="P848" t="str">
            <v>種族なし</v>
          </cell>
          <cell r="Q848" t="str">
            <v>アタッカー</v>
          </cell>
          <cell r="R848">
            <v>3</v>
          </cell>
          <cell r="S848" t="str">
            <v>NULL</v>
          </cell>
          <cell r="T848" t="str">
            <v>normal</v>
          </cell>
          <cell r="U848" t="str">
            <v>NULL</v>
          </cell>
          <cell r="V848" t="str">
            <v>NULL</v>
          </cell>
          <cell r="W848" t="str">
            <v>NULL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  <cell r="N849" t="str">
            <v>ゴッド</v>
          </cell>
          <cell r="O849" t="str">
            <v>machine</v>
          </cell>
          <cell r="P849" t="str">
            <v>マシン</v>
          </cell>
          <cell r="Q849" t="str">
            <v>アタッカー</v>
          </cell>
          <cell r="R849">
            <v>3</v>
          </cell>
          <cell r="S849" t="str">
            <v>NULL</v>
          </cell>
          <cell r="T849" t="str">
            <v>normal</v>
          </cell>
          <cell r="U849" t="str">
            <v>NULL</v>
          </cell>
          <cell r="V849" t="str">
            <v>NULL</v>
          </cell>
          <cell r="W849" t="str">
            <v>NULL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  <cell r="N850" t="str">
            <v>ゴッド</v>
          </cell>
          <cell r="O850" t="str">
            <v>machine</v>
          </cell>
          <cell r="P850" t="str">
            <v>マシン</v>
          </cell>
          <cell r="Q850" t="str">
            <v>アタッカー</v>
          </cell>
          <cell r="R850">
            <v>3</v>
          </cell>
          <cell r="S850" t="str">
            <v>NULL</v>
          </cell>
          <cell r="T850" t="str">
            <v>normal</v>
          </cell>
          <cell r="U850" t="str">
            <v>NULL</v>
          </cell>
          <cell r="V850" t="str">
            <v>NULL</v>
          </cell>
          <cell r="W850" t="str">
            <v>NULL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  <cell r="N851" t="str">
            <v>ゴッド</v>
          </cell>
          <cell r="O851" t="str">
            <v>none</v>
          </cell>
          <cell r="P851" t="str">
            <v>種族なし</v>
          </cell>
          <cell r="Q851" t="str">
            <v>アタッカー</v>
          </cell>
          <cell r="R851">
            <v>3</v>
          </cell>
          <cell r="S851" t="str">
            <v>NULL</v>
          </cell>
          <cell r="T851" t="str">
            <v>normal</v>
          </cell>
          <cell r="U851" t="str">
            <v>NULL</v>
          </cell>
          <cell r="V851" t="str">
            <v>NULL</v>
          </cell>
          <cell r="W851" t="str">
            <v>NULL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  <cell r="N852" t="str">
            <v>ゴッド</v>
          </cell>
          <cell r="O852" t="str">
            <v>demon</v>
          </cell>
          <cell r="P852" t="str">
            <v>デーモン</v>
          </cell>
          <cell r="Q852" t="str">
            <v>アタッカー</v>
          </cell>
          <cell r="R852">
            <v>3</v>
          </cell>
          <cell r="S852" t="str">
            <v>NULL</v>
          </cell>
          <cell r="T852" t="str">
            <v>normal</v>
          </cell>
          <cell r="U852" t="str">
            <v>NULL</v>
          </cell>
          <cell r="V852" t="str">
            <v>NULL</v>
          </cell>
          <cell r="W852" t="str">
            <v>NULL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  <cell r="N853" t="str">
            <v>ゴッド</v>
          </cell>
          <cell r="O853" t="str">
            <v>machine</v>
          </cell>
          <cell r="P853" t="str">
            <v>マシン</v>
          </cell>
          <cell r="Q853" t="str">
            <v>アタッカー</v>
          </cell>
          <cell r="R853">
            <v>3</v>
          </cell>
          <cell r="S853" t="str">
            <v>NULL</v>
          </cell>
          <cell r="T853" t="str">
            <v>normal</v>
          </cell>
          <cell r="U853" t="str">
            <v>NULL</v>
          </cell>
          <cell r="V853" t="str">
            <v>NULL</v>
          </cell>
          <cell r="W853" t="str">
            <v>NULL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  <cell r="N854" t="str">
            <v>ゴッド</v>
          </cell>
          <cell r="O854" t="str">
            <v>machine</v>
          </cell>
          <cell r="P854" t="str">
            <v>マシン</v>
          </cell>
          <cell r="Q854" t="str">
            <v>アタッカー</v>
          </cell>
          <cell r="R854">
            <v>3</v>
          </cell>
          <cell r="S854" t="str">
            <v>NULL</v>
          </cell>
          <cell r="T854" t="str">
            <v>normal</v>
          </cell>
          <cell r="U854" t="str">
            <v>NULL</v>
          </cell>
          <cell r="V854" t="str">
            <v>NULL</v>
          </cell>
          <cell r="W854" t="str">
            <v>NULL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  <cell r="N855" t="str">
            <v>アニマル</v>
          </cell>
          <cell r="O855" t="str">
            <v>none</v>
          </cell>
          <cell r="P855" t="str">
            <v>種族なし</v>
          </cell>
          <cell r="Q855" t="str">
            <v>アタッカー</v>
          </cell>
          <cell r="R855">
            <v>3</v>
          </cell>
          <cell r="S855" t="str">
            <v>NULL</v>
          </cell>
          <cell r="T855" t="str">
            <v>normal</v>
          </cell>
          <cell r="U855" t="str">
            <v>NULL</v>
          </cell>
          <cell r="V855" t="str">
            <v>NULL</v>
          </cell>
          <cell r="W855" t="str">
            <v>NULL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  <cell r="N856" t="str">
            <v>アニマル</v>
          </cell>
          <cell r="O856" t="str">
            <v>none</v>
          </cell>
          <cell r="P856" t="str">
            <v>種族なし</v>
          </cell>
          <cell r="Q856" t="str">
            <v>アタッカー</v>
          </cell>
          <cell r="R856">
            <v>3</v>
          </cell>
          <cell r="S856" t="str">
            <v>NULL</v>
          </cell>
          <cell r="T856" t="str">
            <v>normal</v>
          </cell>
          <cell r="U856" t="str">
            <v>NULL</v>
          </cell>
          <cell r="V856" t="str">
            <v>NULL</v>
          </cell>
          <cell r="W856" t="str">
            <v>NULL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  <cell r="N857" t="str">
            <v>ヒューマン</v>
          </cell>
          <cell r="O857" t="str">
            <v>none</v>
          </cell>
          <cell r="P857" t="str">
            <v>種族なし</v>
          </cell>
          <cell r="Q857" t="str">
            <v>アタッカー</v>
          </cell>
          <cell r="R857">
            <v>3</v>
          </cell>
          <cell r="S857" t="str">
            <v>NULL</v>
          </cell>
          <cell r="T857" t="str">
            <v>normal</v>
          </cell>
          <cell r="U857" t="str">
            <v>NULL</v>
          </cell>
          <cell r="V857" t="str">
            <v>NULL</v>
          </cell>
          <cell r="W857" t="str">
            <v>NULL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  <cell r="N858" t="str">
            <v>ヒューマン</v>
          </cell>
          <cell r="O858" t="str">
            <v>none</v>
          </cell>
          <cell r="P858" t="str">
            <v>種族なし</v>
          </cell>
          <cell r="Q858" t="str">
            <v>アタッカー</v>
          </cell>
          <cell r="R858">
            <v>3</v>
          </cell>
          <cell r="S858" t="str">
            <v>NULL</v>
          </cell>
          <cell r="T858" t="str">
            <v>normal</v>
          </cell>
          <cell r="U858" t="str">
            <v>NULL</v>
          </cell>
          <cell r="V858" t="str">
            <v>NULL</v>
          </cell>
          <cell r="W858" t="str">
            <v>NULL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  <cell r="N859" t="str">
            <v>マシン</v>
          </cell>
          <cell r="O859" t="str">
            <v>animal</v>
          </cell>
          <cell r="P859" t="str">
            <v>アニマル</v>
          </cell>
          <cell r="Q859" t="str">
            <v>アタッカー</v>
          </cell>
          <cell r="R859">
            <v>3</v>
          </cell>
          <cell r="S859" t="str">
            <v>NULL</v>
          </cell>
          <cell r="T859" t="str">
            <v>normal</v>
          </cell>
          <cell r="U859" t="str">
            <v>NULL</v>
          </cell>
          <cell r="V859" t="str">
            <v>NULL</v>
          </cell>
          <cell r="W859" t="str">
            <v>NULL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  <cell r="N860" t="str">
            <v>マシン</v>
          </cell>
          <cell r="O860" t="str">
            <v>animal</v>
          </cell>
          <cell r="P860" t="str">
            <v>アニマル</v>
          </cell>
          <cell r="Q860" t="str">
            <v>アタッカー</v>
          </cell>
          <cell r="R860">
            <v>3</v>
          </cell>
          <cell r="S860" t="str">
            <v>NULL</v>
          </cell>
          <cell r="T860" t="str">
            <v>normal</v>
          </cell>
          <cell r="U860" t="str">
            <v>NULL</v>
          </cell>
          <cell r="V860" t="str">
            <v>NULL</v>
          </cell>
          <cell r="W860" t="str">
            <v>NULL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  <cell r="N861" t="str">
            <v>Unknown</v>
          </cell>
          <cell r="O861" t="str">
            <v>god</v>
          </cell>
          <cell r="P861" t="str">
            <v>ゴッド</v>
          </cell>
          <cell r="Q861" t="str">
            <v>アタッカー</v>
          </cell>
          <cell r="R861">
            <v>3</v>
          </cell>
          <cell r="S861" t="str">
            <v>NULL</v>
          </cell>
          <cell r="T861" t="str">
            <v>normal</v>
          </cell>
          <cell r="U861" t="str">
            <v>NULL</v>
          </cell>
          <cell r="V861" t="str">
            <v>NULL</v>
          </cell>
          <cell r="W861" t="str">
            <v>NULL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  <cell r="N862" t="str">
            <v>Unknown</v>
          </cell>
          <cell r="O862" t="str">
            <v>god</v>
          </cell>
          <cell r="P862" t="str">
            <v>ゴッド</v>
          </cell>
          <cell r="Q862" t="str">
            <v>アタッカー</v>
          </cell>
          <cell r="R862">
            <v>3</v>
          </cell>
          <cell r="S862" t="str">
            <v>NULL</v>
          </cell>
          <cell r="T862" t="str">
            <v>normal</v>
          </cell>
          <cell r="U862" t="str">
            <v>NULL</v>
          </cell>
          <cell r="V862" t="str">
            <v>NULL</v>
          </cell>
          <cell r="W862" t="str">
            <v>NULL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  <cell r="N863" t="str">
            <v>アニマル</v>
          </cell>
          <cell r="O863" t="str">
            <v>none</v>
          </cell>
          <cell r="P863" t="str">
            <v>種族なし</v>
          </cell>
          <cell r="Q863" t="str">
            <v>アタッカー</v>
          </cell>
          <cell r="R863">
            <v>3</v>
          </cell>
          <cell r="S863" t="str">
            <v>NULL</v>
          </cell>
          <cell r="T863" t="str">
            <v>normal</v>
          </cell>
          <cell r="U863" t="str">
            <v>NULL</v>
          </cell>
          <cell r="V863" t="str">
            <v>NULL</v>
          </cell>
          <cell r="W863" t="str">
            <v>NULL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  <cell r="N864" t="str">
            <v>アニマル</v>
          </cell>
          <cell r="O864" t="str">
            <v>none</v>
          </cell>
          <cell r="P864" t="str">
            <v>種族なし</v>
          </cell>
          <cell r="Q864" t="str">
            <v>アタッカー</v>
          </cell>
          <cell r="R864">
            <v>3</v>
          </cell>
          <cell r="S864" t="str">
            <v>NULL</v>
          </cell>
          <cell r="T864" t="str">
            <v>normal</v>
          </cell>
          <cell r="U864" t="str">
            <v>NULL</v>
          </cell>
          <cell r="V864" t="str">
            <v>NULL</v>
          </cell>
          <cell r="W864" t="str">
            <v>NULL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  <cell r="N865" t="str">
            <v>マシン</v>
          </cell>
          <cell r="O865" t="str">
            <v>none</v>
          </cell>
          <cell r="P865" t="str">
            <v>種族なし</v>
          </cell>
          <cell r="Q865" t="str">
            <v>アタッカー</v>
          </cell>
          <cell r="R865">
            <v>3</v>
          </cell>
          <cell r="S865" t="str">
            <v>NULL</v>
          </cell>
          <cell r="T865" t="str">
            <v>normal</v>
          </cell>
          <cell r="U865" t="str">
            <v>NULL</v>
          </cell>
          <cell r="V865" t="str">
            <v>NULL</v>
          </cell>
          <cell r="W865" t="str">
            <v>NULL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  <cell r="N866" t="str">
            <v>マシン</v>
          </cell>
          <cell r="O866" t="str">
            <v>none</v>
          </cell>
          <cell r="P866" t="str">
            <v>種族なし</v>
          </cell>
          <cell r="Q866" t="str">
            <v>アタッカー</v>
          </cell>
          <cell r="R866">
            <v>3</v>
          </cell>
          <cell r="S866" t="str">
            <v>NULL</v>
          </cell>
          <cell r="T866" t="str">
            <v>normal</v>
          </cell>
          <cell r="U866" t="str">
            <v>NULL</v>
          </cell>
          <cell r="V866" t="str">
            <v>NULL</v>
          </cell>
          <cell r="W866" t="str">
            <v>NULL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  <cell r="N867" t="str">
            <v>ヒューマン</v>
          </cell>
          <cell r="O867" t="str">
            <v>unknown</v>
          </cell>
          <cell r="P867" t="str">
            <v>Unknown</v>
          </cell>
          <cell r="Q867" t="str">
            <v>アタッカー</v>
          </cell>
          <cell r="R867">
            <v>3</v>
          </cell>
          <cell r="S867" t="str">
            <v>NULL</v>
          </cell>
          <cell r="T867" t="str">
            <v>normal</v>
          </cell>
          <cell r="U867" t="str">
            <v>NULL</v>
          </cell>
          <cell r="V867" t="str">
            <v>NULL</v>
          </cell>
          <cell r="W867" t="str">
            <v>NULL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  <cell r="N868" t="str">
            <v>ヒューマン</v>
          </cell>
          <cell r="O868" t="str">
            <v>unknown</v>
          </cell>
          <cell r="P868" t="str">
            <v>Unknown</v>
          </cell>
          <cell r="Q868" t="str">
            <v>アタッカー</v>
          </cell>
          <cell r="R868">
            <v>3</v>
          </cell>
          <cell r="S868" t="str">
            <v>NULL</v>
          </cell>
          <cell r="T868" t="str">
            <v>normal</v>
          </cell>
          <cell r="U868" t="str">
            <v>NULL</v>
          </cell>
          <cell r="V868" t="str">
            <v>NULL</v>
          </cell>
          <cell r="W868" t="str">
            <v>NULL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  <cell r="N869" t="str">
            <v>ヒューマン</v>
          </cell>
          <cell r="O869" t="str">
            <v>machine</v>
          </cell>
          <cell r="P869" t="str">
            <v>マシン</v>
          </cell>
          <cell r="Q869" t="str">
            <v>アタッカー</v>
          </cell>
          <cell r="R869">
            <v>3</v>
          </cell>
          <cell r="S869" t="str">
            <v>NULL</v>
          </cell>
          <cell r="T869" t="str">
            <v>normal</v>
          </cell>
          <cell r="U869" t="str">
            <v>NULL</v>
          </cell>
          <cell r="V869" t="str">
            <v>NULL</v>
          </cell>
          <cell r="W869" t="str">
            <v>NULL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  <cell r="N870" t="str">
            <v>ヒューマン</v>
          </cell>
          <cell r="O870" t="str">
            <v>machine</v>
          </cell>
          <cell r="P870" t="str">
            <v>マシン</v>
          </cell>
          <cell r="Q870" t="str">
            <v>アタッカー</v>
          </cell>
          <cell r="R870">
            <v>3</v>
          </cell>
          <cell r="S870" t="str">
            <v>NULL</v>
          </cell>
          <cell r="T870" t="str">
            <v>normal</v>
          </cell>
          <cell r="U870" t="str">
            <v>NULL</v>
          </cell>
          <cell r="V870" t="str">
            <v>NULL</v>
          </cell>
          <cell r="W870" t="str">
            <v>NULL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  <cell r="N871" t="str">
            <v>アカデミア</v>
          </cell>
          <cell r="O871" t="str">
            <v>machine</v>
          </cell>
          <cell r="P871" t="str">
            <v>マシン</v>
          </cell>
          <cell r="Q871" t="str">
            <v>アタッカー</v>
          </cell>
          <cell r="R871">
            <v>3</v>
          </cell>
          <cell r="S871" t="str">
            <v>NULL</v>
          </cell>
          <cell r="T871" t="str">
            <v>normal</v>
          </cell>
          <cell r="U871" t="str">
            <v>NULL</v>
          </cell>
          <cell r="V871" t="str">
            <v>NULL</v>
          </cell>
          <cell r="W871" t="str">
            <v>NULL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  <cell r="N872" t="str">
            <v>アカデミア</v>
          </cell>
          <cell r="O872" t="str">
            <v>machine</v>
          </cell>
          <cell r="P872" t="str">
            <v>マシン</v>
          </cell>
          <cell r="Q872" t="str">
            <v>アタッカー</v>
          </cell>
          <cell r="R872">
            <v>3</v>
          </cell>
          <cell r="S872" t="str">
            <v>NULL</v>
          </cell>
          <cell r="T872" t="str">
            <v>normal</v>
          </cell>
          <cell r="U872" t="str">
            <v>NULL</v>
          </cell>
          <cell r="V872" t="str">
            <v>NULL</v>
          </cell>
          <cell r="W872" t="str">
            <v>NULL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  <cell r="N873" t="str">
            <v>アカデミア</v>
          </cell>
          <cell r="O873" t="str">
            <v>unknown</v>
          </cell>
          <cell r="P873" t="str">
            <v>Unknown</v>
          </cell>
          <cell r="Q873" t="str">
            <v>アタッカー</v>
          </cell>
          <cell r="R873">
            <v>3</v>
          </cell>
          <cell r="S873" t="str">
            <v>NULL</v>
          </cell>
          <cell r="T873" t="str">
            <v>normal</v>
          </cell>
          <cell r="U873" t="str">
            <v>NULL</v>
          </cell>
          <cell r="V873" t="str">
            <v>NULL</v>
          </cell>
          <cell r="W873" t="str">
            <v>NULL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  <cell r="N874" t="str">
            <v>アカデミア</v>
          </cell>
          <cell r="O874" t="str">
            <v>unknown</v>
          </cell>
          <cell r="P874" t="str">
            <v>Unknown</v>
          </cell>
          <cell r="Q874" t="str">
            <v>アタッカー</v>
          </cell>
          <cell r="R874">
            <v>3</v>
          </cell>
          <cell r="S874" t="str">
            <v>NULL</v>
          </cell>
          <cell r="T874" t="str">
            <v>normal</v>
          </cell>
          <cell r="U874" t="str">
            <v>NULL</v>
          </cell>
          <cell r="V874" t="str">
            <v>NULL</v>
          </cell>
          <cell r="W874" t="str">
            <v>NULL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  <cell r="N875" t="str">
            <v>アカデミア</v>
          </cell>
          <cell r="O875" t="str">
            <v>machine</v>
          </cell>
          <cell r="P875" t="str">
            <v>マシン</v>
          </cell>
          <cell r="Q875" t="str">
            <v>アタッカー</v>
          </cell>
          <cell r="R875">
            <v>3</v>
          </cell>
          <cell r="S875" t="str">
            <v>NULL</v>
          </cell>
          <cell r="T875" t="str">
            <v>normal</v>
          </cell>
          <cell r="U875" t="str">
            <v>NULL</v>
          </cell>
          <cell r="V875" t="str">
            <v>NULL</v>
          </cell>
          <cell r="W875" t="str">
            <v>NULL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  <cell r="N876" t="str">
            <v>アカデミア</v>
          </cell>
          <cell r="O876" t="str">
            <v>machine</v>
          </cell>
          <cell r="P876" t="str">
            <v>マシン</v>
          </cell>
          <cell r="Q876" t="str">
            <v>アタッカー</v>
          </cell>
          <cell r="R876">
            <v>3</v>
          </cell>
          <cell r="S876" t="str">
            <v>NULL</v>
          </cell>
          <cell r="T876" t="str">
            <v>normal</v>
          </cell>
          <cell r="U876" t="str">
            <v>NULL</v>
          </cell>
          <cell r="V876" t="str">
            <v>NULL</v>
          </cell>
          <cell r="W876" t="str">
            <v>NULL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  <cell r="N877" t="str">
            <v>ゴッド</v>
          </cell>
          <cell r="O877" t="str">
            <v>none</v>
          </cell>
          <cell r="P877" t="str">
            <v>種族なし</v>
          </cell>
          <cell r="Q877" t="str">
            <v>アタッカー</v>
          </cell>
          <cell r="R877">
            <v>3</v>
          </cell>
          <cell r="S877" t="str">
            <v>NULL</v>
          </cell>
          <cell r="T877" t="str">
            <v>normal</v>
          </cell>
          <cell r="U877" t="str">
            <v>NULL</v>
          </cell>
          <cell r="V877" t="str">
            <v>NULL</v>
          </cell>
          <cell r="W877" t="str">
            <v>NULL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  <cell r="N878" t="str">
            <v>ゴッド</v>
          </cell>
          <cell r="O878" t="str">
            <v>none</v>
          </cell>
          <cell r="P878" t="str">
            <v>種族なし</v>
          </cell>
          <cell r="Q878" t="str">
            <v>アタッカー</v>
          </cell>
          <cell r="R878">
            <v>3</v>
          </cell>
          <cell r="S878" t="str">
            <v>NULL</v>
          </cell>
          <cell r="T878" t="str">
            <v>normal</v>
          </cell>
          <cell r="U878" t="str">
            <v>NULL</v>
          </cell>
          <cell r="V878" t="str">
            <v>NULL</v>
          </cell>
          <cell r="W878" t="str">
            <v>NULL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  <cell r="N879" t="str">
            <v>ゴッド</v>
          </cell>
          <cell r="O879" t="str">
            <v>animal</v>
          </cell>
          <cell r="P879" t="str">
            <v>アニマル</v>
          </cell>
          <cell r="Q879" t="str">
            <v>アタッカー</v>
          </cell>
          <cell r="R879">
            <v>3</v>
          </cell>
          <cell r="S879" t="str">
            <v>NULL</v>
          </cell>
          <cell r="T879" t="str">
            <v>normal</v>
          </cell>
          <cell r="U879" t="str">
            <v>NULL</v>
          </cell>
          <cell r="V879" t="str">
            <v>NULL</v>
          </cell>
          <cell r="W879" t="str">
            <v>NULL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  <cell r="N880" t="str">
            <v>ゴッド</v>
          </cell>
          <cell r="O880" t="str">
            <v>animal</v>
          </cell>
          <cell r="P880" t="str">
            <v>アニマル</v>
          </cell>
          <cell r="Q880" t="str">
            <v>アタッカー</v>
          </cell>
          <cell r="R880">
            <v>3</v>
          </cell>
          <cell r="S880" t="str">
            <v>NULL</v>
          </cell>
          <cell r="T880" t="str">
            <v>normal</v>
          </cell>
          <cell r="U880" t="str">
            <v>NULL</v>
          </cell>
          <cell r="V880" t="str">
            <v>NULL</v>
          </cell>
          <cell r="W880" t="str">
            <v>NULL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  <cell r="N881" t="str">
            <v>アカデミア</v>
          </cell>
          <cell r="O881" t="str">
            <v>animal</v>
          </cell>
          <cell r="P881" t="str">
            <v>アニマル</v>
          </cell>
          <cell r="Q881" t="str">
            <v>アタッカー</v>
          </cell>
          <cell r="R881">
            <v>3</v>
          </cell>
          <cell r="S881" t="str">
            <v>NULL</v>
          </cell>
          <cell r="T881" t="str">
            <v>normal</v>
          </cell>
          <cell r="U881" t="str">
            <v>NULL</v>
          </cell>
          <cell r="V881" t="str">
            <v>NULL</v>
          </cell>
          <cell r="W881" t="str">
            <v>NULL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  <cell r="N882" t="str">
            <v>アカデミア</v>
          </cell>
          <cell r="O882" t="str">
            <v>animal</v>
          </cell>
          <cell r="P882" t="str">
            <v>アニマル</v>
          </cell>
          <cell r="Q882" t="str">
            <v>アタッカー</v>
          </cell>
          <cell r="R882">
            <v>3</v>
          </cell>
          <cell r="S882" t="str">
            <v>NULL</v>
          </cell>
          <cell r="T882" t="str">
            <v>normal</v>
          </cell>
          <cell r="U882" t="str">
            <v>NULL</v>
          </cell>
          <cell r="V882" t="str">
            <v>NULL</v>
          </cell>
          <cell r="W882" t="str">
            <v>NULL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  <cell r="N883" t="str">
            <v>アカデミア</v>
          </cell>
          <cell r="O883" t="str">
            <v>human</v>
          </cell>
          <cell r="P883" t="str">
            <v>ヒューマン</v>
          </cell>
          <cell r="Q883" t="str">
            <v>アタッカー</v>
          </cell>
          <cell r="R883">
            <v>3</v>
          </cell>
          <cell r="S883" t="str">
            <v>NULL</v>
          </cell>
          <cell r="T883" t="str">
            <v>super</v>
          </cell>
          <cell r="U883" t="str">
            <v>NULL</v>
          </cell>
          <cell r="V883" t="str">
            <v>NULL</v>
          </cell>
          <cell r="W883" t="str">
            <v>NULL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  <cell r="N884" t="str">
            <v>ゴッド</v>
          </cell>
          <cell r="O884" t="str">
            <v>none</v>
          </cell>
          <cell r="P884" t="str">
            <v>種族なし</v>
          </cell>
          <cell r="Q884" t="str">
            <v>アタッカー</v>
          </cell>
          <cell r="R884">
            <v>3</v>
          </cell>
          <cell r="S884" t="str">
            <v>NULL</v>
          </cell>
          <cell r="T884" t="str">
            <v>normal</v>
          </cell>
          <cell r="U884" t="str">
            <v>NULL</v>
          </cell>
          <cell r="V884" t="str">
            <v>NULL</v>
          </cell>
          <cell r="W884" t="str">
            <v>NULL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  <cell r="N885" t="str">
            <v>ゴッド</v>
          </cell>
          <cell r="O885" t="str">
            <v>none</v>
          </cell>
          <cell r="P885" t="str">
            <v>種族なし</v>
          </cell>
          <cell r="Q885" t="str">
            <v>アタッカー</v>
          </cell>
          <cell r="R885">
            <v>3</v>
          </cell>
          <cell r="S885" t="str">
            <v>NULL</v>
          </cell>
          <cell r="T885" t="str">
            <v>normal</v>
          </cell>
          <cell r="U885" t="str">
            <v>NULL</v>
          </cell>
          <cell r="V885" t="str">
            <v>NULL</v>
          </cell>
          <cell r="W885" t="str">
            <v>NULL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  <cell r="N886" t="str">
            <v>ゴッド</v>
          </cell>
          <cell r="O886" t="str">
            <v>none</v>
          </cell>
          <cell r="P886" t="str">
            <v>種族なし</v>
          </cell>
          <cell r="Q886" t="str">
            <v>アタッカー</v>
          </cell>
          <cell r="R886">
            <v>3</v>
          </cell>
          <cell r="S886" t="str">
            <v>NULL</v>
          </cell>
          <cell r="T886" t="str">
            <v>normal</v>
          </cell>
          <cell r="U886" t="str">
            <v>NULL</v>
          </cell>
          <cell r="V886" t="str">
            <v>NULL</v>
          </cell>
          <cell r="W886" t="str">
            <v>NULL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  <cell r="N887" t="str">
            <v>ゴッド</v>
          </cell>
          <cell r="O887" t="str">
            <v>none</v>
          </cell>
          <cell r="P887" t="str">
            <v>種族なし</v>
          </cell>
          <cell r="Q887" t="str">
            <v>アタッカー</v>
          </cell>
          <cell r="R887">
            <v>3</v>
          </cell>
          <cell r="S887" t="str">
            <v>NULL</v>
          </cell>
          <cell r="T887" t="str">
            <v>normal</v>
          </cell>
          <cell r="U887" t="str">
            <v>NULL</v>
          </cell>
          <cell r="V887" t="str">
            <v>NULL</v>
          </cell>
          <cell r="W887" t="str">
            <v>NULL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  <cell r="N888" t="str">
            <v>ゴッド</v>
          </cell>
          <cell r="O888" t="str">
            <v>machine</v>
          </cell>
          <cell r="P888" t="str">
            <v>マシン</v>
          </cell>
          <cell r="Q888" t="str">
            <v>アタッカー</v>
          </cell>
          <cell r="R888">
            <v>3</v>
          </cell>
          <cell r="S888" t="str">
            <v>NULL</v>
          </cell>
          <cell r="T888" t="str">
            <v>normal</v>
          </cell>
          <cell r="U888" t="str">
            <v>NULL</v>
          </cell>
          <cell r="V888" t="str">
            <v>NULL</v>
          </cell>
          <cell r="W888" t="str">
            <v>NULL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  <cell r="N889" t="str">
            <v>ゴッド</v>
          </cell>
          <cell r="O889" t="str">
            <v>machine</v>
          </cell>
          <cell r="P889" t="str">
            <v>マシン</v>
          </cell>
          <cell r="Q889" t="str">
            <v>アタッカー</v>
          </cell>
          <cell r="R889">
            <v>3</v>
          </cell>
          <cell r="S889" t="str">
            <v>NULL</v>
          </cell>
          <cell r="T889" t="str">
            <v>normal</v>
          </cell>
          <cell r="U889" t="str">
            <v>NULL</v>
          </cell>
          <cell r="V889" t="str">
            <v>NULL</v>
          </cell>
          <cell r="W889" t="str">
            <v>NULL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  <cell r="N890" t="str">
            <v>アカデミア</v>
          </cell>
          <cell r="O890" t="str">
            <v>unknown</v>
          </cell>
          <cell r="P890" t="str">
            <v>Unknown</v>
          </cell>
          <cell r="Q890" t="str">
            <v>アタッカー</v>
          </cell>
          <cell r="R890">
            <v>1</v>
          </cell>
          <cell r="S890" t="str">
            <v>NULL</v>
          </cell>
          <cell r="T890" t="str">
            <v>normal</v>
          </cell>
          <cell r="U890" t="str">
            <v>NULL</v>
          </cell>
          <cell r="V890" t="str">
            <v>NULL</v>
          </cell>
          <cell r="W890" t="str">
            <v>NULL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  <cell r="N891" t="str">
            <v>アカデミア</v>
          </cell>
          <cell r="O891" t="str">
            <v>unknown</v>
          </cell>
          <cell r="P891" t="str">
            <v>Unknown</v>
          </cell>
          <cell r="Q891" t="str">
            <v>アタッカー</v>
          </cell>
          <cell r="R891">
            <v>1</v>
          </cell>
          <cell r="S891" t="str">
            <v>NULL</v>
          </cell>
          <cell r="T891" t="str">
            <v>normal</v>
          </cell>
          <cell r="U891" t="str">
            <v>NULL</v>
          </cell>
          <cell r="V891" t="str">
            <v>NULL</v>
          </cell>
          <cell r="W891" t="str">
            <v>NULL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  <cell r="N892" t="str">
            <v>ゴッド</v>
          </cell>
          <cell r="O892" t="str">
            <v>animal</v>
          </cell>
          <cell r="P892" t="str">
            <v>アニマル</v>
          </cell>
          <cell r="Q892" t="str">
            <v>アタッカー</v>
          </cell>
          <cell r="R892">
            <v>3</v>
          </cell>
          <cell r="S892" t="str">
            <v>NULL</v>
          </cell>
          <cell r="T892" t="str">
            <v>normal</v>
          </cell>
          <cell r="U892" t="str">
            <v>NULL</v>
          </cell>
          <cell r="V892" t="str">
            <v>NULL</v>
          </cell>
          <cell r="W892" t="str">
            <v>NULL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  <cell r="N893" t="str">
            <v>ゴッド</v>
          </cell>
          <cell r="O893" t="str">
            <v>animal</v>
          </cell>
          <cell r="P893" t="str">
            <v>アニマル</v>
          </cell>
          <cell r="Q893" t="str">
            <v>アタッカー</v>
          </cell>
          <cell r="R893">
            <v>3</v>
          </cell>
          <cell r="S893" t="str">
            <v>NULL</v>
          </cell>
          <cell r="T893" t="str">
            <v>normal</v>
          </cell>
          <cell r="U893" t="str">
            <v>NULL</v>
          </cell>
          <cell r="V893" t="str">
            <v>NULL</v>
          </cell>
          <cell r="W893" t="str">
            <v>NULL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  <cell r="N894" t="str">
            <v>ゴッド</v>
          </cell>
          <cell r="O894" t="str">
            <v>machine</v>
          </cell>
          <cell r="P894" t="str">
            <v>マシン</v>
          </cell>
          <cell r="Q894" t="str">
            <v>アタッカー</v>
          </cell>
          <cell r="R894">
            <v>3</v>
          </cell>
          <cell r="S894" t="str">
            <v>NULL</v>
          </cell>
          <cell r="T894" t="str">
            <v>normal</v>
          </cell>
          <cell r="U894" t="str">
            <v>NULL</v>
          </cell>
          <cell r="V894" t="str">
            <v>NULL</v>
          </cell>
          <cell r="W894" t="str">
            <v>NULL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  <cell r="N895" t="str">
            <v>ゴッド</v>
          </cell>
          <cell r="O895" t="str">
            <v>machine</v>
          </cell>
          <cell r="P895" t="str">
            <v>マシン</v>
          </cell>
          <cell r="Q895" t="str">
            <v>アタッカー</v>
          </cell>
          <cell r="R895">
            <v>3</v>
          </cell>
          <cell r="S895" t="str">
            <v>NULL</v>
          </cell>
          <cell r="T895" t="str">
            <v>normal</v>
          </cell>
          <cell r="U895" t="str">
            <v>NULL</v>
          </cell>
          <cell r="V895" t="str">
            <v>NULL</v>
          </cell>
          <cell r="W895" t="str">
            <v>NULL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  <cell r="N896" t="str">
            <v>ヒューマン</v>
          </cell>
          <cell r="O896" t="str">
            <v>none</v>
          </cell>
          <cell r="P896" t="str">
            <v>種族なし</v>
          </cell>
          <cell r="Q896" t="str">
            <v>アタッカー</v>
          </cell>
          <cell r="R896">
            <v>1</v>
          </cell>
          <cell r="S896" t="str">
            <v>NULL</v>
          </cell>
          <cell r="T896" t="str">
            <v>normal</v>
          </cell>
          <cell r="U896" t="str">
            <v>NULL</v>
          </cell>
          <cell r="V896" t="str">
            <v>NULL</v>
          </cell>
          <cell r="W896" t="str">
            <v>NULL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  <cell r="N897" t="str">
            <v>アニマル</v>
          </cell>
          <cell r="O897" t="str">
            <v>none</v>
          </cell>
          <cell r="P897" t="str">
            <v>種族なし</v>
          </cell>
          <cell r="Q897" t="str">
            <v>アタッカー</v>
          </cell>
          <cell r="R897">
            <v>3</v>
          </cell>
          <cell r="S897" t="str">
            <v>NULL</v>
          </cell>
          <cell r="T897" t="str">
            <v>normal</v>
          </cell>
          <cell r="U897" t="str">
            <v>NULL</v>
          </cell>
          <cell r="V897" t="str">
            <v>NULL</v>
          </cell>
          <cell r="W897" t="str">
            <v>NULL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  <cell r="N898" t="str">
            <v>アニマル</v>
          </cell>
          <cell r="O898" t="str">
            <v>none</v>
          </cell>
          <cell r="P898" t="str">
            <v>種族なし</v>
          </cell>
          <cell r="Q898" t="str">
            <v>アタッカー</v>
          </cell>
          <cell r="R898">
            <v>3</v>
          </cell>
          <cell r="S898" t="str">
            <v>NULL</v>
          </cell>
          <cell r="T898" t="str">
            <v>normal</v>
          </cell>
          <cell r="U898" t="str">
            <v>NULL</v>
          </cell>
          <cell r="V898" t="str">
            <v>NULL</v>
          </cell>
          <cell r="W898" t="str">
            <v>NULL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  <cell r="N899" t="str">
            <v>ヒューマン</v>
          </cell>
          <cell r="O899" t="str">
            <v>none</v>
          </cell>
          <cell r="P899" t="str">
            <v>種族なし</v>
          </cell>
          <cell r="Q899" t="str">
            <v>アタッカー</v>
          </cell>
          <cell r="R899">
            <v>1</v>
          </cell>
          <cell r="S899" t="str">
            <v>NULL</v>
          </cell>
          <cell r="T899" t="str">
            <v>normal</v>
          </cell>
          <cell r="U899" t="str">
            <v>NULL</v>
          </cell>
          <cell r="V899" t="str">
            <v>NULL</v>
          </cell>
          <cell r="W899" t="str">
            <v>NULL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  <cell r="N900" t="str">
            <v>サンリオキャラクターズ</v>
          </cell>
          <cell r="O900" t="str">
            <v>none</v>
          </cell>
          <cell r="P900" t="str">
            <v>種族なし</v>
          </cell>
          <cell r="Q900" t="str">
            <v>アタッカー</v>
          </cell>
          <cell r="R900">
            <v>3</v>
          </cell>
          <cell r="S900" t="str">
            <v>NULL</v>
          </cell>
          <cell r="T900" t="str">
            <v>normal</v>
          </cell>
          <cell r="U900" t="str">
            <v>(C)'76, '93, '96, '01, '16 SANRIO(E)</v>
          </cell>
          <cell r="V900" t="str">
            <v>NULL</v>
          </cell>
          <cell r="W900" t="str">
            <v>NULL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  <cell r="N901" t="str">
            <v>サンリオキャラクターズ</v>
          </cell>
          <cell r="O901" t="str">
            <v>none</v>
          </cell>
          <cell r="P901" t="str">
            <v>種族なし</v>
          </cell>
          <cell r="Q901" t="str">
            <v>アタッカー</v>
          </cell>
          <cell r="R901">
            <v>3</v>
          </cell>
          <cell r="S901" t="str">
            <v>NULL</v>
          </cell>
          <cell r="T901" t="str">
            <v>normal</v>
          </cell>
          <cell r="U901" t="str">
            <v>(C)'76, '88, '93, '96, '01, '05, '16 SANRIO(E)</v>
          </cell>
          <cell r="V901" t="str">
            <v>NULL</v>
          </cell>
          <cell r="W901" t="str">
            <v>NULL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  <cell r="N902" t="str">
            <v>サンリオキャラクターズ</v>
          </cell>
          <cell r="O902" t="str">
            <v>none</v>
          </cell>
          <cell r="P902" t="str">
            <v>種族なし</v>
          </cell>
          <cell r="Q902" t="str">
            <v>アタッカー</v>
          </cell>
          <cell r="R902">
            <v>3</v>
          </cell>
          <cell r="S902" t="str">
            <v>NULL</v>
          </cell>
          <cell r="T902" t="str">
            <v>normal</v>
          </cell>
          <cell r="U902" t="str">
            <v>(C)'76, '96, '01, '16 SANRIO(E)</v>
          </cell>
          <cell r="V902" t="str">
            <v>NULL</v>
          </cell>
          <cell r="W902" t="str">
            <v>NULL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  <cell r="N903" t="str">
            <v>サンリオキャラクターズ</v>
          </cell>
          <cell r="O903" t="str">
            <v>none</v>
          </cell>
          <cell r="P903" t="str">
            <v>種族なし</v>
          </cell>
          <cell r="Q903" t="str">
            <v>アタッカー</v>
          </cell>
          <cell r="R903">
            <v>3</v>
          </cell>
          <cell r="S903" t="str">
            <v>NULL</v>
          </cell>
          <cell r="T903" t="str">
            <v>normal</v>
          </cell>
          <cell r="U903" t="str">
            <v>(C)'76, '88, '93, '96, '01, '05, '16 SANRIO(E)</v>
          </cell>
          <cell r="V903" t="str">
            <v>NULL</v>
          </cell>
          <cell r="W903" t="str">
            <v>NULL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  <cell r="N904" t="str">
            <v>サンリオキャラクターズ</v>
          </cell>
          <cell r="O904" t="str">
            <v>none</v>
          </cell>
          <cell r="P904" t="str">
            <v>種族なし</v>
          </cell>
          <cell r="Q904" t="str">
            <v>アタッカー</v>
          </cell>
          <cell r="R904">
            <v>3</v>
          </cell>
          <cell r="S904" t="str">
            <v>NULL</v>
          </cell>
          <cell r="T904" t="str">
            <v>normal</v>
          </cell>
          <cell r="U904" t="str">
            <v>(C)'76, '16 SANRIO(E)</v>
          </cell>
          <cell r="V904" t="str">
            <v>NULL</v>
          </cell>
          <cell r="W904" t="str">
            <v>NULL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  <cell r="N905" t="str">
            <v>サンリオキャラクターズ</v>
          </cell>
          <cell r="O905" t="str">
            <v>none</v>
          </cell>
          <cell r="P905" t="str">
            <v>種族なし</v>
          </cell>
          <cell r="Q905" t="str">
            <v>アタッカー</v>
          </cell>
          <cell r="R905">
            <v>3</v>
          </cell>
          <cell r="S905" t="str">
            <v>NULL</v>
          </cell>
          <cell r="T905" t="str">
            <v>normal</v>
          </cell>
          <cell r="U905" t="str">
            <v>(C)'76, '16 SANRIO(E)</v>
          </cell>
          <cell r="V905" t="str">
            <v>NULL</v>
          </cell>
          <cell r="W905" t="str">
            <v>NULL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  <cell r="N906" t="str">
            <v>サンリオキャラクターズ</v>
          </cell>
          <cell r="O906" t="str">
            <v>none</v>
          </cell>
          <cell r="P906" t="str">
            <v>種族なし</v>
          </cell>
          <cell r="Q906" t="str">
            <v>アタッカー</v>
          </cell>
          <cell r="R906">
            <v>3</v>
          </cell>
          <cell r="S906" t="str">
            <v>NULL</v>
          </cell>
          <cell r="T906" t="str">
            <v>normal</v>
          </cell>
          <cell r="U906" t="str">
            <v>(C)'13, '16 SANRIO(E)</v>
          </cell>
          <cell r="V906" t="str">
            <v>NULL</v>
          </cell>
          <cell r="W906" t="str">
            <v>NULL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  <cell r="N907" t="str">
            <v>サンリオキャラクターズ</v>
          </cell>
          <cell r="O907" t="str">
            <v>none</v>
          </cell>
          <cell r="P907" t="str">
            <v>種族なし</v>
          </cell>
          <cell r="Q907" t="str">
            <v>アタッカー</v>
          </cell>
          <cell r="R907">
            <v>3</v>
          </cell>
          <cell r="S907" t="str">
            <v>NULL</v>
          </cell>
          <cell r="T907" t="str">
            <v>normal</v>
          </cell>
          <cell r="U907" t="str">
            <v>(C)'13, '16 SANRIO(E)</v>
          </cell>
          <cell r="V907" t="str">
            <v>NULL</v>
          </cell>
          <cell r="W907" t="str">
            <v>NULL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  <cell r="N908" t="str">
            <v>サンリオキャラクターズ</v>
          </cell>
          <cell r="O908" t="str">
            <v>none</v>
          </cell>
          <cell r="P908" t="str">
            <v>種族なし</v>
          </cell>
          <cell r="Q908" t="str">
            <v>アタッカー</v>
          </cell>
          <cell r="R908">
            <v>3</v>
          </cell>
          <cell r="S908" t="str">
            <v>NULL</v>
          </cell>
          <cell r="T908" t="str">
            <v>normal</v>
          </cell>
          <cell r="U908" t="str">
            <v>(C)'04, '16 SANRIO(E)</v>
          </cell>
          <cell r="V908" t="str">
            <v>NULL</v>
          </cell>
          <cell r="W908" t="str">
            <v>NULL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  <cell r="N909" t="str">
            <v>サンリオキャラクターズ</v>
          </cell>
          <cell r="O909" t="str">
            <v>none</v>
          </cell>
          <cell r="P909" t="str">
            <v>種族なし</v>
          </cell>
          <cell r="Q909" t="str">
            <v>アタッカー</v>
          </cell>
          <cell r="R909">
            <v>3</v>
          </cell>
          <cell r="S909" t="str">
            <v>NULL</v>
          </cell>
          <cell r="T909" t="str">
            <v>normal</v>
          </cell>
          <cell r="U909" t="str">
            <v>(C)'76, '16 SANRIO(E)</v>
          </cell>
          <cell r="V909" t="str">
            <v>NULL</v>
          </cell>
          <cell r="W909" t="str">
            <v>NULL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  <cell r="N910" t="str">
            <v>サンリオキャラクターズ</v>
          </cell>
          <cell r="O910" t="str">
            <v>none</v>
          </cell>
          <cell r="P910" t="str">
            <v>種族なし</v>
          </cell>
          <cell r="Q910" t="str">
            <v>アタッカー</v>
          </cell>
          <cell r="R910">
            <v>3</v>
          </cell>
          <cell r="S910" t="str">
            <v>NULL</v>
          </cell>
          <cell r="T910" t="str">
            <v>normal</v>
          </cell>
          <cell r="U910" t="str">
            <v>(C)'76, '16 SANRIO(E)</v>
          </cell>
          <cell r="V910" t="str">
            <v>NULL</v>
          </cell>
          <cell r="W910" t="str">
            <v>NULL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  <cell r="N911" t="str">
            <v>サンリオキャラクターズ</v>
          </cell>
          <cell r="O911" t="str">
            <v>none</v>
          </cell>
          <cell r="P911" t="str">
            <v>種族なし</v>
          </cell>
          <cell r="Q911" t="str">
            <v>アタッカー</v>
          </cell>
          <cell r="R911">
            <v>3</v>
          </cell>
          <cell r="S911" t="str">
            <v>NULL</v>
          </cell>
          <cell r="T911" t="str">
            <v>normal</v>
          </cell>
          <cell r="U911" t="str">
            <v>(C)'76, '16 SANRIO(E)</v>
          </cell>
          <cell r="V911" t="str">
            <v>NULL</v>
          </cell>
          <cell r="W911" t="str">
            <v>NULL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  <cell r="N912" t="str">
            <v>サンリオキャラクターズ</v>
          </cell>
          <cell r="O912" t="str">
            <v>none</v>
          </cell>
          <cell r="P912" t="str">
            <v>種族なし</v>
          </cell>
          <cell r="Q912" t="str">
            <v>アタッカー</v>
          </cell>
          <cell r="R912">
            <v>3</v>
          </cell>
          <cell r="S912" t="str">
            <v>NULL</v>
          </cell>
          <cell r="T912" t="str">
            <v>normal</v>
          </cell>
          <cell r="U912" t="str">
            <v>(C)'76, '16 SANRIO(E)</v>
          </cell>
          <cell r="V912" t="str">
            <v>NULL</v>
          </cell>
          <cell r="W912" t="str">
            <v>NULL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  <cell r="N913" t="str">
            <v>サンリオキャラクターズ</v>
          </cell>
          <cell r="O913" t="str">
            <v>none</v>
          </cell>
          <cell r="P913" t="str">
            <v>種族なし</v>
          </cell>
          <cell r="Q913" t="str">
            <v>アタッカー</v>
          </cell>
          <cell r="R913">
            <v>3</v>
          </cell>
          <cell r="S913" t="str">
            <v>NULL</v>
          </cell>
          <cell r="T913" t="str">
            <v>normal</v>
          </cell>
          <cell r="U913" t="str">
            <v>(C)'76, '16 SANRIO(E)</v>
          </cell>
          <cell r="V913" t="str">
            <v>NULL</v>
          </cell>
          <cell r="W913" t="str">
            <v>NULL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  <cell r="N914" t="str">
            <v>サンリオキャラクターズ</v>
          </cell>
          <cell r="O914" t="str">
            <v>none</v>
          </cell>
          <cell r="P914" t="str">
            <v>種族なし</v>
          </cell>
          <cell r="Q914" t="str">
            <v>アタッカー</v>
          </cell>
          <cell r="R914">
            <v>3</v>
          </cell>
          <cell r="S914" t="str">
            <v>NULL</v>
          </cell>
          <cell r="T914" t="str">
            <v>normal</v>
          </cell>
          <cell r="U914" t="str">
            <v>(C)'01, '16 SANRIO(E)</v>
          </cell>
          <cell r="V914" t="str">
            <v>NULL</v>
          </cell>
          <cell r="W914" t="str">
            <v>NULL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  <cell r="N915" t="str">
            <v>サンリオキャラクターズ</v>
          </cell>
          <cell r="O915" t="str">
            <v>none</v>
          </cell>
          <cell r="P915" t="str">
            <v>種族なし</v>
          </cell>
          <cell r="Q915" t="str">
            <v>アタッカー</v>
          </cell>
          <cell r="R915">
            <v>3</v>
          </cell>
          <cell r="S915" t="str">
            <v>NULL</v>
          </cell>
          <cell r="T915" t="str">
            <v>normal</v>
          </cell>
          <cell r="U915" t="str">
            <v>(C)'01, '16 SANRIO(E)</v>
          </cell>
          <cell r="V915" t="str">
            <v>NULL</v>
          </cell>
          <cell r="W915" t="str">
            <v>NULL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  <cell r="N916" t="str">
            <v>サンリオキャラクターズ</v>
          </cell>
          <cell r="O916" t="str">
            <v>none</v>
          </cell>
          <cell r="P916" t="str">
            <v>種族なし</v>
          </cell>
          <cell r="Q916" t="str">
            <v>アタッカー</v>
          </cell>
          <cell r="R916">
            <v>3</v>
          </cell>
          <cell r="S916" t="str">
            <v>NULL</v>
          </cell>
          <cell r="T916" t="str">
            <v>normal</v>
          </cell>
          <cell r="U916" t="str">
            <v>(C)'76, '16 SANRIO(E)</v>
          </cell>
          <cell r="V916" t="str">
            <v>NULL</v>
          </cell>
          <cell r="W916" t="str">
            <v>NULL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  <cell r="N917" t="str">
            <v>サンリオキャラクターズ</v>
          </cell>
          <cell r="O917" t="str">
            <v>none</v>
          </cell>
          <cell r="P917" t="str">
            <v>種族なし</v>
          </cell>
          <cell r="Q917" t="str">
            <v>アタッカー</v>
          </cell>
          <cell r="R917">
            <v>3</v>
          </cell>
          <cell r="S917" t="str">
            <v>NULL</v>
          </cell>
          <cell r="T917" t="str">
            <v>normal</v>
          </cell>
          <cell r="U917" t="str">
            <v>(C)'76, '16 SANRIO(E)</v>
          </cell>
          <cell r="V917" t="str">
            <v>NULL</v>
          </cell>
          <cell r="W917" t="str">
            <v>NULL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  <cell r="N918" t="str">
            <v>サンリオキャラクターズ</v>
          </cell>
          <cell r="O918" t="str">
            <v>none</v>
          </cell>
          <cell r="P918" t="str">
            <v>種族なし</v>
          </cell>
          <cell r="Q918" t="str">
            <v>アタッカー</v>
          </cell>
          <cell r="R918">
            <v>3</v>
          </cell>
          <cell r="S918" t="str">
            <v>NULL</v>
          </cell>
          <cell r="T918" t="str">
            <v>normal</v>
          </cell>
          <cell r="U918" t="str">
            <v>(C)'88, '16 SANRIO(E)</v>
          </cell>
          <cell r="V918" t="str">
            <v>NULL</v>
          </cell>
          <cell r="W918" t="str">
            <v>NULL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  <cell r="N919" t="str">
            <v>サンリオキャラクターズ</v>
          </cell>
          <cell r="O919" t="str">
            <v>none</v>
          </cell>
          <cell r="P919" t="str">
            <v>種族なし</v>
          </cell>
          <cell r="Q919" t="str">
            <v>アタッカー</v>
          </cell>
          <cell r="R919">
            <v>3</v>
          </cell>
          <cell r="S919" t="str">
            <v>NULL</v>
          </cell>
          <cell r="T919" t="str">
            <v>normal</v>
          </cell>
          <cell r="U919" t="str">
            <v>(C)'88, '16 SANRIO(E)</v>
          </cell>
          <cell r="V919" t="str">
            <v>NULL</v>
          </cell>
          <cell r="W919" t="str">
            <v>NULL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  <cell r="N920" t="str">
            <v>サンリオキャラクターズ</v>
          </cell>
          <cell r="O920" t="str">
            <v>none</v>
          </cell>
          <cell r="P920" t="str">
            <v>種族なし</v>
          </cell>
          <cell r="Q920" t="str">
            <v>アタッカー</v>
          </cell>
          <cell r="R920">
            <v>3</v>
          </cell>
          <cell r="S920" t="str">
            <v>NULL</v>
          </cell>
          <cell r="T920" t="str">
            <v>normal</v>
          </cell>
          <cell r="U920" t="str">
            <v>(C)'96, '16 SANRIO(E)</v>
          </cell>
          <cell r="V920" t="str">
            <v>NULL</v>
          </cell>
          <cell r="W920" t="str">
            <v>NULL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  <cell r="N921" t="str">
            <v>サンリオキャラクターズ</v>
          </cell>
          <cell r="O921" t="str">
            <v>none</v>
          </cell>
          <cell r="P921" t="str">
            <v>種族なし</v>
          </cell>
          <cell r="Q921" t="str">
            <v>アタッカー</v>
          </cell>
          <cell r="R921">
            <v>3</v>
          </cell>
          <cell r="S921" t="str">
            <v>NULL</v>
          </cell>
          <cell r="T921" t="str">
            <v>normal</v>
          </cell>
          <cell r="U921" t="str">
            <v>(C)'96, '16 SANRIO(E)</v>
          </cell>
          <cell r="V921" t="str">
            <v>NULL</v>
          </cell>
          <cell r="W921" t="str">
            <v>NULL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  <cell r="N922" t="str">
            <v>サンリオキャラクターズ</v>
          </cell>
          <cell r="O922" t="str">
            <v>none</v>
          </cell>
          <cell r="P922" t="str">
            <v>種族なし</v>
          </cell>
          <cell r="Q922" t="str">
            <v>アタッカー</v>
          </cell>
          <cell r="R922">
            <v>3</v>
          </cell>
          <cell r="S922" t="str">
            <v>NULL</v>
          </cell>
          <cell r="T922" t="str">
            <v>normal</v>
          </cell>
          <cell r="U922" t="str">
            <v>(C)'05, '16 SANRIO(E)</v>
          </cell>
          <cell r="V922" t="str">
            <v>NULL</v>
          </cell>
          <cell r="W922" t="str">
            <v>NULL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  <cell r="N923" t="str">
            <v>サンリオキャラクターズ</v>
          </cell>
          <cell r="O923" t="str">
            <v>none</v>
          </cell>
          <cell r="P923" t="str">
            <v>種族なし</v>
          </cell>
          <cell r="Q923" t="str">
            <v>アタッカー</v>
          </cell>
          <cell r="R923">
            <v>3</v>
          </cell>
          <cell r="S923" t="str">
            <v>NULL</v>
          </cell>
          <cell r="T923" t="str">
            <v>normal</v>
          </cell>
          <cell r="U923" t="str">
            <v>(C)'05, '16 SANRIO(E)</v>
          </cell>
          <cell r="V923" t="str">
            <v>NULL</v>
          </cell>
          <cell r="W923" t="str">
            <v>NULL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  <cell r="N924" t="str">
            <v>サンリオキャラクターズ</v>
          </cell>
          <cell r="O924" t="str">
            <v>none</v>
          </cell>
          <cell r="P924" t="str">
            <v>種族なし</v>
          </cell>
          <cell r="Q924" t="str">
            <v>アタッカー</v>
          </cell>
          <cell r="R924">
            <v>3</v>
          </cell>
          <cell r="S924" t="str">
            <v>NULL</v>
          </cell>
          <cell r="T924" t="str">
            <v>normal</v>
          </cell>
          <cell r="U924" t="str">
            <v>(C)'93, '16 SANRIO(E)</v>
          </cell>
          <cell r="V924" t="str">
            <v>NULL</v>
          </cell>
          <cell r="W924" t="str">
            <v>NULL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  <cell r="N925" t="str">
            <v>サンリオキャラクターズ</v>
          </cell>
          <cell r="O925" t="str">
            <v>none</v>
          </cell>
          <cell r="P925" t="str">
            <v>種族なし</v>
          </cell>
          <cell r="Q925" t="str">
            <v>アタッカー</v>
          </cell>
          <cell r="R925">
            <v>3</v>
          </cell>
          <cell r="S925" t="str">
            <v>NULL</v>
          </cell>
          <cell r="T925" t="str">
            <v>normal</v>
          </cell>
          <cell r="U925" t="str">
            <v>(C)'93, '16 SANRIO(E)</v>
          </cell>
          <cell r="V925" t="str">
            <v>NULL</v>
          </cell>
          <cell r="W925" t="str">
            <v>NULL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  <cell r="N926" t="str">
            <v>サンリオキャラクターズ</v>
          </cell>
          <cell r="O926" t="str">
            <v>none</v>
          </cell>
          <cell r="P926" t="str">
            <v>種族なし</v>
          </cell>
          <cell r="Q926" t="str">
            <v>アタッカー</v>
          </cell>
          <cell r="R926">
            <v>3</v>
          </cell>
          <cell r="S926" t="str">
            <v>NULL</v>
          </cell>
          <cell r="T926" t="str">
            <v>normal</v>
          </cell>
          <cell r="U926" t="str">
            <v>(C)'01, '16 SANRIO(E)</v>
          </cell>
          <cell r="V926" t="str">
            <v>NULL</v>
          </cell>
          <cell r="W926" t="str">
            <v>NULL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  <cell r="N927" t="str">
            <v>サンリオキャラクターズ</v>
          </cell>
          <cell r="O927" t="str">
            <v>none</v>
          </cell>
          <cell r="P927" t="str">
            <v>種族なし</v>
          </cell>
          <cell r="Q927" t="str">
            <v>アタッカー</v>
          </cell>
          <cell r="R927">
            <v>3</v>
          </cell>
          <cell r="S927" t="str">
            <v>NULL</v>
          </cell>
          <cell r="T927" t="str">
            <v>normal</v>
          </cell>
          <cell r="U927" t="str">
            <v>(C)'01, '16 SANRIO(E)</v>
          </cell>
          <cell r="V927" t="str">
            <v>NULL</v>
          </cell>
          <cell r="W927" t="str">
            <v>NULL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  <cell r="N928" t="str">
            <v>サンリオキャラクターズ</v>
          </cell>
          <cell r="O928" t="str">
            <v>none</v>
          </cell>
          <cell r="P928" t="str">
            <v>種族なし</v>
          </cell>
          <cell r="Q928" t="str">
            <v>アタッカー</v>
          </cell>
          <cell r="R928">
            <v>3</v>
          </cell>
          <cell r="S928" t="str">
            <v>NULL</v>
          </cell>
          <cell r="T928" t="str">
            <v>normal</v>
          </cell>
          <cell r="U928" t="str">
            <v>(C)'96, '16 SANRIO(E)</v>
          </cell>
          <cell r="V928" t="str">
            <v>NULL</v>
          </cell>
          <cell r="W928" t="str">
            <v>NULL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  <cell r="N929" t="str">
            <v>サンリオキャラクターズ</v>
          </cell>
          <cell r="O929" t="str">
            <v>none</v>
          </cell>
          <cell r="P929" t="str">
            <v>種族なし</v>
          </cell>
          <cell r="Q929" t="str">
            <v>アタッカー</v>
          </cell>
          <cell r="R929">
            <v>3</v>
          </cell>
          <cell r="S929" t="str">
            <v>NULL</v>
          </cell>
          <cell r="T929" t="str">
            <v>normal</v>
          </cell>
          <cell r="U929" t="str">
            <v>(C)'96, '16 SANRIO(E)</v>
          </cell>
          <cell r="V929" t="str">
            <v>NULL</v>
          </cell>
          <cell r="W929" t="str">
            <v>NULL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  <cell r="N930" t="str">
            <v>ゴッド</v>
          </cell>
          <cell r="O930" t="str">
            <v>none</v>
          </cell>
          <cell r="P930" t="str">
            <v>種族なし</v>
          </cell>
          <cell r="Q930" t="str">
            <v>アタッカー</v>
          </cell>
          <cell r="R930">
            <v>3</v>
          </cell>
          <cell r="S930" t="str">
            <v>NULL</v>
          </cell>
          <cell r="T930" t="str">
            <v>normal</v>
          </cell>
          <cell r="U930" t="str">
            <v>NULL</v>
          </cell>
          <cell r="V930" t="str">
            <v>NULL</v>
          </cell>
          <cell r="W930" t="str">
            <v>NULL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  <cell r="N931" t="str">
            <v>ゴッド</v>
          </cell>
          <cell r="O931" t="str">
            <v>none</v>
          </cell>
          <cell r="P931" t="str">
            <v>種族なし</v>
          </cell>
          <cell r="Q931" t="str">
            <v>アタッカー</v>
          </cell>
          <cell r="R931">
            <v>3</v>
          </cell>
          <cell r="S931" t="str">
            <v>NULL</v>
          </cell>
          <cell r="T931" t="str">
            <v>normal</v>
          </cell>
          <cell r="U931" t="str">
            <v>NULL</v>
          </cell>
          <cell r="V931" t="str">
            <v>NULL</v>
          </cell>
          <cell r="W931" t="str">
            <v>NULL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  <cell r="N932" t="str">
            <v>ヒューマン</v>
          </cell>
          <cell r="O932" t="str">
            <v>machine</v>
          </cell>
          <cell r="P932" t="str">
            <v>マシン</v>
          </cell>
          <cell r="Q932" t="str">
            <v>アタッカー</v>
          </cell>
          <cell r="R932">
            <v>3</v>
          </cell>
          <cell r="S932" t="str">
            <v>NULL</v>
          </cell>
          <cell r="T932" t="str">
            <v>normal</v>
          </cell>
          <cell r="U932" t="str">
            <v>NULL</v>
          </cell>
          <cell r="V932" t="str">
            <v>NULL</v>
          </cell>
          <cell r="W932" t="str">
            <v>NULL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  <cell r="N933" t="str">
            <v>ヒューマン</v>
          </cell>
          <cell r="O933" t="str">
            <v>machine</v>
          </cell>
          <cell r="P933" t="str">
            <v>マシン</v>
          </cell>
          <cell r="Q933" t="str">
            <v>アタッカー</v>
          </cell>
          <cell r="R933">
            <v>3</v>
          </cell>
          <cell r="S933" t="str">
            <v>NULL</v>
          </cell>
          <cell r="T933" t="str">
            <v>normal</v>
          </cell>
          <cell r="U933" t="str">
            <v>NULL</v>
          </cell>
          <cell r="V933" t="str">
            <v>NULL</v>
          </cell>
          <cell r="W933" t="str">
            <v>NULL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  <cell r="N934" t="str">
            <v>Unknown</v>
          </cell>
          <cell r="O934" t="str">
            <v>none</v>
          </cell>
          <cell r="P934" t="str">
            <v>種族なし</v>
          </cell>
          <cell r="Q934" t="str">
            <v>アタッカー</v>
          </cell>
          <cell r="R934">
            <v>3</v>
          </cell>
          <cell r="S934" t="str">
            <v>NULL</v>
          </cell>
          <cell r="T934" t="str">
            <v>normal</v>
          </cell>
          <cell r="U934" t="str">
            <v>NULL</v>
          </cell>
          <cell r="V934" t="str">
            <v>NULL</v>
          </cell>
          <cell r="W934" t="str">
            <v>NULL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  <cell r="N935" t="str">
            <v>Unknown</v>
          </cell>
          <cell r="O935" t="str">
            <v>none</v>
          </cell>
          <cell r="P935" t="str">
            <v>種族なし</v>
          </cell>
          <cell r="Q935" t="str">
            <v>アタッカー</v>
          </cell>
          <cell r="R935">
            <v>3</v>
          </cell>
          <cell r="S935" t="str">
            <v>NULL</v>
          </cell>
          <cell r="T935" t="str">
            <v>normal</v>
          </cell>
          <cell r="U935" t="str">
            <v>NULL</v>
          </cell>
          <cell r="V935" t="str">
            <v>NULL</v>
          </cell>
          <cell r="W935" t="str">
            <v>NULL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  <cell r="N936" t="str">
            <v>ヒューマン</v>
          </cell>
          <cell r="O936" t="str">
            <v>none</v>
          </cell>
          <cell r="P936" t="str">
            <v>種族なし</v>
          </cell>
          <cell r="Q936" t="str">
            <v>アタッカー</v>
          </cell>
          <cell r="R936">
            <v>3</v>
          </cell>
          <cell r="S936" t="str">
            <v>NULL</v>
          </cell>
          <cell r="T936" t="str">
            <v>normal</v>
          </cell>
          <cell r="U936" t="str">
            <v>NULL</v>
          </cell>
          <cell r="V936" t="str">
            <v>NULL</v>
          </cell>
          <cell r="W936" t="str">
            <v>NULL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  <cell r="N937" t="str">
            <v>ヒューマン</v>
          </cell>
          <cell r="O937" t="str">
            <v>none</v>
          </cell>
          <cell r="P937" t="str">
            <v>種族なし</v>
          </cell>
          <cell r="Q937" t="str">
            <v>アタッカー</v>
          </cell>
          <cell r="R937">
            <v>3</v>
          </cell>
          <cell r="S937" t="str">
            <v>NULL</v>
          </cell>
          <cell r="T937" t="str">
            <v>normal</v>
          </cell>
          <cell r="U937" t="str">
            <v>NULL</v>
          </cell>
          <cell r="V937" t="str">
            <v>NULL</v>
          </cell>
          <cell r="W937" t="str">
            <v>NULL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  <cell r="N938" t="str">
            <v>ヒューマン</v>
          </cell>
          <cell r="O938" t="str">
            <v>none</v>
          </cell>
          <cell r="P938" t="str">
            <v>種族なし</v>
          </cell>
          <cell r="Q938" t="str">
            <v>アタッカー</v>
          </cell>
          <cell r="R938">
            <v>3</v>
          </cell>
          <cell r="S938" t="str">
            <v>NULL</v>
          </cell>
          <cell r="T938" t="str">
            <v>normal</v>
          </cell>
          <cell r="U938" t="str">
            <v>NULL</v>
          </cell>
          <cell r="V938" t="str">
            <v>NULL</v>
          </cell>
          <cell r="W938" t="str">
            <v>NULL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  <cell r="N939" t="str">
            <v>ヒューマン</v>
          </cell>
          <cell r="O939" t="str">
            <v>none</v>
          </cell>
          <cell r="P939" t="str">
            <v>種族なし</v>
          </cell>
          <cell r="Q939" t="str">
            <v>アタッカー</v>
          </cell>
          <cell r="R939">
            <v>3</v>
          </cell>
          <cell r="S939" t="str">
            <v>NULL</v>
          </cell>
          <cell r="T939" t="str">
            <v>normal</v>
          </cell>
          <cell r="U939" t="str">
            <v>NULL</v>
          </cell>
          <cell r="V939" t="str">
            <v>NULL</v>
          </cell>
          <cell r="W939" t="str">
            <v>NULL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  <cell r="N940" t="str">
            <v>Unknown</v>
          </cell>
          <cell r="O940" t="str">
            <v>none</v>
          </cell>
          <cell r="P940" t="str">
            <v>種族なし</v>
          </cell>
          <cell r="Q940" t="str">
            <v>アタッカー</v>
          </cell>
          <cell r="R940">
            <v>3</v>
          </cell>
          <cell r="S940" t="str">
            <v>NULL</v>
          </cell>
          <cell r="T940" t="str">
            <v>normal</v>
          </cell>
          <cell r="U940" t="str">
            <v>NULL</v>
          </cell>
          <cell r="V940" t="str">
            <v>NULL</v>
          </cell>
          <cell r="W940" t="str">
            <v>NULL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  <cell r="N941" t="str">
            <v>Unknown</v>
          </cell>
          <cell r="O941" t="str">
            <v>none</v>
          </cell>
          <cell r="P941" t="str">
            <v>種族なし</v>
          </cell>
          <cell r="Q941" t="str">
            <v>アタッカー</v>
          </cell>
          <cell r="R941">
            <v>3</v>
          </cell>
          <cell r="S941" t="str">
            <v>NULL</v>
          </cell>
          <cell r="T941" t="str">
            <v>normal</v>
          </cell>
          <cell r="U941" t="str">
            <v>NULL</v>
          </cell>
          <cell r="V941" t="str">
            <v>NULL</v>
          </cell>
          <cell r="W941" t="str">
            <v>NULL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  <cell r="N942" t="str">
            <v>ヒューマン</v>
          </cell>
          <cell r="O942" t="str">
            <v>none</v>
          </cell>
          <cell r="P942" t="str">
            <v>種族なし</v>
          </cell>
          <cell r="Q942" t="str">
            <v>アタッカー</v>
          </cell>
          <cell r="R942">
            <v>3</v>
          </cell>
          <cell r="S942" t="str">
            <v>NULL</v>
          </cell>
          <cell r="T942" t="str">
            <v>normal</v>
          </cell>
          <cell r="U942" t="str">
            <v>NULL</v>
          </cell>
          <cell r="V942" t="str">
            <v>NULL</v>
          </cell>
          <cell r="W942" t="str">
            <v>NULL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  <cell r="N943" t="str">
            <v>ヒューマン</v>
          </cell>
          <cell r="O943" t="str">
            <v>none</v>
          </cell>
          <cell r="P943" t="str">
            <v>種族なし</v>
          </cell>
          <cell r="Q943" t="str">
            <v>アタッカー</v>
          </cell>
          <cell r="R943">
            <v>3</v>
          </cell>
          <cell r="S943" t="str">
            <v>NULL</v>
          </cell>
          <cell r="T943" t="str">
            <v>normal</v>
          </cell>
          <cell r="U943" t="str">
            <v>NULL</v>
          </cell>
          <cell r="V943" t="str">
            <v>NULL</v>
          </cell>
          <cell r="W943" t="str">
            <v>NULL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  <cell r="N944" t="str">
            <v>ヒューマン</v>
          </cell>
          <cell r="O944" t="str">
            <v>none</v>
          </cell>
          <cell r="P944" t="str">
            <v>種族なし</v>
          </cell>
          <cell r="Q944" t="str">
            <v>アタッカー</v>
          </cell>
          <cell r="R944">
            <v>3</v>
          </cell>
          <cell r="S944" t="str">
            <v>NULL</v>
          </cell>
          <cell r="T944" t="str">
            <v>normal</v>
          </cell>
          <cell r="U944" t="str">
            <v>NULL</v>
          </cell>
          <cell r="V944" t="str">
            <v>NULL</v>
          </cell>
          <cell r="W944" t="str">
            <v>NULL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  <cell r="N945" t="str">
            <v>ヒューマン</v>
          </cell>
          <cell r="O945" t="str">
            <v>none</v>
          </cell>
          <cell r="P945" t="str">
            <v>種族なし</v>
          </cell>
          <cell r="Q945" t="str">
            <v>アタッカー</v>
          </cell>
          <cell r="R945">
            <v>3</v>
          </cell>
          <cell r="S945" t="str">
            <v>NULL</v>
          </cell>
          <cell r="T945" t="str">
            <v>normal</v>
          </cell>
          <cell r="U945" t="str">
            <v>NULL</v>
          </cell>
          <cell r="V945" t="str">
            <v>NULL</v>
          </cell>
          <cell r="W945" t="str">
            <v>NULL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  <cell r="N946" t="str">
            <v>アカデミア</v>
          </cell>
          <cell r="O946" t="str">
            <v>unknown</v>
          </cell>
          <cell r="P946" t="str">
            <v>Unknown</v>
          </cell>
          <cell r="Q946" t="str">
            <v>アタッカー</v>
          </cell>
          <cell r="R946">
            <v>1</v>
          </cell>
          <cell r="S946" t="str">
            <v>NULL</v>
          </cell>
          <cell r="T946" t="str">
            <v>normal</v>
          </cell>
          <cell r="U946" t="str">
            <v>NULL</v>
          </cell>
          <cell r="V946" t="str">
            <v>NULL</v>
          </cell>
          <cell r="W946" t="str">
            <v>NULL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  <cell r="N947" t="str">
            <v>アカデミア</v>
          </cell>
          <cell r="O947" t="str">
            <v>unknown</v>
          </cell>
          <cell r="P947" t="str">
            <v>Unknown</v>
          </cell>
          <cell r="Q947" t="str">
            <v>アタッカー</v>
          </cell>
          <cell r="R947">
            <v>1</v>
          </cell>
          <cell r="S947" t="str">
            <v>NULL</v>
          </cell>
          <cell r="T947" t="str">
            <v>normal</v>
          </cell>
          <cell r="U947" t="str">
            <v>NULL</v>
          </cell>
          <cell r="V947" t="str">
            <v>NULL</v>
          </cell>
          <cell r="W947" t="str">
            <v>NULL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  <cell r="N948" t="str">
            <v>ウェポン</v>
          </cell>
          <cell r="O948" t="str">
            <v>none</v>
          </cell>
          <cell r="P948" t="str">
            <v>種族なし</v>
          </cell>
          <cell r="Q948" t="str">
            <v>アタッカー</v>
          </cell>
          <cell r="R948">
            <v>3</v>
          </cell>
          <cell r="S948" t="str">
            <v>NULL</v>
          </cell>
          <cell r="T948" t="str">
            <v>normal</v>
          </cell>
          <cell r="U948" t="str">
            <v>NULL</v>
          </cell>
          <cell r="V948" t="str">
            <v>NULL</v>
          </cell>
          <cell r="W948" t="str">
            <v>NULL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  <cell r="N949" t="str">
            <v>ウェポン</v>
          </cell>
          <cell r="O949" t="str">
            <v>none</v>
          </cell>
          <cell r="P949" t="str">
            <v>種族なし</v>
          </cell>
          <cell r="Q949" t="str">
            <v>アタッカー</v>
          </cell>
          <cell r="R949">
            <v>3</v>
          </cell>
          <cell r="S949" t="str">
            <v>NULL</v>
          </cell>
          <cell r="T949" t="str">
            <v>normal</v>
          </cell>
          <cell r="U949" t="str">
            <v>NULL</v>
          </cell>
          <cell r="V949" t="str">
            <v>NULL</v>
          </cell>
          <cell r="W949" t="str">
            <v>NULL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  <cell r="N950" t="str">
            <v>ウェポン</v>
          </cell>
          <cell r="O950" t="str">
            <v>none</v>
          </cell>
          <cell r="P950" t="str">
            <v>種族なし</v>
          </cell>
          <cell r="Q950" t="str">
            <v>アタッカー</v>
          </cell>
          <cell r="R950">
            <v>3</v>
          </cell>
          <cell r="S950" t="str">
            <v>NULL</v>
          </cell>
          <cell r="T950" t="str">
            <v>normal</v>
          </cell>
          <cell r="U950" t="str">
            <v>NULL</v>
          </cell>
          <cell r="V950" t="str">
            <v>NULL</v>
          </cell>
          <cell r="W950" t="str">
            <v>NULL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  <cell r="N951" t="str">
            <v>ウェポン</v>
          </cell>
          <cell r="O951" t="str">
            <v>none</v>
          </cell>
          <cell r="P951" t="str">
            <v>種族なし</v>
          </cell>
          <cell r="Q951" t="str">
            <v>アタッカー</v>
          </cell>
          <cell r="R951">
            <v>3</v>
          </cell>
          <cell r="S951" t="str">
            <v>NULL</v>
          </cell>
          <cell r="T951" t="str">
            <v>normal</v>
          </cell>
          <cell r="U951" t="str">
            <v>NULL</v>
          </cell>
          <cell r="V951" t="str">
            <v>NULL</v>
          </cell>
          <cell r="W951" t="str">
            <v>NULL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  <cell r="N952" t="str">
            <v>ウェポン</v>
          </cell>
          <cell r="O952" t="str">
            <v>none</v>
          </cell>
          <cell r="P952" t="str">
            <v>種族なし</v>
          </cell>
          <cell r="Q952" t="str">
            <v>アタッカー</v>
          </cell>
          <cell r="R952">
            <v>3</v>
          </cell>
          <cell r="S952" t="str">
            <v>NULL</v>
          </cell>
          <cell r="T952" t="str">
            <v>normal</v>
          </cell>
          <cell r="U952" t="str">
            <v>NULL</v>
          </cell>
          <cell r="V952" t="str">
            <v>NULL</v>
          </cell>
          <cell r="W952" t="str">
            <v>NULL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  <cell r="N953" t="str">
            <v>ウェポン</v>
          </cell>
          <cell r="O953" t="str">
            <v>none</v>
          </cell>
          <cell r="P953" t="str">
            <v>種族なし</v>
          </cell>
          <cell r="Q953" t="str">
            <v>アタッカー</v>
          </cell>
          <cell r="R953">
            <v>3</v>
          </cell>
          <cell r="S953" t="str">
            <v>NULL</v>
          </cell>
          <cell r="T953" t="str">
            <v>normal</v>
          </cell>
          <cell r="U953" t="str">
            <v>NULL</v>
          </cell>
          <cell r="V953" t="str">
            <v>NULL</v>
          </cell>
          <cell r="W953" t="str">
            <v>NULL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  <cell r="N954" t="str">
            <v>アカデミア</v>
          </cell>
          <cell r="O954" t="str">
            <v>machine</v>
          </cell>
          <cell r="P954" t="str">
            <v>マシン</v>
          </cell>
          <cell r="Q954" t="str">
            <v>アタッカー</v>
          </cell>
          <cell r="R954">
            <v>3</v>
          </cell>
          <cell r="S954" t="str">
            <v>NULL</v>
          </cell>
          <cell r="T954" t="str">
            <v>normal</v>
          </cell>
          <cell r="U954" t="str">
            <v>NULL</v>
          </cell>
          <cell r="V954" t="str">
            <v>NULL</v>
          </cell>
          <cell r="W954" t="str">
            <v>NULL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  <cell r="N955" t="str">
            <v>アカデミア</v>
          </cell>
          <cell r="O955" t="str">
            <v>machine</v>
          </cell>
          <cell r="P955" t="str">
            <v>マシン</v>
          </cell>
          <cell r="Q955" t="str">
            <v>アタッカー</v>
          </cell>
          <cell r="R955">
            <v>3</v>
          </cell>
          <cell r="S955" t="str">
            <v>NULL</v>
          </cell>
          <cell r="T955" t="str">
            <v>normal</v>
          </cell>
          <cell r="U955" t="str">
            <v>NULL</v>
          </cell>
          <cell r="V955" t="str">
            <v>NULL</v>
          </cell>
          <cell r="W955" t="str">
            <v>NULL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  <cell r="N956" t="str">
            <v>アカデミア</v>
          </cell>
          <cell r="O956" t="str">
            <v>animal</v>
          </cell>
          <cell r="P956" t="str">
            <v>アニマル</v>
          </cell>
          <cell r="Q956" t="str">
            <v>アタッカー</v>
          </cell>
          <cell r="R956">
            <v>3</v>
          </cell>
          <cell r="S956" t="str">
            <v>NULL</v>
          </cell>
          <cell r="T956" t="str">
            <v>normal</v>
          </cell>
          <cell r="U956" t="str">
            <v>NULL</v>
          </cell>
          <cell r="V956" t="str">
            <v>NULL</v>
          </cell>
          <cell r="W956" t="str">
            <v>NULL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  <cell r="N957" t="str">
            <v>アカデミア</v>
          </cell>
          <cell r="O957" t="str">
            <v>animal</v>
          </cell>
          <cell r="P957" t="str">
            <v>アニマル</v>
          </cell>
          <cell r="Q957" t="str">
            <v>アタッカー</v>
          </cell>
          <cell r="R957">
            <v>3</v>
          </cell>
          <cell r="S957" t="str">
            <v>NULL</v>
          </cell>
          <cell r="T957" t="str">
            <v>normal</v>
          </cell>
          <cell r="U957" t="str">
            <v>NULL</v>
          </cell>
          <cell r="V957" t="str">
            <v>NULL</v>
          </cell>
          <cell r="W957" t="str">
            <v>NULL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  <cell r="N958" t="str">
            <v>アカデミア</v>
          </cell>
          <cell r="O958" t="str">
            <v>animal</v>
          </cell>
          <cell r="P958" t="str">
            <v>アニマル</v>
          </cell>
          <cell r="Q958" t="str">
            <v>アタッカー</v>
          </cell>
          <cell r="R958">
            <v>3</v>
          </cell>
          <cell r="S958" t="str">
            <v>NULL</v>
          </cell>
          <cell r="T958" t="str">
            <v>super</v>
          </cell>
          <cell r="U958" t="str">
            <v>NULL</v>
          </cell>
          <cell r="V958" t="str">
            <v>NULL</v>
          </cell>
          <cell r="W958" t="str">
            <v>NULL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  <cell r="N959" t="str">
            <v>アカデミア</v>
          </cell>
          <cell r="O959" t="str">
            <v>animal</v>
          </cell>
          <cell r="P959" t="str">
            <v>アニマル</v>
          </cell>
          <cell r="Q959" t="str">
            <v>アタッカー</v>
          </cell>
          <cell r="R959">
            <v>3</v>
          </cell>
          <cell r="S959" t="str">
            <v>NULL</v>
          </cell>
          <cell r="T959" t="str">
            <v>normal</v>
          </cell>
          <cell r="U959" t="str">
            <v>NULL</v>
          </cell>
          <cell r="V959" t="str">
            <v>NULL</v>
          </cell>
          <cell r="W959" t="str">
            <v>NULL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  <cell r="N960" t="str">
            <v>アカデミア</v>
          </cell>
          <cell r="O960" t="str">
            <v>animal</v>
          </cell>
          <cell r="P960" t="str">
            <v>アニマル</v>
          </cell>
          <cell r="Q960" t="str">
            <v>アタッカー</v>
          </cell>
          <cell r="R960">
            <v>3</v>
          </cell>
          <cell r="S960" t="str">
            <v>NULL</v>
          </cell>
          <cell r="T960" t="str">
            <v>normal</v>
          </cell>
          <cell r="U960" t="str">
            <v>NULL</v>
          </cell>
          <cell r="V960" t="str">
            <v>NULL</v>
          </cell>
          <cell r="W960" t="str">
            <v>NULL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  <cell r="N961" t="str">
            <v>アカデミア</v>
          </cell>
          <cell r="O961" t="str">
            <v>animal</v>
          </cell>
          <cell r="P961" t="str">
            <v>アニマル</v>
          </cell>
          <cell r="Q961" t="str">
            <v>アタッカー</v>
          </cell>
          <cell r="R961">
            <v>3</v>
          </cell>
          <cell r="S961" t="str">
            <v>NULL</v>
          </cell>
          <cell r="T961" t="str">
            <v>super</v>
          </cell>
          <cell r="U961" t="str">
            <v>NULL</v>
          </cell>
          <cell r="V961" t="str">
            <v>NULL</v>
          </cell>
          <cell r="W961" t="str">
            <v>NULL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  <cell r="N962" t="str">
            <v>ヒューマン</v>
          </cell>
          <cell r="O962" t="str">
            <v>none</v>
          </cell>
          <cell r="P962" t="str">
            <v>種族なし</v>
          </cell>
          <cell r="Q962" t="str">
            <v>アタッカー</v>
          </cell>
          <cell r="R962">
            <v>3</v>
          </cell>
          <cell r="S962" t="str">
            <v>NULL</v>
          </cell>
          <cell r="T962" t="str">
            <v>normal</v>
          </cell>
          <cell r="U962" t="str">
            <v>NULL</v>
          </cell>
          <cell r="V962" t="str">
            <v>NULL</v>
          </cell>
          <cell r="W962" t="str">
            <v>NULL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  <cell r="N963" t="str">
            <v>ドラゴン</v>
          </cell>
          <cell r="O963" t="str">
            <v>none</v>
          </cell>
          <cell r="P963" t="str">
            <v>種族なし</v>
          </cell>
          <cell r="Q963" t="str">
            <v>アタッカー</v>
          </cell>
          <cell r="R963">
            <v>3</v>
          </cell>
          <cell r="S963" t="str">
            <v>NULL</v>
          </cell>
          <cell r="T963" t="str">
            <v>normal</v>
          </cell>
          <cell r="U963" t="str">
            <v>NULL</v>
          </cell>
          <cell r="V963" t="str">
            <v>NULL</v>
          </cell>
          <cell r="W963" t="str">
            <v>NULL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  <cell r="N964" t="str">
            <v>ゴッド</v>
          </cell>
          <cell r="O964" t="str">
            <v>none</v>
          </cell>
          <cell r="P964" t="str">
            <v>種族なし</v>
          </cell>
          <cell r="Q964" t="str">
            <v>アタッカー</v>
          </cell>
          <cell r="R964">
            <v>3</v>
          </cell>
          <cell r="S964" t="str">
            <v>NULL</v>
          </cell>
          <cell r="T964" t="str">
            <v>normal</v>
          </cell>
          <cell r="U964" t="str">
            <v>NULL</v>
          </cell>
          <cell r="V964" t="str">
            <v>NULL</v>
          </cell>
          <cell r="W964" t="str">
            <v>NULL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  <cell r="N965" t="str">
            <v>ドラゴン</v>
          </cell>
          <cell r="O965" t="str">
            <v>none</v>
          </cell>
          <cell r="P965" t="str">
            <v>種族なし</v>
          </cell>
          <cell r="Q965" t="str">
            <v>アタッカー</v>
          </cell>
          <cell r="R965">
            <v>3</v>
          </cell>
          <cell r="S965" t="str">
            <v>NULL</v>
          </cell>
          <cell r="T965" t="str">
            <v>normal</v>
          </cell>
          <cell r="U965" t="str">
            <v>NULL</v>
          </cell>
          <cell r="V965" t="str">
            <v>NULL</v>
          </cell>
          <cell r="W965" t="str">
            <v>NULL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  <cell r="N966" t="str">
            <v>ドラゴン</v>
          </cell>
          <cell r="O966" t="str">
            <v>none</v>
          </cell>
          <cell r="P966" t="str">
            <v>種族なし</v>
          </cell>
          <cell r="Q966" t="str">
            <v>アタッカー</v>
          </cell>
          <cell r="R966">
            <v>3</v>
          </cell>
          <cell r="S966" t="str">
            <v>NULL</v>
          </cell>
          <cell r="T966" t="str">
            <v>normal</v>
          </cell>
          <cell r="U966" t="str">
            <v>NULL</v>
          </cell>
          <cell r="V966" t="str">
            <v>NULL</v>
          </cell>
          <cell r="W966" t="str">
            <v>NULL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  <cell r="N967" t="str">
            <v>ヒューマン</v>
          </cell>
          <cell r="O967" t="str">
            <v>samurai</v>
          </cell>
          <cell r="P967" t="str">
            <v>サムライ</v>
          </cell>
          <cell r="Q967" t="str">
            <v>アタッカー</v>
          </cell>
          <cell r="R967">
            <v>3</v>
          </cell>
          <cell r="S967" t="str">
            <v>NULL</v>
          </cell>
          <cell r="T967" t="str">
            <v>normal</v>
          </cell>
          <cell r="U967" t="str">
            <v>NULL</v>
          </cell>
          <cell r="V967" t="str">
            <v>NULL</v>
          </cell>
          <cell r="W967" t="str">
            <v>NULL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  <cell r="N968" t="str">
            <v>ヒューマン</v>
          </cell>
          <cell r="O968" t="str">
            <v>samurai</v>
          </cell>
          <cell r="P968" t="str">
            <v>サムライ</v>
          </cell>
          <cell r="Q968" t="str">
            <v>アタッカー</v>
          </cell>
          <cell r="R968">
            <v>3</v>
          </cell>
          <cell r="S968" t="str">
            <v>NULL</v>
          </cell>
          <cell r="T968" t="str">
            <v>normal</v>
          </cell>
          <cell r="U968" t="str">
            <v>NULL</v>
          </cell>
          <cell r="V968" t="str">
            <v>NULL</v>
          </cell>
          <cell r="W968" t="str">
            <v>NULL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  <cell r="N969" t="str">
            <v>ゴッド</v>
          </cell>
          <cell r="O969" t="str">
            <v>none</v>
          </cell>
          <cell r="P969" t="str">
            <v>種族なし</v>
          </cell>
          <cell r="Q969" t="str">
            <v>アタッカー</v>
          </cell>
          <cell r="R969">
            <v>3</v>
          </cell>
          <cell r="S969" t="str">
            <v>NULL</v>
          </cell>
          <cell r="T969" t="str">
            <v>normal</v>
          </cell>
          <cell r="U969" t="str">
            <v>NULL</v>
          </cell>
          <cell r="V969" t="str">
            <v>NULL</v>
          </cell>
          <cell r="W969" t="str">
            <v>NULL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  <cell r="N970" t="str">
            <v>マシン</v>
          </cell>
          <cell r="O970" t="str">
            <v>none</v>
          </cell>
          <cell r="P970" t="str">
            <v>種族なし</v>
          </cell>
          <cell r="Q970" t="str">
            <v>アタッカー</v>
          </cell>
          <cell r="R970">
            <v>3</v>
          </cell>
          <cell r="S970" t="str">
            <v>NULL</v>
          </cell>
          <cell r="T970" t="str">
            <v>normal</v>
          </cell>
          <cell r="U970" t="str">
            <v>NULL</v>
          </cell>
          <cell r="V970" t="str">
            <v>NULL</v>
          </cell>
          <cell r="W970" t="str">
            <v>NULL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  <cell r="N971" t="str">
            <v>ヒューマン</v>
          </cell>
          <cell r="O971" t="str">
            <v>none</v>
          </cell>
          <cell r="P971" t="str">
            <v>種族なし</v>
          </cell>
          <cell r="Q971" t="str">
            <v>アタッカー</v>
          </cell>
          <cell r="R971">
            <v>3</v>
          </cell>
          <cell r="S971" t="str">
            <v>NULL</v>
          </cell>
          <cell r="T971" t="str">
            <v>normal</v>
          </cell>
          <cell r="U971" t="str">
            <v>NULL</v>
          </cell>
          <cell r="V971" t="str">
            <v>NULL</v>
          </cell>
          <cell r="W971" t="str">
            <v>NULL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  <cell r="N972" t="str">
            <v>アニマル</v>
          </cell>
          <cell r="O972" t="str">
            <v>god</v>
          </cell>
          <cell r="P972" t="str">
            <v>ゴッド</v>
          </cell>
          <cell r="Q972" t="str">
            <v>アタッカー</v>
          </cell>
          <cell r="R972">
            <v>3</v>
          </cell>
          <cell r="S972" t="str">
            <v>NULL</v>
          </cell>
          <cell r="T972" t="str">
            <v>normal</v>
          </cell>
          <cell r="U972" t="str">
            <v>NULL</v>
          </cell>
          <cell r="V972" t="str">
            <v>NULL</v>
          </cell>
          <cell r="W972" t="str">
            <v>NULL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  <cell r="N973" t="str">
            <v>アカデミア</v>
          </cell>
          <cell r="O973" t="str">
            <v>unknown</v>
          </cell>
          <cell r="P973" t="str">
            <v>Unknown</v>
          </cell>
          <cell r="Q973" t="str">
            <v>アタッカー</v>
          </cell>
          <cell r="R973">
            <v>3</v>
          </cell>
          <cell r="S973" t="str">
            <v>NULL</v>
          </cell>
          <cell r="T973" t="str">
            <v>normal</v>
          </cell>
          <cell r="U973" t="str">
            <v>NULL</v>
          </cell>
          <cell r="V973" t="str">
            <v>NULL</v>
          </cell>
          <cell r="W973" t="str">
            <v>NULL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  <cell r="N974" t="str">
            <v>アカデミア</v>
          </cell>
          <cell r="O974" t="str">
            <v>unknown</v>
          </cell>
          <cell r="P974" t="str">
            <v>Unknown</v>
          </cell>
          <cell r="Q974" t="str">
            <v>アタッカー</v>
          </cell>
          <cell r="R974">
            <v>3</v>
          </cell>
          <cell r="S974" t="str">
            <v>NULL</v>
          </cell>
          <cell r="T974" t="str">
            <v>normal</v>
          </cell>
          <cell r="U974" t="str">
            <v>NULL</v>
          </cell>
          <cell r="V974" t="str">
            <v>NULL</v>
          </cell>
          <cell r="W974" t="str">
            <v>NULL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  <cell r="N975" t="str">
            <v>アカデミア</v>
          </cell>
          <cell r="O975" t="str">
            <v>none</v>
          </cell>
          <cell r="P975" t="str">
            <v>種族なし</v>
          </cell>
          <cell r="Q975" t="str">
            <v>アタッカー</v>
          </cell>
          <cell r="R975">
            <v>3</v>
          </cell>
          <cell r="S975" t="str">
            <v>NULL</v>
          </cell>
          <cell r="T975" t="str">
            <v>normal</v>
          </cell>
          <cell r="U975" t="str">
            <v>NULL</v>
          </cell>
          <cell r="V975" t="str">
            <v>NULL</v>
          </cell>
          <cell r="W975" t="str">
            <v>NULL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  <cell r="N976" t="str">
            <v>アカデミア</v>
          </cell>
          <cell r="O976" t="str">
            <v>none</v>
          </cell>
          <cell r="P976" t="str">
            <v>種族なし</v>
          </cell>
          <cell r="Q976" t="str">
            <v>アタッカー</v>
          </cell>
          <cell r="R976">
            <v>3</v>
          </cell>
          <cell r="S976" t="str">
            <v>NULL</v>
          </cell>
          <cell r="T976" t="str">
            <v>normal</v>
          </cell>
          <cell r="U976" t="str">
            <v>NULL</v>
          </cell>
          <cell r="V976" t="str">
            <v>NULL</v>
          </cell>
          <cell r="W976" t="str">
            <v>NULL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  <cell r="N977" t="str">
            <v>Unknown</v>
          </cell>
          <cell r="O977" t="str">
            <v>human</v>
          </cell>
          <cell r="P977" t="str">
            <v>ヒューマン</v>
          </cell>
          <cell r="Q977" t="str">
            <v>アタッカー</v>
          </cell>
          <cell r="R977">
            <v>3</v>
          </cell>
          <cell r="S977" t="str">
            <v>enemy_only</v>
          </cell>
          <cell r="T977" t="str">
            <v>normal</v>
          </cell>
          <cell r="U977" t="str">
            <v>NULL</v>
          </cell>
          <cell r="V977" t="str">
            <v>NULL</v>
          </cell>
          <cell r="W977" t="str">
            <v>NULL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  <cell r="N978" t="str">
            <v>ヒューマン</v>
          </cell>
          <cell r="O978" t="str">
            <v>none</v>
          </cell>
          <cell r="P978" t="str">
            <v>種族なし</v>
          </cell>
          <cell r="Q978" t="str">
            <v>アタッカー</v>
          </cell>
          <cell r="R978">
            <v>3</v>
          </cell>
          <cell r="S978" t="str">
            <v>NULL</v>
          </cell>
          <cell r="T978" t="str">
            <v>normal</v>
          </cell>
          <cell r="U978" t="str">
            <v>NULL</v>
          </cell>
          <cell r="V978" t="str">
            <v>NULL</v>
          </cell>
          <cell r="W978" t="str">
            <v>NULL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  <cell r="N979" t="str">
            <v>ヒューマン</v>
          </cell>
          <cell r="O979" t="str">
            <v>none</v>
          </cell>
          <cell r="P979" t="str">
            <v>種族なし</v>
          </cell>
          <cell r="Q979" t="str">
            <v>アタッカー</v>
          </cell>
          <cell r="R979">
            <v>3</v>
          </cell>
          <cell r="S979" t="str">
            <v>NULL</v>
          </cell>
          <cell r="T979" t="str">
            <v>normal</v>
          </cell>
          <cell r="U979" t="str">
            <v>NULL</v>
          </cell>
          <cell r="V979" t="str">
            <v>NULL</v>
          </cell>
          <cell r="W979" t="str">
            <v>NULL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  <cell r="N980" t="str">
            <v>Unknown</v>
          </cell>
          <cell r="O980" t="str">
            <v>none</v>
          </cell>
          <cell r="P980" t="str">
            <v>種族なし</v>
          </cell>
          <cell r="Q980" t="str">
            <v>アタッカー</v>
          </cell>
          <cell r="R980">
            <v>3</v>
          </cell>
          <cell r="S980" t="str">
            <v>NULL</v>
          </cell>
          <cell r="T980" t="str">
            <v>normal</v>
          </cell>
          <cell r="U980" t="str">
            <v>NULL</v>
          </cell>
          <cell r="V980" t="str">
            <v>NULL</v>
          </cell>
          <cell r="W980" t="str">
            <v>NULL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  <cell r="N981" t="str">
            <v>Unknown</v>
          </cell>
          <cell r="O981" t="str">
            <v>none</v>
          </cell>
          <cell r="P981" t="str">
            <v>種族なし</v>
          </cell>
          <cell r="Q981" t="str">
            <v>アタッカー</v>
          </cell>
          <cell r="R981">
            <v>3</v>
          </cell>
          <cell r="S981" t="str">
            <v>NULL</v>
          </cell>
          <cell r="T981" t="str">
            <v>normal</v>
          </cell>
          <cell r="U981" t="str">
            <v>NULL</v>
          </cell>
          <cell r="V981" t="str">
            <v>NULL</v>
          </cell>
          <cell r="W981" t="str">
            <v>NULL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  <cell r="N982" t="str">
            <v>Unknown</v>
          </cell>
          <cell r="O982" t="str">
            <v>none</v>
          </cell>
          <cell r="P982" t="str">
            <v>種族なし</v>
          </cell>
          <cell r="Q982" t="str">
            <v>アタッカー</v>
          </cell>
          <cell r="R982">
            <v>3</v>
          </cell>
          <cell r="S982" t="str">
            <v>NULL</v>
          </cell>
          <cell r="T982" t="str">
            <v>normal</v>
          </cell>
          <cell r="U982" t="str">
            <v>NULL</v>
          </cell>
          <cell r="V982" t="str">
            <v>NULL</v>
          </cell>
          <cell r="W982" t="str">
            <v>NULL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  <cell r="N983" t="str">
            <v>Unknown</v>
          </cell>
          <cell r="O983" t="str">
            <v>none</v>
          </cell>
          <cell r="P983" t="str">
            <v>種族なし</v>
          </cell>
          <cell r="Q983" t="str">
            <v>アタッカー</v>
          </cell>
          <cell r="R983">
            <v>3</v>
          </cell>
          <cell r="S983" t="str">
            <v>NULL</v>
          </cell>
          <cell r="T983" t="str">
            <v>normal</v>
          </cell>
          <cell r="U983" t="str">
            <v>NULL</v>
          </cell>
          <cell r="V983" t="str">
            <v>NULL</v>
          </cell>
          <cell r="W983" t="str">
            <v>NULL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  <cell r="N984" t="str">
            <v>Unknown</v>
          </cell>
          <cell r="O984" t="str">
            <v>none</v>
          </cell>
          <cell r="P984" t="str">
            <v>種族なし</v>
          </cell>
          <cell r="Q984" t="str">
            <v>アタッカー</v>
          </cell>
          <cell r="R984">
            <v>3</v>
          </cell>
          <cell r="S984" t="str">
            <v>NULL</v>
          </cell>
          <cell r="T984" t="str">
            <v>normal</v>
          </cell>
          <cell r="U984" t="str">
            <v>NULL</v>
          </cell>
          <cell r="V984" t="str">
            <v>NULL</v>
          </cell>
          <cell r="W984" t="str">
            <v>NULL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  <cell r="N985" t="str">
            <v>Unknown</v>
          </cell>
          <cell r="O985" t="str">
            <v>none</v>
          </cell>
          <cell r="P985" t="str">
            <v>種族なし</v>
          </cell>
          <cell r="Q985" t="str">
            <v>アタッカー</v>
          </cell>
          <cell r="R985">
            <v>3</v>
          </cell>
          <cell r="S985" t="str">
            <v>NULL</v>
          </cell>
          <cell r="T985" t="str">
            <v>normal</v>
          </cell>
          <cell r="U985" t="str">
            <v>NULL</v>
          </cell>
          <cell r="V985" t="str">
            <v>NULL</v>
          </cell>
          <cell r="W985" t="str">
            <v>NULL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  <cell r="N986" t="str">
            <v>ヒューマン</v>
          </cell>
          <cell r="O986" t="str">
            <v>machine</v>
          </cell>
          <cell r="P986" t="str">
            <v>マシン</v>
          </cell>
          <cell r="Q986" t="str">
            <v>アタッカー</v>
          </cell>
          <cell r="R986">
            <v>3</v>
          </cell>
          <cell r="S986" t="str">
            <v>NULL</v>
          </cell>
          <cell r="T986" t="str">
            <v>normal</v>
          </cell>
          <cell r="U986" t="str">
            <v>NULL</v>
          </cell>
          <cell r="V986" t="str">
            <v>NULL</v>
          </cell>
          <cell r="W986" t="str">
            <v>NULL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  <cell r="N987" t="str">
            <v>ヒューマン</v>
          </cell>
          <cell r="O987" t="str">
            <v>machine</v>
          </cell>
          <cell r="P987" t="str">
            <v>マシン</v>
          </cell>
          <cell r="Q987" t="str">
            <v>アタッカー</v>
          </cell>
          <cell r="R987">
            <v>3</v>
          </cell>
          <cell r="S987" t="str">
            <v>NULL</v>
          </cell>
          <cell r="T987" t="str">
            <v>normal</v>
          </cell>
          <cell r="U987" t="str">
            <v>NULL</v>
          </cell>
          <cell r="V987" t="str">
            <v>NULL</v>
          </cell>
          <cell r="W987" t="str">
            <v>NULL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  <cell r="N988" t="str">
            <v>Unknown</v>
          </cell>
          <cell r="O988" t="str">
            <v>none</v>
          </cell>
          <cell r="P988" t="str">
            <v>種族なし</v>
          </cell>
          <cell r="Q988" t="str">
            <v>アタッカー</v>
          </cell>
          <cell r="R988">
            <v>3</v>
          </cell>
          <cell r="S988" t="str">
            <v>NULL</v>
          </cell>
          <cell r="T988" t="str">
            <v>normal</v>
          </cell>
          <cell r="U988" t="str">
            <v>NULL</v>
          </cell>
          <cell r="V988" t="str">
            <v>NULL</v>
          </cell>
          <cell r="W988" t="str">
            <v>NULL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  <cell r="N989" t="str">
            <v>ヒューマン</v>
          </cell>
          <cell r="O989" t="str">
            <v>machine</v>
          </cell>
          <cell r="P989" t="str">
            <v>マシン</v>
          </cell>
          <cell r="Q989" t="str">
            <v>アタッカー</v>
          </cell>
          <cell r="R989">
            <v>3</v>
          </cell>
          <cell r="S989" t="str">
            <v>NULL</v>
          </cell>
          <cell r="T989" t="str">
            <v>normal</v>
          </cell>
          <cell r="U989" t="str">
            <v>NULL</v>
          </cell>
          <cell r="V989" t="str">
            <v>NULL</v>
          </cell>
          <cell r="W989" t="str">
            <v>NULL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  <cell r="N990" t="str">
            <v>ヒューマン</v>
          </cell>
          <cell r="O990" t="str">
            <v>machine</v>
          </cell>
          <cell r="P990" t="str">
            <v>マシン</v>
          </cell>
          <cell r="Q990" t="str">
            <v>アタッカー</v>
          </cell>
          <cell r="R990">
            <v>3</v>
          </cell>
          <cell r="S990" t="str">
            <v>NULL</v>
          </cell>
          <cell r="T990" t="str">
            <v>normal</v>
          </cell>
          <cell r="U990" t="str">
            <v>NULL</v>
          </cell>
          <cell r="V990" t="str">
            <v>NULL</v>
          </cell>
          <cell r="W990" t="str">
            <v>NULL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  <cell r="N991" t="str">
            <v>ヒューマン</v>
          </cell>
          <cell r="O991" t="str">
            <v>machine</v>
          </cell>
          <cell r="P991" t="str">
            <v>マシン</v>
          </cell>
          <cell r="Q991" t="str">
            <v>アタッカー</v>
          </cell>
          <cell r="R991">
            <v>3</v>
          </cell>
          <cell r="S991" t="str">
            <v>NULL</v>
          </cell>
          <cell r="T991" t="str">
            <v>normal</v>
          </cell>
          <cell r="U991" t="str">
            <v>NULL</v>
          </cell>
          <cell r="V991" t="str">
            <v>NULL</v>
          </cell>
          <cell r="W991" t="str">
            <v>NULL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  <cell r="N992" t="str">
            <v>ヒューマン</v>
          </cell>
          <cell r="O992" t="str">
            <v>machine</v>
          </cell>
          <cell r="P992" t="str">
            <v>マシン</v>
          </cell>
          <cell r="Q992" t="str">
            <v>アタッカー</v>
          </cell>
          <cell r="R992">
            <v>3</v>
          </cell>
          <cell r="S992" t="str">
            <v>NULL</v>
          </cell>
          <cell r="T992" t="str">
            <v>normal</v>
          </cell>
          <cell r="U992" t="str">
            <v>NULL</v>
          </cell>
          <cell r="V992" t="str">
            <v>NULL</v>
          </cell>
          <cell r="W992" t="str">
            <v>NULL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  <cell r="N993" t="str">
            <v>ヒューマン</v>
          </cell>
          <cell r="O993" t="str">
            <v>machine</v>
          </cell>
          <cell r="P993" t="str">
            <v>マシン</v>
          </cell>
          <cell r="Q993" t="str">
            <v>アタッカー</v>
          </cell>
          <cell r="R993">
            <v>3</v>
          </cell>
          <cell r="S993" t="str">
            <v>NULL</v>
          </cell>
          <cell r="T993" t="str">
            <v>normal</v>
          </cell>
          <cell r="U993" t="str">
            <v>NULL</v>
          </cell>
          <cell r="V993" t="str">
            <v>NULL</v>
          </cell>
          <cell r="W993" t="str">
            <v>NULL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  <cell r="N994" t="str">
            <v>ヒューマン</v>
          </cell>
          <cell r="O994" t="str">
            <v>machine</v>
          </cell>
          <cell r="P994" t="str">
            <v>マシン</v>
          </cell>
          <cell r="Q994" t="str">
            <v>アタッカー</v>
          </cell>
          <cell r="R994">
            <v>3</v>
          </cell>
          <cell r="S994" t="str">
            <v>NULL</v>
          </cell>
          <cell r="T994" t="str">
            <v>normal</v>
          </cell>
          <cell r="U994" t="str">
            <v>NULL</v>
          </cell>
          <cell r="V994" t="str">
            <v>NULL</v>
          </cell>
          <cell r="W994" t="str">
            <v>NULL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  <cell r="N995" t="str">
            <v>ヒューマン</v>
          </cell>
          <cell r="O995" t="str">
            <v>machine</v>
          </cell>
          <cell r="P995" t="str">
            <v>マシン</v>
          </cell>
          <cell r="Q995" t="str">
            <v>アタッカー</v>
          </cell>
          <cell r="R995">
            <v>3</v>
          </cell>
          <cell r="S995" t="str">
            <v>NULL</v>
          </cell>
          <cell r="T995" t="str">
            <v>normal</v>
          </cell>
          <cell r="U995" t="str">
            <v>NULL</v>
          </cell>
          <cell r="V995" t="str">
            <v>NULL</v>
          </cell>
          <cell r="W995" t="str">
            <v>NULL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  <cell r="N996" t="str">
            <v>ヒューマン</v>
          </cell>
          <cell r="O996" t="str">
            <v>machine</v>
          </cell>
          <cell r="P996" t="str">
            <v>マシン</v>
          </cell>
          <cell r="Q996" t="str">
            <v>アタッカー</v>
          </cell>
          <cell r="R996">
            <v>3</v>
          </cell>
          <cell r="S996" t="str">
            <v>NULL</v>
          </cell>
          <cell r="T996" t="str">
            <v>normal</v>
          </cell>
          <cell r="U996" t="str">
            <v>NULL</v>
          </cell>
          <cell r="V996" t="str">
            <v>NULL</v>
          </cell>
          <cell r="W996" t="str">
            <v>NULL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  <cell r="N997" t="str">
            <v>ヒューマン</v>
          </cell>
          <cell r="O997" t="str">
            <v>machine</v>
          </cell>
          <cell r="P997" t="str">
            <v>マシン</v>
          </cell>
          <cell r="Q997" t="str">
            <v>アタッカー</v>
          </cell>
          <cell r="R997">
            <v>3</v>
          </cell>
          <cell r="S997" t="str">
            <v>NULL</v>
          </cell>
          <cell r="T997" t="str">
            <v>normal</v>
          </cell>
          <cell r="U997" t="str">
            <v>NULL</v>
          </cell>
          <cell r="V997" t="str">
            <v>NULL</v>
          </cell>
          <cell r="W997" t="str">
            <v>NULL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  <cell r="N998" t="str">
            <v>ヒューマン</v>
          </cell>
          <cell r="O998" t="str">
            <v>machine</v>
          </cell>
          <cell r="P998" t="str">
            <v>マシン</v>
          </cell>
          <cell r="Q998" t="str">
            <v>アタッカー</v>
          </cell>
          <cell r="R998">
            <v>3</v>
          </cell>
          <cell r="S998" t="str">
            <v>NULL</v>
          </cell>
          <cell r="T998" t="str">
            <v>normal</v>
          </cell>
          <cell r="U998" t="str">
            <v>NULL</v>
          </cell>
          <cell r="V998" t="str">
            <v>NULL</v>
          </cell>
          <cell r="W998" t="str">
            <v>NULL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  <cell r="N999" t="str">
            <v>ヒューマン</v>
          </cell>
          <cell r="O999" t="str">
            <v>machine</v>
          </cell>
          <cell r="P999" t="str">
            <v>マシン</v>
          </cell>
          <cell r="Q999" t="str">
            <v>アタッカー</v>
          </cell>
          <cell r="R999">
            <v>3</v>
          </cell>
          <cell r="S999" t="str">
            <v>NULL</v>
          </cell>
          <cell r="T999" t="str">
            <v>normal</v>
          </cell>
          <cell r="U999" t="str">
            <v>NULL</v>
          </cell>
          <cell r="V999" t="str">
            <v>NULL</v>
          </cell>
          <cell r="W999" t="str">
            <v>NULL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  <cell r="N1000" t="str">
            <v>ヒューマン</v>
          </cell>
          <cell r="O1000" t="str">
            <v>machine</v>
          </cell>
          <cell r="P1000" t="str">
            <v>マシン</v>
          </cell>
          <cell r="Q1000" t="str">
            <v>アタッカー</v>
          </cell>
          <cell r="R1000">
            <v>3</v>
          </cell>
          <cell r="S1000" t="str">
            <v>NULL</v>
          </cell>
          <cell r="T1000" t="str">
            <v>normal</v>
          </cell>
          <cell r="U1000" t="str">
            <v>NULL</v>
          </cell>
          <cell r="V1000" t="str">
            <v>NULL</v>
          </cell>
          <cell r="W1000" t="str">
            <v>NULL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  <cell r="N1001" t="str">
            <v>ヒューマン</v>
          </cell>
          <cell r="O1001" t="str">
            <v>machine</v>
          </cell>
          <cell r="P1001" t="str">
            <v>マシン</v>
          </cell>
          <cell r="Q1001" t="str">
            <v>アタッカー</v>
          </cell>
          <cell r="R1001">
            <v>3</v>
          </cell>
          <cell r="S1001" t="str">
            <v>NULL</v>
          </cell>
          <cell r="T1001" t="str">
            <v>normal</v>
          </cell>
          <cell r="U1001" t="str">
            <v>NULL</v>
          </cell>
          <cell r="V1001" t="str">
            <v>NULL</v>
          </cell>
          <cell r="W1001" t="str">
            <v>NULL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  <cell r="N1002" t="str">
            <v>ヒューマン</v>
          </cell>
          <cell r="O1002" t="str">
            <v>machine</v>
          </cell>
          <cell r="P1002" t="str">
            <v>マシン</v>
          </cell>
          <cell r="Q1002" t="str">
            <v>アタッカー</v>
          </cell>
          <cell r="R1002">
            <v>3</v>
          </cell>
          <cell r="S1002" t="str">
            <v>NULL</v>
          </cell>
          <cell r="T1002" t="str">
            <v>normal</v>
          </cell>
          <cell r="U1002" t="str">
            <v>NULL</v>
          </cell>
          <cell r="V1002" t="str">
            <v>NULL</v>
          </cell>
          <cell r="W1002" t="str">
            <v>NULL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  <cell r="N1003" t="str">
            <v>ヒューマン</v>
          </cell>
          <cell r="O1003" t="str">
            <v>machine</v>
          </cell>
          <cell r="P1003" t="str">
            <v>マシン</v>
          </cell>
          <cell r="Q1003" t="str">
            <v>アタッカー</v>
          </cell>
          <cell r="R1003">
            <v>3</v>
          </cell>
          <cell r="S1003" t="str">
            <v>NULL</v>
          </cell>
          <cell r="T1003" t="str">
            <v>normal</v>
          </cell>
          <cell r="U1003" t="str">
            <v>NULL</v>
          </cell>
          <cell r="V1003" t="str">
            <v>NULL</v>
          </cell>
          <cell r="W1003" t="str">
            <v>NULL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  <cell r="N1004" t="str">
            <v>ヒューマン</v>
          </cell>
          <cell r="O1004" t="str">
            <v>machine</v>
          </cell>
          <cell r="P1004" t="str">
            <v>マシン</v>
          </cell>
          <cell r="Q1004" t="str">
            <v>アタッカー</v>
          </cell>
          <cell r="R1004">
            <v>3</v>
          </cell>
          <cell r="S1004" t="str">
            <v>NULL</v>
          </cell>
          <cell r="T1004" t="str">
            <v>normal</v>
          </cell>
          <cell r="U1004" t="str">
            <v>NULL</v>
          </cell>
          <cell r="V1004" t="str">
            <v>NULL</v>
          </cell>
          <cell r="W1004" t="str">
            <v>NULL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  <cell r="N1005" t="str">
            <v>アニマル</v>
          </cell>
          <cell r="O1005" t="str">
            <v>none</v>
          </cell>
          <cell r="P1005" t="str">
            <v>種族なし</v>
          </cell>
          <cell r="Q1005" t="str">
            <v>アタッカー</v>
          </cell>
          <cell r="R1005">
            <v>3</v>
          </cell>
          <cell r="S1005" t="str">
            <v>NULL</v>
          </cell>
          <cell r="T1005" t="str">
            <v>normal</v>
          </cell>
          <cell r="U1005" t="str">
            <v>NULL</v>
          </cell>
          <cell r="V1005" t="str">
            <v>NULL</v>
          </cell>
          <cell r="W1005" t="str">
            <v>NULL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  <cell r="N1006" t="str">
            <v>アニマル</v>
          </cell>
          <cell r="O1006" t="str">
            <v>none</v>
          </cell>
          <cell r="P1006" t="str">
            <v>種族なし</v>
          </cell>
          <cell r="Q1006" t="str">
            <v>アタッカー</v>
          </cell>
          <cell r="R1006">
            <v>3</v>
          </cell>
          <cell r="S1006" t="str">
            <v>NULL</v>
          </cell>
          <cell r="T1006" t="str">
            <v>normal</v>
          </cell>
          <cell r="U1006" t="str">
            <v>NULL</v>
          </cell>
          <cell r="V1006" t="str">
            <v>NULL</v>
          </cell>
          <cell r="W1006" t="str">
            <v>NULL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  <cell r="N1007" t="str">
            <v>ゴッド</v>
          </cell>
          <cell r="O1007" t="str">
            <v>animal</v>
          </cell>
          <cell r="P1007" t="str">
            <v>アニマル</v>
          </cell>
          <cell r="Q1007" t="str">
            <v>アタッカー</v>
          </cell>
          <cell r="R1007">
            <v>3</v>
          </cell>
          <cell r="S1007" t="str">
            <v>NULL</v>
          </cell>
          <cell r="T1007" t="str">
            <v>normal</v>
          </cell>
          <cell r="U1007" t="str">
            <v>NULL</v>
          </cell>
          <cell r="V1007" t="str">
            <v>NULL</v>
          </cell>
          <cell r="W1007" t="str">
            <v>NULL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  <cell r="N1008" t="str">
            <v>ゴッド</v>
          </cell>
          <cell r="O1008" t="str">
            <v>animal</v>
          </cell>
          <cell r="P1008" t="str">
            <v>アニマル</v>
          </cell>
          <cell r="Q1008" t="str">
            <v>アタッカー</v>
          </cell>
          <cell r="R1008">
            <v>3</v>
          </cell>
          <cell r="S1008" t="str">
            <v>NULL</v>
          </cell>
          <cell r="T1008" t="str">
            <v>normal</v>
          </cell>
          <cell r="U1008" t="str">
            <v>NULL</v>
          </cell>
          <cell r="V1008" t="str">
            <v>NULL</v>
          </cell>
          <cell r="W1008" t="str">
            <v>NULL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  <cell r="N1009" t="str">
            <v>ゴッド</v>
          </cell>
          <cell r="O1009" t="str">
            <v>unknown</v>
          </cell>
          <cell r="P1009" t="str">
            <v>Unknown</v>
          </cell>
          <cell r="Q1009" t="str">
            <v>アタッカー</v>
          </cell>
          <cell r="R1009">
            <v>3</v>
          </cell>
          <cell r="S1009" t="str">
            <v>NULL</v>
          </cell>
          <cell r="T1009" t="str">
            <v>normal</v>
          </cell>
          <cell r="U1009" t="str">
            <v>NULL</v>
          </cell>
          <cell r="V1009" t="str">
            <v>NULL</v>
          </cell>
          <cell r="W1009" t="str">
            <v>NULL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  <cell r="N1010" t="str">
            <v>ゴッド</v>
          </cell>
          <cell r="O1010" t="str">
            <v>unknown</v>
          </cell>
          <cell r="P1010" t="str">
            <v>Unknown</v>
          </cell>
          <cell r="Q1010" t="str">
            <v>アタッカー</v>
          </cell>
          <cell r="R1010">
            <v>3</v>
          </cell>
          <cell r="S1010" t="str">
            <v>NULL</v>
          </cell>
          <cell r="T1010" t="str">
            <v>normal</v>
          </cell>
          <cell r="U1010" t="str">
            <v>NULL</v>
          </cell>
          <cell r="V1010" t="str">
            <v>NULL</v>
          </cell>
          <cell r="W1010" t="str">
            <v>NULL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  <cell r="N1011" t="str">
            <v>ゴッド</v>
          </cell>
          <cell r="O1011" t="str">
            <v>unknown</v>
          </cell>
          <cell r="P1011" t="str">
            <v>Unknown</v>
          </cell>
          <cell r="Q1011" t="str">
            <v>アタッカー</v>
          </cell>
          <cell r="R1011">
            <v>3</v>
          </cell>
          <cell r="S1011" t="str">
            <v>NULL</v>
          </cell>
          <cell r="T1011" t="str">
            <v>normal</v>
          </cell>
          <cell r="U1011" t="str">
            <v>NULL</v>
          </cell>
          <cell r="V1011" t="str">
            <v>NULL</v>
          </cell>
          <cell r="W1011" t="str">
            <v>NULL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  <cell r="N1012" t="str">
            <v>ゴッド</v>
          </cell>
          <cell r="O1012" t="str">
            <v>unknown</v>
          </cell>
          <cell r="P1012" t="str">
            <v>Unknown</v>
          </cell>
          <cell r="Q1012" t="str">
            <v>アタッカー</v>
          </cell>
          <cell r="R1012">
            <v>3</v>
          </cell>
          <cell r="S1012" t="str">
            <v>NULL</v>
          </cell>
          <cell r="T1012" t="str">
            <v>normal</v>
          </cell>
          <cell r="U1012" t="str">
            <v>NULL</v>
          </cell>
          <cell r="V1012" t="str">
            <v>NULL</v>
          </cell>
          <cell r="W1012" t="str">
            <v>NULL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  <cell r="N1013" t="str">
            <v>ゴッド</v>
          </cell>
          <cell r="O1013" t="str">
            <v>animal</v>
          </cell>
          <cell r="P1013" t="str">
            <v>アニマル</v>
          </cell>
          <cell r="Q1013" t="str">
            <v>アタッカー</v>
          </cell>
          <cell r="R1013">
            <v>3</v>
          </cell>
          <cell r="S1013" t="str">
            <v>NULL</v>
          </cell>
          <cell r="T1013" t="str">
            <v>normal</v>
          </cell>
          <cell r="U1013" t="str">
            <v>NULL</v>
          </cell>
          <cell r="V1013" t="str">
            <v>NULL</v>
          </cell>
          <cell r="W1013" t="str">
            <v>NULL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  <cell r="N1014" t="str">
            <v>ゴッド</v>
          </cell>
          <cell r="O1014" t="str">
            <v>animal</v>
          </cell>
          <cell r="P1014" t="str">
            <v>アニマル</v>
          </cell>
          <cell r="Q1014" t="str">
            <v>アタッカー</v>
          </cell>
          <cell r="R1014">
            <v>3</v>
          </cell>
          <cell r="S1014" t="str">
            <v>NULL</v>
          </cell>
          <cell r="T1014" t="str">
            <v>normal</v>
          </cell>
          <cell r="U1014" t="str">
            <v>NULL</v>
          </cell>
          <cell r="V1014" t="str">
            <v>NULL</v>
          </cell>
          <cell r="W1014" t="str">
            <v>NULL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  <cell r="N1015" t="str">
            <v>ゴッド</v>
          </cell>
          <cell r="O1015" t="str">
            <v>animal</v>
          </cell>
          <cell r="P1015" t="str">
            <v>アニマル</v>
          </cell>
          <cell r="Q1015" t="str">
            <v>アタッカー</v>
          </cell>
          <cell r="R1015">
            <v>3</v>
          </cell>
          <cell r="S1015" t="str">
            <v>NULL</v>
          </cell>
          <cell r="T1015" t="str">
            <v>normal</v>
          </cell>
          <cell r="U1015" t="str">
            <v>NULL</v>
          </cell>
          <cell r="V1015" t="str">
            <v>NULL</v>
          </cell>
          <cell r="W1015" t="str">
            <v>NULL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  <cell r="N1016" t="str">
            <v>ゴッド</v>
          </cell>
          <cell r="O1016" t="str">
            <v>animal</v>
          </cell>
          <cell r="P1016" t="str">
            <v>アニマル</v>
          </cell>
          <cell r="Q1016" t="str">
            <v>アタッカー</v>
          </cell>
          <cell r="R1016">
            <v>3</v>
          </cell>
          <cell r="S1016" t="str">
            <v>NULL</v>
          </cell>
          <cell r="T1016" t="str">
            <v>normal</v>
          </cell>
          <cell r="U1016" t="str">
            <v>NULL</v>
          </cell>
          <cell r="V1016" t="str">
            <v>NULL</v>
          </cell>
          <cell r="W1016" t="str">
            <v>NULL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  <cell r="N1017" t="str">
            <v>ゴッド</v>
          </cell>
          <cell r="O1017" t="str">
            <v>animal</v>
          </cell>
          <cell r="P1017" t="str">
            <v>アニマル</v>
          </cell>
          <cell r="Q1017" t="str">
            <v>アタッカー</v>
          </cell>
          <cell r="R1017">
            <v>3</v>
          </cell>
          <cell r="S1017" t="str">
            <v>NULL</v>
          </cell>
          <cell r="T1017" t="str">
            <v>normal</v>
          </cell>
          <cell r="U1017" t="str">
            <v>NULL</v>
          </cell>
          <cell r="V1017" t="str">
            <v>NULL</v>
          </cell>
          <cell r="W1017" t="str">
            <v>NULL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  <cell r="N1018" t="str">
            <v>ゴッド</v>
          </cell>
          <cell r="O1018" t="str">
            <v>animal</v>
          </cell>
          <cell r="P1018" t="str">
            <v>アニマル</v>
          </cell>
          <cell r="Q1018" t="str">
            <v>アタッカー</v>
          </cell>
          <cell r="R1018">
            <v>3</v>
          </cell>
          <cell r="S1018" t="str">
            <v>NULL</v>
          </cell>
          <cell r="T1018" t="str">
            <v>normal</v>
          </cell>
          <cell r="U1018" t="str">
            <v>NULL</v>
          </cell>
          <cell r="V1018" t="str">
            <v>NULL</v>
          </cell>
          <cell r="W1018" t="str">
            <v>NULL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  <cell r="N1019" t="str">
            <v>ゴッド</v>
          </cell>
          <cell r="O1019" t="str">
            <v>animal</v>
          </cell>
          <cell r="P1019" t="str">
            <v>アニマル</v>
          </cell>
          <cell r="Q1019" t="str">
            <v>アタッカー</v>
          </cell>
          <cell r="R1019">
            <v>3</v>
          </cell>
          <cell r="S1019" t="str">
            <v>NULL</v>
          </cell>
          <cell r="T1019" t="str">
            <v>normal</v>
          </cell>
          <cell r="U1019" t="str">
            <v>NULL</v>
          </cell>
          <cell r="V1019" t="str">
            <v>NULL</v>
          </cell>
          <cell r="W1019" t="str">
            <v>NULL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  <cell r="N1020" t="str">
            <v>ゴッド</v>
          </cell>
          <cell r="O1020" t="str">
            <v>animal</v>
          </cell>
          <cell r="P1020" t="str">
            <v>アニマル</v>
          </cell>
          <cell r="Q1020" t="str">
            <v>アタッカー</v>
          </cell>
          <cell r="R1020">
            <v>3</v>
          </cell>
          <cell r="S1020" t="str">
            <v>NULL</v>
          </cell>
          <cell r="T1020" t="str">
            <v>normal</v>
          </cell>
          <cell r="U1020" t="str">
            <v>NULL</v>
          </cell>
          <cell r="V1020" t="str">
            <v>NULL</v>
          </cell>
          <cell r="W1020" t="str">
            <v>NULL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  <cell r="N1021" t="str">
            <v>ヒューマン</v>
          </cell>
          <cell r="O1021" t="str">
            <v>none</v>
          </cell>
          <cell r="P1021" t="str">
            <v>種族なし</v>
          </cell>
          <cell r="Q1021" t="str">
            <v>アタッカー</v>
          </cell>
          <cell r="R1021">
            <v>3</v>
          </cell>
          <cell r="S1021" t="str">
            <v>NULL</v>
          </cell>
          <cell r="T1021" t="str">
            <v>normal</v>
          </cell>
          <cell r="U1021" t="str">
            <v>NULL</v>
          </cell>
          <cell r="V1021" t="str">
            <v>NULL</v>
          </cell>
          <cell r="W1021" t="str">
            <v>NULL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  <cell r="N1022" t="str">
            <v>ヒューマン</v>
          </cell>
          <cell r="O1022" t="str">
            <v>none</v>
          </cell>
          <cell r="P1022" t="str">
            <v>種族なし</v>
          </cell>
          <cell r="Q1022" t="str">
            <v>アタッカー</v>
          </cell>
          <cell r="R1022">
            <v>3</v>
          </cell>
          <cell r="S1022" t="str">
            <v>NULL</v>
          </cell>
          <cell r="T1022" t="str">
            <v>normal</v>
          </cell>
          <cell r="U1022" t="str">
            <v>NULL</v>
          </cell>
          <cell r="V1022" t="str">
            <v>NULL</v>
          </cell>
          <cell r="W1022" t="str">
            <v>NULL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  <cell r="N1023" t="str">
            <v>ヒューマン</v>
          </cell>
          <cell r="O1023" t="str">
            <v>samurai</v>
          </cell>
          <cell r="P1023" t="str">
            <v>サムライ</v>
          </cell>
          <cell r="Q1023" t="str">
            <v>アタッカー</v>
          </cell>
          <cell r="R1023">
            <v>3</v>
          </cell>
          <cell r="S1023" t="str">
            <v>NULL</v>
          </cell>
          <cell r="T1023" t="str">
            <v>normal</v>
          </cell>
          <cell r="U1023" t="str">
            <v>NULL</v>
          </cell>
          <cell r="V1023" t="str">
            <v>NULL</v>
          </cell>
          <cell r="W1023" t="str">
            <v>NULL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  <cell r="N1024" t="str">
            <v>ヒューマン</v>
          </cell>
          <cell r="O1024" t="str">
            <v>samurai</v>
          </cell>
          <cell r="P1024" t="str">
            <v>サムライ</v>
          </cell>
          <cell r="Q1024" t="str">
            <v>アタッカー</v>
          </cell>
          <cell r="R1024">
            <v>3</v>
          </cell>
          <cell r="S1024" t="str">
            <v>NULL</v>
          </cell>
          <cell r="T1024" t="str">
            <v>normal</v>
          </cell>
          <cell r="U1024" t="str">
            <v>NULL</v>
          </cell>
          <cell r="V1024" t="str">
            <v>NULL</v>
          </cell>
          <cell r="W1024" t="str">
            <v>NULL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  <cell r="N1025" t="str">
            <v>ヒューマン</v>
          </cell>
          <cell r="O1025" t="str">
            <v>samurai</v>
          </cell>
          <cell r="P1025" t="str">
            <v>サムライ</v>
          </cell>
          <cell r="Q1025" t="str">
            <v>アタッカー</v>
          </cell>
          <cell r="R1025">
            <v>3</v>
          </cell>
          <cell r="S1025" t="str">
            <v>NULL</v>
          </cell>
          <cell r="T1025" t="str">
            <v>normal</v>
          </cell>
          <cell r="U1025" t="str">
            <v>NULL</v>
          </cell>
          <cell r="V1025" t="str">
            <v>NULL</v>
          </cell>
          <cell r="W1025" t="str">
            <v>NULL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  <cell r="N1026" t="str">
            <v>ヒューマン</v>
          </cell>
          <cell r="O1026" t="str">
            <v>samurai</v>
          </cell>
          <cell r="P1026" t="str">
            <v>サムライ</v>
          </cell>
          <cell r="Q1026" t="str">
            <v>アタッカー</v>
          </cell>
          <cell r="R1026">
            <v>3</v>
          </cell>
          <cell r="S1026" t="str">
            <v>NULL</v>
          </cell>
          <cell r="T1026" t="str">
            <v>normal</v>
          </cell>
          <cell r="U1026" t="str">
            <v>NULL</v>
          </cell>
          <cell r="V1026" t="str">
            <v>NULL</v>
          </cell>
          <cell r="W1026" t="str">
            <v>NULL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  <cell r="N1027" t="str">
            <v>ヒューマン</v>
          </cell>
          <cell r="O1027" t="str">
            <v>none</v>
          </cell>
          <cell r="P1027" t="str">
            <v>種族なし</v>
          </cell>
          <cell r="Q1027" t="str">
            <v>アタッカー</v>
          </cell>
          <cell r="R1027">
            <v>3</v>
          </cell>
          <cell r="S1027" t="str">
            <v>NULL</v>
          </cell>
          <cell r="T1027" t="str">
            <v>normal</v>
          </cell>
          <cell r="U1027" t="str">
            <v>NULL</v>
          </cell>
          <cell r="V1027" t="str">
            <v>NULL</v>
          </cell>
          <cell r="W1027" t="str">
            <v>NULL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  <cell r="N1028" t="str">
            <v>ヒューマン</v>
          </cell>
          <cell r="O1028" t="str">
            <v>none</v>
          </cell>
          <cell r="P1028" t="str">
            <v>種族なし</v>
          </cell>
          <cell r="Q1028" t="str">
            <v>アタッカー</v>
          </cell>
          <cell r="R1028">
            <v>3</v>
          </cell>
          <cell r="S1028" t="str">
            <v>NULL</v>
          </cell>
          <cell r="T1028" t="str">
            <v>normal</v>
          </cell>
          <cell r="U1028" t="str">
            <v>NULL</v>
          </cell>
          <cell r="V1028" t="str">
            <v>NULL</v>
          </cell>
          <cell r="W1028" t="str">
            <v>NULL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  <cell r="N1029" t="str">
            <v>ヒューマン</v>
          </cell>
          <cell r="O1029" t="str">
            <v>samurai</v>
          </cell>
          <cell r="P1029" t="str">
            <v>サムライ</v>
          </cell>
          <cell r="Q1029" t="str">
            <v>アタッカー</v>
          </cell>
          <cell r="R1029">
            <v>3</v>
          </cell>
          <cell r="S1029" t="str">
            <v>NULL</v>
          </cell>
          <cell r="T1029" t="str">
            <v>normal</v>
          </cell>
          <cell r="U1029" t="str">
            <v>NULL</v>
          </cell>
          <cell r="V1029" t="str">
            <v>NULL</v>
          </cell>
          <cell r="W1029" t="str">
            <v>NULL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  <cell r="N1030" t="str">
            <v>ヒューマン</v>
          </cell>
          <cell r="O1030" t="str">
            <v>samurai</v>
          </cell>
          <cell r="P1030" t="str">
            <v>サムライ</v>
          </cell>
          <cell r="Q1030" t="str">
            <v>アタッカー</v>
          </cell>
          <cell r="R1030">
            <v>3</v>
          </cell>
          <cell r="S1030" t="str">
            <v>NULL</v>
          </cell>
          <cell r="T1030" t="str">
            <v>normal</v>
          </cell>
          <cell r="U1030" t="str">
            <v>NULL</v>
          </cell>
          <cell r="V1030" t="str">
            <v>NULL</v>
          </cell>
          <cell r="W1030" t="str">
            <v>NULL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  <cell r="N1031" t="str">
            <v>ヒューマン</v>
          </cell>
          <cell r="O1031" t="str">
            <v>samurai</v>
          </cell>
          <cell r="P1031" t="str">
            <v>サムライ</v>
          </cell>
          <cell r="Q1031" t="str">
            <v>アタッカー</v>
          </cell>
          <cell r="R1031">
            <v>1</v>
          </cell>
          <cell r="S1031" t="str">
            <v>NULL</v>
          </cell>
          <cell r="T1031" t="str">
            <v>normal</v>
          </cell>
          <cell r="U1031" t="str">
            <v>NULL</v>
          </cell>
          <cell r="V1031" t="str">
            <v>NULL</v>
          </cell>
          <cell r="W1031" t="str">
            <v>NULL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  <cell r="N1032" t="str">
            <v>ヒューマン</v>
          </cell>
          <cell r="O1032" t="str">
            <v>none</v>
          </cell>
          <cell r="P1032" t="str">
            <v>種族なし</v>
          </cell>
          <cell r="Q1032" t="str">
            <v>アタッカー</v>
          </cell>
          <cell r="R1032">
            <v>3</v>
          </cell>
          <cell r="S1032" t="str">
            <v>NULL</v>
          </cell>
          <cell r="T1032" t="str">
            <v>normal</v>
          </cell>
          <cell r="U1032" t="str">
            <v>NULL</v>
          </cell>
          <cell r="V1032" t="str">
            <v>NULL</v>
          </cell>
          <cell r="W1032" t="str">
            <v>NULL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  <cell r="N1033" t="str">
            <v>ヒューマン</v>
          </cell>
          <cell r="O1033" t="str">
            <v>none</v>
          </cell>
          <cell r="P1033" t="str">
            <v>種族なし</v>
          </cell>
          <cell r="Q1033" t="str">
            <v>アタッカー</v>
          </cell>
          <cell r="R1033">
            <v>3</v>
          </cell>
          <cell r="S1033" t="str">
            <v>NULL</v>
          </cell>
          <cell r="T1033" t="str">
            <v>normal</v>
          </cell>
          <cell r="U1033" t="str">
            <v>NULL</v>
          </cell>
          <cell r="V1033" t="str">
            <v>NULL</v>
          </cell>
          <cell r="W1033" t="str">
            <v>NULL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  <cell r="N1034" t="str">
            <v>ヒューマン</v>
          </cell>
          <cell r="O1034" t="str">
            <v>none</v>
          </cell>
          <cell r="P1034" t="str">
            <v>種族なし</v>
          </cell>
          <cell r="Q1034" t="str">
            <v>アタッカー</v>
          </cell>
          <cell r="R1034">
            <v>3</v>
          </cell>
          <cell r="S1034" t="str">
            <v>NULL</v>
          </cell>
          <cell r="T1034" t="str">
            <v>normal</v>
          </cell>
          <cell r="U1034" t="str">
            <v>NULL</v>
          </cell>
          <cell r="V1034" t="str">
            <v>NULL</v>
          </cell>
          <cell r="W1034" t="str">
            <v>NULL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  <cell r="N1035" t="str">
            <v>ヒューマン</v>
          </cell>
          <cell r="O1035" t="str">
            <v>none</v>
          </cell>
          <cell r="P1035" t="str">
            <v>種族なし</v>
          </cell>
          <cell r="Q1035" t="str">
            <v>アタッカー</v>
          </cell>
          <cell r="R1035">
            <v>3</v>
          </cell>
          <cell r="S1035" t="str">
            <v>NULL</v>
          </cell>
          <cell r="T1035" t="str">
            <v>normal</v>
          </cell>
          <cell r="U1035" t="str">
            <v>NULL</v>
          </cell>
          <cell r="V1035" t="str">
            <v>NULL</v>
          </cell>
          <cell r="W1035" t="str">
            <v>NULL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  <cell r="N1036" t="str">
            <v>Unknown</v>
          </cell>
          <cell r="O1036" t="str">
            <v>none</v>
          </cell>
          <cell r="P1036" t="str">
            <v>種族なし</v>
          </cell>
          <cell r="Q1036" t="str">
            <v>アタッカー</v>
          </cell>
          <cell r="R1036">
            <v>1</v>
          </cell>
          <cell r="S1036" t="str">
            <v>NULL</v>
          </cell>
          <cell r="T1036" t="str">
            <v>normal</v>
          </cell>
          <cell r="U1036" t="str">
            <v>NULL</v>
          </cell>
          <cell r="V1036" t="str">
            <v>NULL</v>
          </cell>
          <cell r="W1036" t="str">
            <v>NULL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  <cell r="N1037" t="str">
            <v>Unknown</v>
          </cell>
          <cell r="O1037" t="str">
            <v>none</v>
          </cell>
          <cell r="P1037" t="str">
            <v>種族なし</v>
          </cell>
          <cell r="Q1037" t="str">
            <v>アタッカー</v>
          </cell>
          <cell r="R1037">
            <v>1</v>
          </cell>
          <cell r="S1037" t="str">
            <v>NULL</v>
          </cell>
          <cell r="T1037" t="str">
            <v>normal</v>
          </cell>
          <cell r="U1037" t="str">
            <v>NULL</v>
          </cell>
          <cell r="V1037" t="str">
            <v>NULL</v>
          </cell>
          <cell r="W1037" t="str">
            <v>NULL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  <cell r="N1038" t="str">
            <v>Unknown</v>
          </cell>
          <cell r="O1038" t="str">
            <v>none</v>
          </cell>
          <cell r="P1038" t="str">
            <v>種族なし</v>
          </cell>
          <cell r="Q1038" t="str">
            <v>アタッカー</v>
          </cell>
          <cell r="R1038">
            <v>3</v>
          </cell>
          <cell r="S1038" t="str">
            <v>NULL</v>
          </cell>
          <cell r="T1038" t="str">
            <v>normal</v>
          </cell>
          <cell r="U1038" t="str">
            <v>NULL</v>
          </cell>
          <cell r="V1038" t="str">
            <v>NULL</v>
          </cell>
          <cell r="W1038" t="str">
            <v>NULL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  <cell r="N1039" t="str">
            <v>Unknown</v>
          </cell>
          <cell r="O1039" t="str">
            <v>none</v>
          </cell>
          <cell r="P1039" t="str">
            <v>種族なし</v>
          </cell>
          <cell r="Q1039" t="str">
            <v>アタッカー</v>
          </cell>
          <cell r="R1039">
            <v>3</v>
          </cell>
          <cell r="S1039" t="str">
            <v>NULL</v>
          </cell>
          <cell r="T1039" t="str">
            <v>normal</v>
          </cell>
          <cell r="U1039" t="str">
            <v>NULL</v>
          </cell>
          <cell r="V1039" t="str">
            <v>NULL</v>
          </cell>
          <cell r="W1039" t="str">
            <v>NULL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  <cell r="N1040" t="str">
            <v>アカデミア</v>
          </cell>
          <cell r="O1040" t="str">
            <v>unknown</v>
          </cell>
          <cell r="P1040" t="str">
            <v>Unknown</v>
          </cell>
          <cell r="Q1040" t="str">
            <v>アタッカー</v>
          </cell>
          <cell r="R1040">
            <v>3</v>
          </cell>
          <cell r="S1040" t="str">
            <v>NULL</v>
          </cell>
          <cell r="T1040" t="str">
            <v>normal</v>
          </cell>
          <cell r="U1040" t="str">
            <v>NULL</v>
          </cell>
          <cell r="V1040" t="str">
            <v>NULL</v>
          </cell>
          <cell r="W1040" t="str">
            <v>NULL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  <cell r="N1041" t="str">
            <v>アカデミア</v>
          </cell>
          <cell r="O1041" t="str">
            <v>unknown</v>
          </cell>
          <cell r="P1041" t="str">
            <v>Unknown</v>
          </cell>
          <cell r="Q1041" t="str">
            <v>アタッカー</v>
          </cell>
          <cell r="R1041">
            <v>3</v>
          </cell>
          <cell r="S1041" t="str">
            <v>NULL</v>
          </cell>
          <cell r="T1041" t="str">
            <v>normal</v>
          </cell>
          <cell r="U1041" t="str">
            <v>NULL</v>
          </cell>
          <cell r="V1041" t="str">
            <v>NULL</v>
          </cell>
          <cell r="W1041" t="str">
            <v>NULL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  <cell r="N1042" t="str">
            <v>ゴッド</v>
          </cell>
          <cell r="O1042" t="str">
            <v>none</v>
          </cell>
          <cell r="P1042" t="str">
            <v>種族なし</v>
          </cell>
          <cell r="Q1042" t="str">
            <v>アタッカー</v>
          </cell>
          <cell r="R1042">
            <v>3</v>
          </cell>
          <cell r="S1042" t="str">
            <v>NULL</v>
          </cell>
          <cell r="T1042" t="str">
            <v>normal</v>
          </cell>
          <cell r="U1042" t="str">
            <v>NULL</v>
          </cell>
          <cell r="V1042" t="str">
            <v>NULL</v>
          </cell>
          <cell r="W1042" t="str">
            <v>NULL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  <cell r="N1043" t="str">
            <v>ゴッド</v>
          </cell>
          <cell r="O1043" t="str">
            <v>none</v>
          </cell>
          <cell r="P1043" t="str">
            <v>種族なし</v>
          </cell>
          <cell r="Q1043" t="str">
            <v>アタッカー</v>
          </cell>
          <cell r="R1043">
            <v>3</v>
          </cell>
          <cell r="S1043" t="str">
            <v>NULL</v>
          </cell>
          <cell r="T1043" t="str">
            <v>normal</v>
          </cell>
          <cell r="U1043" t="str">
            <v>NULL</v>
          </cell>
          <cell r="V1043" t="str">
            <v>NULL</v>
          </cell>
          <cell r="W1043" t="str">
            <v>NULL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  <cell r="N1044" t="str">
            <v>ゴッド</v>
          </cell>
          <cell r="O1044" t="str">
            <v>none</v>
          </cell>
          <cell r="P1044" t="str">
            <v>種族なし</v>
          </cell>
          <cell r="Q1044" t="str">
            <v>アタッカー</v>
          </cell>
          <cell r="R1044">
            <v>3</v>
          </cell>
          <cell r="S1044" t="str">
            <v>NULL</v>
          </cell>
          <cell r="T1044" t="str">
            <v>normal</v>
          </cell>
          <cell r="U1044" t="str">
            <v>NULL</v>
          </cell>
          <cell r="V1044" t="str">
            <v>NULL</v>
          </cell>
          <cell r="W1044" t="str">
            <v>NULL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  <cell r="N1045" t="str">
            <v>ゴッド</v>
          </cell>
          <cell r="O1045" t="str">
            <v>none</v>
          </cell>
          <cell r="P1045" t="str">
            <v>種族なし</v>
          </cell>
          <cell r="Q1045" t="str">
            <v>アタッカー</v>
          </cell>
          <cell r="R1045">
            <v>3</v>
          </cell>
          <cell r="S1045" t="str">
            <v>NULL</v>
          </cell>
          <cell r="T1045" t="str">
            <v>normal</v>
          </cell>
          <cell r="U1045" t="str">
            <v>NULL</v>
          </cell>
          <cell r="V1045" t="str">
            <v>NULL</v>
          </cell>
          <cell r="W1045" t="str">
            <v>NULL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  <cell r="N1046" t="str">
            <v>アカデミア</v>
          </cell>
          <cell r="O1046" t="str">
            <v>animal</v>
          </cell>
          <cell r="P1046" t="str">
            <v>アニマル</v>
          </cell>
          <cell r="Q1046" t="str">
            <v>アタッカー</v>
          </cell>
          <cell r="R1046">
            <v>3</v>
          </cell>
          <cell r="S1046" t="str">
            <v>NULL</v>
          </cell>
          <cell r="T1046" t="str">
            <v>normal</v>
          </cell>
          <cell r="U1046" t="str">
            <v>NULL</v>
          </cell>
          <cell r="V1046" t="str">
            <v>NULL</v>
          </cell>
          <cell r="W1046" t="str">
            <v>NULL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  <cell r="N1047" t="str">
            <v>アニマル</v>
          </cell>
          <cell r="O1047" t="str">
            <v>none</v>
          </cell>
          <cell r="P1047" t="str">
            <v>種族なし</v>
          </cell>
          <cell r="Q1047" t="str">
            <v>アタッカー</v>
          </cell>
          <cell r="R1047">
            <v>3</v>
          </cell>
          <cell r="S1047" t="str">
            <v>NULL</v>
          </cell>
          <cell r="T1047" t="str">
            <v>normal</v>
          </cell>
          <cell r="U1047" t="str">
            <v>NULL</v>
          </cell>
          <cell r="V1047" t="str">
            <v>NULL</v>
          </cell>
          <cell r="W1047" t="str">
            <v>NULL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  <cell r="N1048" t="str">
            <v>アカデミア</v>
          </cell>
          <cell r="O1048" t="str">
            <v>human</v>
          </cell>
          <cell r="P1048" t="str">
            <v>ヒューマン</v>
          </cell>
          <cell r="Q1048" t="str">
            <v>アタッカー</v>
          </cell>
          <cell r="R1048">
            <v>3</v>
          </cell>
          <cell r="S1048" t="str">
            <v>NULL</v>
          </cell>
          <cell r="T1048" t="str">
            <v>normal</v>
          </cell>
          <cell r="U1048" t="str">
            <v>NULL</v>
          </cell>
          <cell r="V1048" t="str">
            <v>NULL</v>
          </cell>
          <cell r="W1048" t="str">
            <v>NULL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  <cell r="N1049" t="str">
            <v>ドラゴン</v>
          </cell>
          <cell r="O1049" t="str">
            <v>none</v>
          </cell>
          <cell r="P1049" t="str">
            <v>種族なし</v>
          </cell>
          <cell r="Q1049" t="str">
            <v>アタッカー</v>
          </cell>
          <cell r="R1049">
            <v>3</v>
          </cell>
          <cell r="S1049" t="str">
            <v>NULL</v>
          </cell>
          <cell r="T1049" t="str">
            <v>normal</v>
          </cell>
          <cell r="U1049" t="str">
            <v>NULL</v>
          </cell>
          <cell r="V1049" t="str">
            <v>NULL</v>
          </cell>
          <cell r="W1049" t="str">
            <v>NULL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  <cell r="N1050" t="str">
            <v>アカデミア</v>
          </cell>
          <cell r="O1050" t="str">
            <v>machine</v>
          </cell>
          <cell r="P1050" t="str">
            <v>マシン</v>
          </cell>
          <cell r="Q1050" t="str">
            <v>アタッカー</v>
          </cell>
          <cell r="R1050">
            <v>3</v>
          </cell>
          <cell r="S1050" t="str">
            <v>NULL</v>
          </cell>
          <cell r="T1050" t="str">
            <v>normal</v>
          </cell>
          <cell r="U1050" t="str">
            <v>NULL</v>
          </cell>
          <cell r="V1050" t="str">
            <v>NULL</v>
          </cell>
          <cell r="W1050" t="str">
            <v>NULL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  <cell r="N1051" t="str">
            <v>ゴッド</v>
          </cell>
          <cell r="O1051" t="str">
            <v>none</v>
          </cell>
          <cell r="P1051" t="str">
            <v>種族なし</v>
          </cell>
          <cell r="Q1051" t="str">
            <v>アタッカー</v>
          </cell>
          <cell r="R1051">
            <v>3</v>
          </cell>
          <cell r="S1051" t="str">
            <v>NULL</v>
          </cell>
          <cell r="T1051" t="str">
            <v>normal</v>
          </cell>
          <cell r="U1051" t="str">
            <v>NULL</v>
          </cell>
          <cell r="V1051" t="str">
            <v>NULL</v>
          </cell>
          <cell r="W1051" t="str">
            <v>NULL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  <cell r="N1052" t="str">
            <v>アカデミア</v>
          </cell>
          <cell r="O1052" t="str">
            <v>human</v>
          </cell>
          <cell r="P1052" t="str">
            <v>ヒューマン</v>
          </cell>
          <cell r="Q1052" t="str">
            <v>アタッカー</v>
          </cell>
          <cell r="R1052">
            <v>3</v>
          </cell>
          <cell r="S1052" t="str">
            <v>NULL</v>
          </cell>
          <cell r="T1052" t="str">
            <v>normal</v>
          </cell>
          <cell r="U1052" t="str">
            <v>NULL</v>
          </cell>
          <cell r="V1052" t="str">
            <v>NULL</v>
          </cell>
          <cell r="W1052" t="str">
            <v>NULL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  <cell r="N1053" t="str">
            <v>ゴッド</v>
          </cell>
          <cell r="O1053" t="str">
            <v>none</v>
          </cell>
          <cell r="P1053" t="str">
            <v>種族なし</v>
          </cell>
          <cell r="Q1053" t="str">
            <v>アタッカー</v>
          </cell>
          <cell r="R1053">
            <v>3</v>
          </cell>
          <cell r="S1053" t="str">
            <v>NULL</v>
          </cell>
          <cell r="T1053" t="str">
            <v>normal</v>
          </cell>
          <cell r="U1053" t="str">
            <v>NULL</v>
          </cell>
          <cell r="V1053" t="str">
            <v>NULL</v>
          </cell>
          <cell r="W1053" t="str">
            <v>NULL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  <cell r="N1054" t="str">
            <v>ゴッド</v>
          </cell>
          <cell r="O1054" t="str">
            <v>none</v>
          </cell>
          <cell r="P1054" t="str">
            <v>種族なし</v>
          </cell>
          <cell r="Q1054" t="str">
            <v>アタッカー</v>
          </cell>
          <cell r="R1054">
            <v>3</v>
          </cell>
          <cell r="S1054" t="str">
            <v>NULL</v>
          </cell>
          <cell r="T1054" t="str">
            <v>normal</v>
          </cell>
          <cell r="U1054" t="str">
            <v>NULL</v>
          </cell>
          <cell r="V1054" t="str">
            <v>NULL</v>
          </cell>
          <cell r="W1054" t="str">
            <v>NULL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  <cell r="N1055" t="str">
            <v>ゴッド</v>
          </cell>
          <cell r="O1055" t="str">
            <v>none</v>
          </cell>
          <cell r="P1055" t="str">
            <v>種族なし</v>
          </cell>
          <cell r="Q1055" t="str">
            <v>アタッカー</v>
          </cell>
          <cell r="R1055">
            <v>3</v>
          </cell>
          <cell r="S1055" t="str">
            <v>NULL</v>
          </cell>
          <cell r="T1055" t="str">
            <v>normal</v>
          </cell>
          <cell r="U1055" t="str">
            <v>NULL</v>
          </cell>
          <cell r="V1055" t="str">
            <v>NULL</v>
          </cell>
          <cell r="W1055" t="str">
            <v>NULL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  <cell r="N1056" t="str">
            <v>デーモン</v>
          </cell>
          <cell r="O1056" t="str">
            <v>none</v>
          </cell>
          <cell r="P1056" t="str">
            <v>種族なし</v>
          </cell>
          <cell r="Q1056" t="str">
            <v>アタッカー</v>
          </cell>
          <cell r="R1056">
            <v>3</v>
          </cell>
          <cell r="S1056" t="str">
            <v>NULL</v>
          </cell>
          <cell r="T1056" t="str">
            <v>super</v>
          </cell>
          <cell r="U1056" t="str">
            <v>NULL</v>
          </cell>
          <cell r="V1056" t="str">
            <v>NULL</v>
          </cell>
          <cell r="W1056" t="str">
            <v>NULL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  <cell r="N1057" t="str">
            <v>デーモン</v>
          </cell>
          <cell r="O1057" t="str">
            <v>none</v>
          </cell>
          <cell r="P1057" t="str">
            <v>種族なし</v>
          </cell>
          <cell r="Q1057" t="str">
            <v>アタッカー</v>
          </cell>
          <cell r="R1057">
            <v>3</v>
          </cell>
          <cell r="S1057" t="str">
            <v>NULL</v>
          </cell>
          <cell r="T1057" t="str">
            <v>super</v>
          </cell>
          <cell r="U1057" t="str">
            <v>NULL</v>
          </cell>
          <cell r="V1057" t="str">
            <v>NULL</v>
          </cell>
          <cell r="W1057" t="str">
            <v>NULL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  <cell r="N1058" t="str">
            <v>デーモン</v>
          </cell>
          <cell r="O1058" t="str">
            <v>none</v>
          </cell>
          <cell r="P1058" t="str">
            <v>種族なし</v>
          </cell>
          <cell r="Q1058" t="str">
            <v>アタッカー</v>
          </cell>
          <cell r="R1058">
            <v>3</v>
          </cell>
          <cell r="S1058" t="str">
            <v>NULL</v>
          </cell>
          <cell r="T1058" t="str">
            <v>super</v>
          </cell>
          <cell r="U1058" t="str">
            <v>NULL</v>
          </cell>
          <cell r="V1058" t="str">
            <v>NULL</v>
          </cell>
          <cell r="W1058" t="str">
            <v>NULL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  <cell r="N1059" t="str">
            <v>ゴッド</v>
          </cell>
          <cell r="O1059" t="str">
            <v>none</v>
          </cell>
          <cell r="P1059" t="str">
            <v>種族なし</v>
          </cell>
          <cell r="Q1059" t="str">
            <v>アタッカー</v>
          </cell>
          <cell r="R1059">
            <v>3</v>
          </cell>
          <cell r="S1059" t="str">
            <v>NULL</v>
          </cell>
          <cell r="T1059" t="str">
            <v>super</v>
          </cell>
          <cell r="U1059" t="str">
            <v>NULL</v>
          </cell>
          <cell r="V1059" t="str">
            <v>NULL</v>
          </cell>
          <cell r="W1059" t="str">
            <v>NULL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  <cell r="N1060" t="str">
            <v>ゴッド</v>
          </cell>
          <cell r="O1060" t="str">
            <v>animal</v>
          </cell>
          <cell r="P1060" t="str">
            <v>アニマル</v>
          </cell>
          <cell r="Q1060" t="str">
            <v>アタッカー</v>
          </cell>
          <cell r="R1060">
            <v>3</v>
          </cell>
          <cell r="S1060" t="str">
            <v>NULL</v>
          </cell>
          <cell r="T1060" t="str">
            <v>nomal</v>
          </cell>
          <cell r="U1060" t="str">
            <v>NULL</v>
          </cell>
          <cell r="V1060" t="str">
            <v>NULL</v>
          </cell>
          <cell r="W1060" t="str">
            <v>NULL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  <cell r="N1061" t="str">
            <v>ゴッド</v>
          </cell>
          <cell r="O1061" t="str">
            <v>animal</v>
          </cell>
          <cell r="P1061" t="str">
            <v>アニマル</v>
          </cell>
          <cell r="Q1061" t="str">
            <v>アタッカー</v>
          </cell>
          <cell r="R1061">
            <v>3</v>
          </cell>
          <cell r="S1061" t="str">
            <v>NULL</v>
          </cell>
          <cell r="T1061" t="str">
            <v>nomal</v>
          </cell>
          <cell r="U1061" t="str">
            <v>NULL</v>
          </cell>
          <cell r="V1061" t="str">
            <v>NULL</v>
          </cell>
          <cell r="W1061" t="str">
            <v>NULL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  <cell r="N1062" t="str">
            <v>アニマル</v>
          </cell>
          <cell r="O1062" t="str">
            <v>machine</v>
          </cell>
          <cell r="P1062" t="str">
            <v>マシン</v>
          </cell>
          <cell r="Q1062" t="str">
            <v>アタッカー</v>
          </cell>
          <cell r="R1062">
            <v>3</v>
          </cell>
          <cell r="S1062" t="str">
            <v>NULL</v>
          </cell>
          <cell r="T1062" t="str">
            <v>nomal</v>
          </cell>
          <cell r="U1062" t="str">
            <v>NULL</v>
          </cell>
          <cell r="V1062" t="str">
            <v>NULL</v>
          </cell>
          <cell r="W1062" t="str">
            <v>NULL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  <cell r="N1063" t="str">
            <v>アニマル</v>
          </cell>
          <cell r="O1063" t="str">
            <v>machine</v>
          </cell>
          <cell r="P1063" t="str">
            <v>マシン</v>
          </cell>
          <cell r="Q1063" t="str">
            <v>アタッカー</v>
          </cell>
          <cell r="R1063">
            <v>3</v>
          </cell>
          <cell r="S1063" t="str">
            <v>NULL</v>
          </cell>
          <cell r="T1063" t="str">
            <v>nomal</v>
          </cell>
          <cell r="U1063" t="str">
            <v>NULL</v>
          </cell>
          <cell r="V1063" t="str">
            <v>NULL</v>
          </cell>
          <cell r="W1063" t="str">
            <v>NULL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  <cell r="N1064" t="str">
            <v>ゴッド</v>
          </cell>
          <cell r="O1064" t="str">
            <v>dragon</v>
          </cell>
          <cell r="P1064" t="str">
            <v>ドラゴン</v>
          </cell>
          <cell r="Q1064" t="str">
            <v>アタッカー</v>
          </cell>
          <cell r="R1064">
            <v>3</v>
          </cell>
          <cell r="S1064" t="str">
            <v>NULL</v>
          </cell>
          <cell r="T1064" t="str">
            <v>nomal</v>
          </cell>
          <cell r="U1064" t="str">
            <v>NULL</v>
          </cell>
          <cell r="V1064" t="str">
            <v>NULL</v>
          </cell>
          <cell r="W1064" t="str">
            <v>NULL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  <cell r="N1065" t="str">
            <v>ゴッド</v>
          </cell>
          <cell r="O1065" t="str">
            <v>dragon</v>
          </cell>
          <cell r="P1065" t="str">
            <v>ドラゴン</v>
          </cell>
          <cell r="Q1065" t="str">
            <v>アタッカー</v>
          </cell>
          <cell r="R1065">
            <v>3</v>
          </cell>
          <cell r="S1065" t="str">
            <v>NULL</v>
          </cell>
          <cell r="T1065" t="str">
            <v>nomal</v>
          </cell>
          <cell r="U1065" t="str">
            <v>NULL</v>
          </cell>
          <cell r="V1065" t="str">
            <v>NULL</v>
          </cell>
          <cell r="W1065" t="str">
            <v>NULL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  <cell r="N1066" t="str">
            <v>ゴッド</v>
          </cell>
          <cell r="O1066" t="str">
            <v>human</v>
          </cell>
          <cell r="P1066" t="str">
            <v>ヒューマン</v>
          </cell>
          <cell r="Q1066" t="str">
            <v>アタッカー</v>
          </cell>
          <cell r="R1066">
            <v>3</v>
          </cell>
          <cell r="S1066" t="str">
            <v>NULL</v>
          </cell>
          <cell r="T1066" t="str">
            <v>nomal</v>
          </cell>
          <cell r="U1066" t="str">
            <v>NULL</v>
          </cell>
          <cell r="V1066" t="str">
            <v>NULL</v>
          </cell>
          <cell r="W1066" t="str">
            <v>NULL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  <cell r="N1067" t="str">
            <v>ゴッド</v>
          </cell>
          <cell r="O1067" t="str">
            <v>human</v>
          </cell>
          <cell r="P1067" t="str">
            <v>ヒューマン</v>
          </cell>
          <cell r="Q1067" t="str">
            <v>アタッカー</v>
          </cell>
          <cell r="R1067">
            <v>3</v>
          </cell>
          <cell r="S1067" t="str">
            <v>NULL</v>
          </cell>
          <cell r="T1067" t="str">
            <v>nomal</v>
          </cell>
          <cell r="U1067" t="str">
            <v>NULL</v>
          </cell>
          <cell r="V1067" t="str">
            <v>NULL</v>
          </cell>
          <cell r="W1067" t="str">
            <v>NULL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  <cell r="N1068" t="str">
            <v>ドラゴン</v>
          </cell>
          <cell r="O1068" t="str">
            <v>animal</v>
          </cell>
          <cell r="P1068" t="str">
            <v>アニマル</v>
          </cell>
          <cell r="Q1068" t="str">
            <v>アタッカー</v>
          </cell>
          <cell r="R1068">
            <v>3</v>
          </cell>
          <cell r="S1068" t="str">
            <v>NULL</v>
          </cell>
          <cell r="T1068" t="str">
            <v>nomal</v>
          </cell>
          <cell r="U1068" t="str">
            <v>NULL</v>
          </cell>
          <cell r="V1068" t="str">
            <v>NULL</v>
          </cell>
          <cell r="W1068" t="str">
            <v>NULL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  <cell r="N1069" t="str">
            <v>ドラゴン</v>
          </cell>
          <cell r="O1069" t="str">
            <v>animal</v>
          </cell>
          <cell r="P1069" t="str">
            <v>アニマル</v>
          </cell>
          <cell r="Q1069" t="str">
            <v>アタッカー</v>
          </cell>
          <cell r="R1069">
            <v>3</v>
          </cell>
          <cell r="S1069" t="str">
            <v>NULL</v>
          </cell>
          <cell r="T1069" t="str">
            <v>nomal</v>
          </cell>
          <cell r="U1069" t="str">
            <v>NULL</v>
          </cell>
          <cell r="V1069" t="str">
            <v>NULL</v>
          </cell>
          <cell r="W1069" t="str">
            <v>NULL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  <cell r="N1070" t="str">
            <v>ゴッド</v>
          </cell>
          <cell r="O1070" t="str">
            <v>none</v>
          </cell>
          <cell r="P1070" t="str">
            <v>種族なし</v>
          </cell>
          <cell r="Q1070" t="str">
            <v>アタッカー</v>
          </cell>
          <cell r="R1070">
            <v>3</v>
          </cell>
          <cell r="S1070" t="str">
            <v>NULL</v>
          </cell>
          <cell r="T1070" t="str">
            <v>nomal</v>
          </cell>
          <cell r="U1070" t="str">
            <v>NULL</v>
          </cell>
          <cell r="V1070" t="str">
            <v>NULL</v>
          </cell>
          <cell r="W1070" t="str">
            <v>NULL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  <cell r="N1071" t="str">
            <v>ゴッド</v>
          </cell>
          <cell r="O1071" t="str">
            <v>none</v>
          </cell>
          <cell r="P1071" t="str">
            <v>種族なし</v>
          </cell>
          <cell r="Q1071" t="str">
            <v>アタッカー</v>
          </cell>
          <cell r="R1071">
            <v>3</v>
          </cell>
          <cell r="S1071" t="str">
            <v>NULL</v>
          </cell>
          <cell r="T1071" t="str">
            <v>nomal</v>
          </cell>
          <cell r="U1071" t="str">
            <v>NULL</v>
          </cell>
          <cell r="V1071" t="str">
            <v>NULL</v>
          </cell>
          <cell r="W1071" t="str">
            <v>NULL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  <cell r="N1072" t="str">
            <v>ゴッド</v>
          </cell>
          <cell r="O1072" t="str">
            <v>none</v>
          </cell>
          <cell r="P1072" t="str">
            <v>種族なし</v>
          </cell>
          <cell r="Q1072" t="str">
            <v>アタッカー</v>
          </cell>
          <cell r="R1072">
            <v>1</v>
          </cell>
          <cell r="S1072" t="str">
            <v>NULL</v>
          </cell>
          <cell r="T1072" t="str">
            <v>nomal</v>
          </cell>
          <cell r="U1072" t="str">
            <v>NULL</v>
          </cell>
          <cell r="V1072" t="str">
            <v>NULL</v>
          </cell>
          <cell r="W1072" t="str">
            <v>NULL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  <cell r="N1073" t="str">
            <v>ヒューマン</v>
          </cell>
          <cell r="O1073" t="str">
            <v>animal</v>
          </cell>
          <cell r="P1073" t="str">
            <v>アニマル</v>
          </cell>
          <cell r="Q1073" t="str">
            <v>アタッカー</v>
          </cell>
          <cell r="R1073">
            <v>3</v>
          </cell>
          <cell r="S1073" t="str">
            <v>NULL</v>
          </cell>
          <cell r="T1073" t="str">
            <v>nomal</v>
          </cell>
          <cell r="U1073" t="str">
            <v>NULL</v>
          </cell>
          <cell r="V1073" t="str">
            <v>NULL</v>
          </cell>
          <cell r="W1073" t="str">
            <v>NULL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  <cell r="N1074" t="str">
            <v>ヒューマン</v>
          </cell>
          <cell r="O1074" t="str">
            <v>animal</v>
          </cell>
          <cell r="P1074" t="str">
            <v>アニマル</v>
          </cell>
          <cell r="Q1074" t="str">
            <v>アタッカー</v>
          </cell>
          <cell r="R1074">
            <v>3</v>
          </cell>
          <cell r="S1074" t="str">
            <v>NULL</v>
          </cell>
          <cell r="T1074" t="str">
            <v>nomal</v>
          </cell>
          <cell r="U1074" t="str">
            <v>NULL</v>
          </cell>
          <cell r="V1074" t="str">
            <v>NULL</v>
          </cell>
          <cell r="W1074" t="str">
            <v>NULL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  <cell r="N1075" t="str">
            <v>ゴッド</v>
          </cell>
          <cell r="O1075" t="str">
            <v>none</v>
          </cell>
          <cell r="P1075" t="str">
            <v>種族なし</v>
          </cell>
          <cell r="Q1075" t="str">
            <v>アタッカー</v>
          </cell>
          <cell r="R1075">
            <v>3</v>
          </cell>
          <cell r="S1075" t="str">
            <v>NULL</v>
          </cell>
          <cell r="T1075" t="str">
            <v>nomal</v>
          </cell>
          <cell r="U1075" t="str">
            <v>NULL</v>
          </cell>
          <cell r="V1075" t="str">
            <v>NULL</v>
          </cell>
          <cell r="W1075" t="str">
            <v>NULL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  <cell r="N1076" t="str">
            <v>ゴッド</v>
          </cell>
          <cell r="O1076" t="str">
            <v>none</v>
          </cell>
          <cell r="P1076" t="str">
            <v>種族なし</v>
          </cell>
          <cell r="Q1076" t="str">
            <v>アタッカー</v>
          </cell>
          <cell r="R1076">
            <v>3</v>
          </cell>
          <cell r="S1076" t="str">
            <v>NULL</v>
          </cell>
          <cell r="T1076" t="str">
            <v>nomal</v>
          </cell>
          <cell r="U1076" t="str">
            <v>NULL</v>
          </cell>
          <cell r="V1076" t="str">
            <v>NULL</v>
          </cell>
          <cell r="W1076" t="str">
            <v>NULL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  <cell r="N1077" t="str">
            <v>アカデミア</v>
          </cell>
          <cell r="O1077" t="str">
            <v>unknown</v>
          </cell>
          <cell r="P1077" t="str">
            <v>Unknown</v>
          </cell>
          <cell r="Q1077" t="str">
            <v>アタッカー</v>
          </cell>
          <cell r="R1077">
            <v>3</v>
          </cell>
          <cell r="S1077" t="str">
            <v>NULL</v>
          </cell>
          <cell r="T1077" t="str">
            <v>nomal</v>
          </cell>
          <cell r="U1077" t="str">
            <v>NULL</v>
          </cell>
          <cell r="V1077" t="str">
            <v>NULL</v>
          </cell>
          <cell r="W1077" t="str">
            <v>NULL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  <cell r="N1078" t="str">
            <v>アカデミア</v>
          </cell>
          <cell r="O1078" t="str">
            <v>unknown</v>
          </cell>
          <cell r="P1078" t="str">
            <v>Unknown</v>
          </cell>
          <cell r="Q1078" t="str">
            <v>アタッカー</v>
          </cell>
          <cell r="R1078">
            <v>3</v>
          </cell>
          <cell r="S1078" t="str">
            <v>NULL</v>
          </cell>
          <cell r="T1078" t="str">
            <v>nomal</v>
          </cell>
          <cell r="U1078" t="str">
            <v>NULL</v>
          </cell>
          <cell r="V1078" t="str">
            <v>NULL</v>
          </cell>
          <cell r="W1078" t="str">
            <v>NULL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  <cell r="N1079" t="str">
            <v>アカデミア</v>
          </cell>
          <cell r="O1079" t="str">
            <v>unknown</v>
          </cell>
          <cell r="P1079" t="str">
            <v>Unknown</v>
          </cell>
          <cell r="Q1079" t="str">
            <v>アタッカー</v>
          </cell>
          <cell r="R1079">
            <v>1</v>
          </cell>
          <cell r="S1079" t="str">
            <v>NULL</v>
          </cell>
          <cell r="T1079" t="str">
            <v>nomal</v>
          </cell>
          <cell r="U1079" t="str">
            <v>NULL</v>
          </cell>
          <cell r="V1079" t="str">
            <v>NULL</v>
          </cell>
          <cell r="W1079" t="str">
            <v>NULL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  <cell r="N1080" t="str">
            <v>Unknown</v>
          </cell>
          <cell r="O1080" t="str">
            <v>none</v>
          </cell>
          <cell r="P1080" t="str">
            <v>種族なし</v>
          </cell>
          <cell r="Q1080" t="str">
            <v>強化素材</v>
          </cell>
          <cell r="R1080">
            <v>3</v>
          </cell>
          <cell r="S1080" t="str">
            <v>NULL</v>
          </cell>
          <cell r="T1080" t="str">
            <v>nomal</v>
          </cell>
          <cell r="U1080" t="str">
            <v>NULL</v>
          </cell>
          <cell r="V1080" t="str">
            <v>NULL</v>
          </cell>
          <cell r="W1080" t="str">
            <v>NULL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  <cell r="N1081" t="str">
            <v>Unknown</v>
          </cell>
          <cell r="O1081" t="str">
            <v>none</v>
          </cell>
          <cell r="P1081" t="str">
            <v>種族なし</v>
          </cell>
          <cell r="Q1081" t="str">
            <v>強化素材</v>
          </cell>
          <cell r="R1081">
            <v>3</v>
          </cell>
          <cell r="S1081" t="str">
            <v>NULL</v>
          </cell>
          <cell r="T1081" t="str">
            <v>nomal</v>
          </cell>
          <cell r="U1081" t="str">
            <v>NULL</v>
          </cell>
          <cell r="V1081" t="str">
            <v>NULL</v>
          </cell>
          <cell r="W1081" t="str">
            <v>NULL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  <cell r="N1082" t="str">
            <v>Unknown</v>
          </cell>
          <cell r="O1082" t="str">
            <v>none</v>
          </cell>
          <cell r="P1082" t="str">
            <v>種族なし</v>
          </cell>
          <cell r="Q1082" t="str">
            <v>強化素材</v>
          </cell>
          <cell r="R1082">
            <v>3</v>
          </cell>
          <cell r="S1082" t="str">
            <v>NULL</v>
          </cell>
          <cell r="T1082" t="str">
            <v>nomal</v>
          </cell>
          <cell r="U1082" t="str">
            <v>NULL</v>
          </cell>
          <cell r="V1082" t="str">
            <v>NULL</v>
          </cell>
          <cell r="W1082" t="str">
            <v>NULL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  <cell r="N1083" t="str">
            <v>Unknown</v>
          </cell>
          <cell r="O1083" t="str">
            <v>none</v>
          </cell>
          <cell r="P1083" t="str">
            <v>種族なし</v>
          </cell>
          <cell r="Q1083" t="str">
            <v>強化素材</v>
          </cell>
          <cell r="R1083">
            <v>3</v>
          </cell>
          <cell r="S1083" t="str">
            <v>NULL</v>
          </cell>
          <cell r="T1083" t="str">
            <v>normal</v>
          </cell>
          <cell r="U1083" t="str">
            <v>NULL</v>
          </cell>
          <cell r="V1083" t="str">
            <v>NULL</v>
          </cell>
          <cell r="W1083" t="str">
            <v>NULL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  <cell r="N1084" t="str">
            <v>ゴッド</v>
          </cell>
          <cell r="O1084" t="str">
            <v>unknown</v>
          </cell>
          <cell r="P1084" t="str">
            <v>Unknown</v>
          </cell>
          <cell r="Q1084" t="str">
            <v>アタッカー</v>
          </cell>
          <cell r="R1084">
            <v>3</v>
          </cell>
          <cell r="S1084" t="str">
            <v>NULL</v>
          </cell>
          <cell r="T1084" t="str">
            <v>normal</v>
          </cell>
          <cell r="U1084" t="str">
            <v>NULL</v>
          </cell>
          <cell r="V1084" t="str">
            <v>NULL</v>
          </cell>
          <cell r="W1084" t="str">
            <v>NULL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  <cell r="N1085" t="str">
            <v>ゴッド</v>
          </cell>
          <cell r="O1085" t="str">
            <v>unknown</v>
          </cell>
          <cell r="P1085" t="str">
            <v>Unknown</v>
          </cell>
          <cell r="Q1085" t="str">
            <v>アタッカー</v>
          </cell>
          <cell r="R1085">
            <v>3</v>
          </cell>
          <cell r="S1085" t="str">
            <v>NULL</v>
          </cell>
          <cell r="T1085" t="str">
            <v>normal</v>
          </cell>
          <cell r="U1085" t="str">
            <v>NULL</v>
          </cell>
          <cell r="V1085" t="str">
            <v>NULL</v>
          </cell>
          <cell r="W1085" t="str">
            <v>NULL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  <cell r="N1086" t="str">
            <v>アカデミア</v>
          </cell>
          <cell r="O1086" t="str">
            <v>none</v>
          </cell>
          <cell r="P1086" t="str">
            <v>種族なし</v>
          </cell>
          <cell r="Q1086" t="str">
            <v>アタッカー</v>
          </cell>
          <cell r="R1086">
            <v>3</v>
          </cell>
          <cell r="S1086" t="str">
            <v>NULL</v>
          </cell>
          <cell r="T1086" t="str">
            <v>normal</v>
          </cell>
          <cell r="U1086" t="str">
            <v>NULL</v>
          </cell>
          <cell r="V1086" t="str">
            <v>NULL</v>
          </cell>
          <cell r="W1086" t="str">
            <v>NULL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  <cell r="N1087" t="str">
            <v>アカデミア</v>
          </cell>
          <cell r="O1087" t="str">
            <v>none</v>
          </cell>
          <cell r="P1087" t="str">
            <v>種族なし</v>
          </cell>
          <cell r="Q1087" t="str">
            <v>アタッカー</v>
          </cell>
          <cell r="R1087">
            <v>3</v>
          </cell>
          <cell r="S1087" t="str">
            <v>NULL</v>
          </cell>
          <cell r="T1087" t="str">
            <v>normal</v>
          </cell>
          <cell r="U1087" t="str">
            <v>NULL</v>
          </cell>
          <cell r="V1087" t="str">
            <v>NULL</v>
          </cell>
          <cell r="W1087" t="str">
            <v>NULL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  <cell r="N1088" t="str">
            <v>アカデミア</v>
          </cell>
          <cell r="O1088" t="str">
            <v>none</v>
          </cell>
          <cell r="P1088" t="str">
            <v>種族なし</v>
          </cell>
          <cell r="Q1088" t="str">
            <v>アタッカー</v>
          </cell>
          <cell r="R1088">
            <v>3</v>
          </cell>
          <cell r="S1088" t="str">
            <v>NULL</v>
          </cell>
          <cell r="T1088" t="str">
            <v>super</v>
          </cell>
          <cell r="U1088" t="str">
            <v>NULL</v>
          </cell>
          <cell r="V1088" t="str">
            <v>NULL</v>
          </cell>
          <cell r="W1088" t="str">
            <v>NULL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  <cell r="N1089" t="str">
            <v>Unknown</v>
          </cell>
          <cell r="O1089" t="str">
            <v>none</v>
          </cell>
          <cell r="P1089" t="str">
            <v>種族なし</v>
          </cell>
          <cell r="Q1089" t="str">
            <v>アタッカー</v>
          </cell>
          <cell r="R1089">
            <v>3</v>
          </cell>
          <cell r="S1089" t="str">
            <v>NULL</v>
          </cell>
          <cell r="T1089" t="str">
            <v>normal</v>
          </cell>
          <cell r="U1089" t="str">
            <v>NULL</v>
          </cell>
          <cell r="V1089" t="str">
            <v>NULL</v>
          </cell>
          <cell r="W1089" t="str">
            <v>NULL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  <cell r="N1090" t="str">
            <v>Unknown</v>
          </cell>
          <cell r="O1090" t="str">
            <v>none</v>
          </cell>
          <cell r="P1090" t="str">
            <v>種族なし</v>
          </cell>
          <cell r="Q1090" t="str">
            <v>アタッカー</v>
          </cell>
          <cell r="R1090">
            <v>3</v>
          </cell>
          <cell r="S1090" t="str">
            <v>NULL</v>
          </cell>
          <cell r="T1090" t="str">
            <v>normal</v>
          </cell>
          <cell r="U1090" t="str">
            <v>NULL</v>
          </cell>
          <cell r="V1090" t="str">
            <v>NULL</v>
          </cell>
          <cell r="W1090" t="str">
            <v>NULL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  <cell r="N1091" t="str">
            <v>アカデミア</v>
          </cell>
          <cell r="O1091" t="str">
            <v>demon</v>
          </cell>
          <cell r="P1091" t="str">
            <v>デーモン</v>
          </cell>
          <cell r="Q1091" t="str">
            <v>アタッカー</v>
          </cell>
          <cell r="R1091">
            <v>3</v>
          </cell>
          <cell r="S1091" t="str">
            <v>NULL</v>
          </cell>
          <cell r="T1091" t="str">
            <v>normal</v>
          </cell>
          <cell r="U1091" t="str">
            <v>NULL</v>
          </cell>
          <cell r="V1091" t="str">
            <v>NULL</v>
          </cell>
          <cell r="W1091" t="str">
            <v>NULL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  <cell r="N1092" t="str">
            <v>アカデミア</v>
          </cell>
          <cell r="O1092" t="str">
            <v>demon</v>
          </cell>
          <cell r="P1092" t="str">
            <v>デーモン</v>
          </cell>
          <cell r="Q1092" t="str">
            <v>アタッカー</v>
          </cell>
          <cell r="R1092">
            <v>3</v>
          </cell>
          <cell r="S1092" t="str">
            <v>NULL</v>
          </cell>
          <cell r="T1092" t="str">
            <v>normal</v>
          </cell>
          <cell r="U1092" t="str">
            <v>NULL</v>
          </cell>
          <cell r="V1092" t="str">
            <v>NULL</v>
          </cell>
          <cell r="W1092" t="str">
            <v>NULL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  <cell r="N1093" t="str">
            <v>ヒューマン</v>
          </cell>
          <cell r="O1093" t="str">
            <v>none</v>
          </cell>
          <cell r="P1093" t="str">
            <v>種族なし</v>
          </cell>
          <cell r="Q1093" t="str">
            <v>アタッカー</v>
          </cell>
          <cell r="R1093">
            <v>3</v>
          </cell>
          <cell r="S1093" t="str">
            <v>NULL</v>
          </cell>
          <cell r="T1093" t="str">
            <v>normal</v>
          </cell>
          <cell r="U1093" t="str">
            <v>NULL</v>
          </cell>
          <cell r="V1093" t="str">
            <v>NULL</v>
          </cell>
          <cell r="W1093" t="str">
            <v>NULL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  <cell r="N1094" t="str">
            <v>Unknown</v>
          </cell>
          <cell r="O1094" t="str">
            <v>none</v>
          </cell>
          <cell r="P1094" t="str">
            <v>種族なし</v>
          </cell>
          <cell r="Q1094" t="str">
            <v>アタッカー</v>
          </cell>
          <cell r="R1094">
            <v>1</v>
          </cell>
          <cell r="S1094" t="str">
            <v>NULL</v>
          </cell>
          <cell r="T1094" t="str">
            <v>normal</v>
          </cell>
          <cell r="U1094" t="str">
            <v>NULL</v>
          </cell>
          <cell r="V1094" t="str">
            <v>NULL</v>
          </cell>
          <cell r="W1094" t="str">
            <v>NULL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  <cell r="N1095" t="str">
            <v>アニマル</v>
          </cell>
          <cell r="O1095" t="str">
            <v>unknown</v>
          </cell>
          <cell r="P1095" t="str">
            <v>Unknown</v>
          </cell>
          <cell r="Q1095" t="str">
            <v>アタッカー</v>
          </cell>
          <cell r="R1095">
            <v>3</v>
          </cell>
          <cell r="S1095" t="str">
            <v>NULL</v>
          </cell>
          <cell r="T1095" t="str">
            <v>normal</v>
          </cell>
          <cell r="U1095" t="str">
            <v>NULL</v>
          </cell>
          <cell r="V1095" t="str">
            <v>NULL</v>
          </cell>
          <cell r="W1095" t="str">
            <v>NULL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  <cell r="N1096" t="str">
            <v>アニマル</v>
          </cell>
          <cell r="O1096" t="str">
            <v>unknown</v>
          </cell>
          <cell r="P1096" t="str">
            <v>Unknown</v>
          </cell>
          <cell r="Q1096" t="str">
            <v>アタッカー</v>
          </cell>
          <cell r="R1096">
            <v>3</v>
          </cell>
          <cell r="S1096" t="str">
            <v>NULL</v>
          </cell>
          <cell r="T1096" t="str">
            <v>normal</v>
          </cell>
          <cell r="U1096" t="str">
            <v>NULL</v>
          </cell>
          <cell r="V1096" t="str">
            <v>NULL</v>
          </cell>
          <cell r="W1096" t="str">
            <v>NULL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  <cell r="N1097" t="str">
            <v>Unknown</v>
          </cell>
          <cell r="O1097" t="str">
            <v>none</v>
          </cell>
          <cell r="P1097" t="str">
            <v>種族なし</v>
          </cell>
          <cell r="Q1097" t="str">
            <v>アタッカー</v>
          </cell>
          <cell r="R1097">
            <v>3</v>
          </cell>
          <cell r="S1097" t="str">
            <v>NULL</v>
          </cell>
          <cell r="T1097" t="str">
            <v>normal</v>
          </cell>
          <cell r="U1097" t="str">
            <v>NULL</v>
          </cell>
          <cell r="V1097" t="str">
            <v>NULL</v>
          </cell>
          <cell r="W1097" t="str">
            <v>NULL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  <cell r="N1098" t="str">
            <v>Unknown</v>
          </cell>
          <cell r="O1098" t="str">
            <v>none</v>
          </cell>
          <cell r="P1098" t="str">
            <v>種族なし</v>
          </cell>
          <cell r="Q1098" t="str">
            <v>アタッカー</v>
          </cell>
          <cell r="R1098">
            <v>3</v>
          </cell>
          <cell r="S1098" t="str">
            <v>NULL</v>
          </cell>
          <cell r="T1098" t="str">
            <v>normal</v>
          </cell>
          <cell r="U1098" t="str">
            <v>NULL</v>
          </cell>
          <cell r="V1098" t="str">
            <v>NULL</v>
          </cell>
          <cell r="W1098" t="str">
            <v>NULL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  <cell r="N1099" t="str">
            <v>ヒューマン</v>
          </cell>
          <cell r="O1099" t="str">
            <v>unknown</v>
          </cell>
          <cell r="P1099" t="str">
            <v>Unknown</v>
          </cell>
          <cell r="Q1099" t="str">
            <v>アタッカー</v>
          </cell>
          <cell r="R1099">
            <v>3</v>
          </cell>
          <cell r="S1099" t="str">
            <v>NULL</v>
          </cell>
          <cell r="T1099" t="str">
            <v>normal</v>
          </cell>
          <cell r="U1099" t="str">
            <v>NULL</v>
          </cell>
          <cell r="V1099" t="str">
            <v>NULL</v>
          </cell>
          <cell r="W1099" t="str">
            <v>NULL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  <cell r="N1100" t="str">
            <v>ヒューマン</v>
          </cell>
          <cell r="O1100" t="str">
            <v>unknown</v>
          </cell>
          <cell r="P1100" t="str">
            <v>Unknown</v>
          </cell>
          <cell r="Q1100" t="str">
            <v>アタッカー</v>
          </cell>
          <cell r="R1100">
            <v>3</v>
          </cell>
          <cell r="S1100" t="str">
            <v>NULL</v>
          </cell>
          <cell r="T1100" t="str">
            <v>normal</v>
          </cell>
          <cell r="U1100" t="str">
            <v>NULL</v>
          </cell>
          <cell r="V1100" t="str">
            <v>NULL</v>
          </cell>
          <cell r="W1100" t="str">
            <v>NULL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  <cell r="N1101" t="str">
            <v>ヒューマン</v>
          </cell>
          <cell r="O1101" t="str">
            <v>samurai</v>
          </cell>
          <cell r="P1101" t="str">
            <v>サムライ</v>
          </cell>
          <cell r="Q1101" t="str">
            <v>アタッカー</v>
          </cell>
          <cell r="R1101">
            <v>3</v>
          </cell>
          <cell r="S1101" t="str">
            <v>NULL</v>
          </cell>
          <cell r="T1101" t="str">
            <v>normal</v>
          </cell>
          <cell r="U1101" t="str">
            <v>NULL</v>
          </cell>
          <cell r="V1101" t="str">
            <v>NULL</v>
          </cell>
          <cell r="W1101" t="str">
            <v>NULL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  <cell r="N1102" t="str">
            <v>ヒューマン</v>
          </cell>
          <cell r="O1102" t="str">
            <v>samurai</v>
          </cell>
          <cell r="P1102" t="str">
            <v>サムライ</v>
          </cell>
          <cell r="Q1102" t="str">
            <v>アタッカー</v>
          </cell>
          <cell r="R1102">
            <v>3</v>
          </cell>
          <cell r="S1102" t="str">
            <v>NULL</v>
          </cell>
          <cell r="T1102" t="str">
            <v>normal</v>
          </cell>
          <cell r="U1102" t="str">
            <v>NULL</v>
          </cell>
          <cell r="V1102" t="str">
            <v>NULL</v>
          </cell>
          <cell r="W1102" t="str">
            <v>NULL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  <cell r="N1103" t="str">
            <v>アニマル</v>
          </cell>
          <cell r="O1103" t="str">
            <v>none</v>
          </cell>
          <cell r="P1103" t="str">
            <v>種族なし</v>
          </cell>
          <cell r="Q1103" t="str">
            <v>アタッカー</v>
          </cell>
          <cell r="R1103">
            <v>3</v>
          </cell>
          <cell r="S1103" t="str">
            <v>NULL</v>
          </cell>
          <cell r="T1103" t="str">
            <v>normal</v>
          </cell>
          <cell r="U1103" t="str">
            <v>NULL</v>
          </cell>
          <cell r="V1103" t="str">
            <v>NULL</v>
          </cell>
          <cell r="W1103" t="str">
            <v>NULL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  <cell r="N1104" t="str">
            <v>アニマル</v>
          </cell>
          <cell r="O1104" t="str">
            <v>none</v>
          </cell>
          <cell r="P1104" t="str">
            <v>種族なし</v>
          </cell>
          <cell r="Q1104" t="str">
            <v>アタッカー</v>
          </cell>
          <cell r="R1104">
            <v>3</v>
          </cell>
          <cell r="S1104" t="str">
            <v>NULL</v>
          </cell>
          <cell r="T1104" t="str">
            <v>normal</v>
          </cell>
          <cell r="U1104" t="str">
            <v>NULL</v>
          </cell>
          <cell r="V1104" t="str">
            <v>NULL</v>
          </cell>
          <cell r="W1104" t="str">
            <v>NULL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  <cell r="N1105" t="str">
            <v>ヒューマン</v>
          </cell>
          <cell r="O1105" t="str">
            <v>unknown</v>
          </cell>
          <cell r="P1105" t="str">
            <v>Unknown</v>
          </cell>
          <cell r="Q1105" t="str">
            <v>アタッカー</v>
          </cell>
          <cell r="R1105">
            <v>3</v>
          </cell>
          <cell r="S1105" t="str">
            <v>NULL</v>
          </cell>
          <cell r="T1105" t="str">
            <v>normal</v>
          </cell>
          <cell r="U1105" t="str">
            <v>NULL</v>
          </cell>
          <cell r="V1105" t="str">
            <v>NULL</v>
          </cell>
          <cell r="W1105" t="str">
            <v>NULL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  <cell r="N1106" t="str">
            <v>ヒューマン</v>
          </cell>
          <cell r="O1106" t="str">
            <v>unknown</v>
          </cell>
          <cell r="P1106" t="str">
            <v>Unknown</v>
          </cell>
          <cell r="Q1106" t="str">
            <v>アタッカー</v>
          </cell>
          <cell r="R1106">
            <v>3</v>
          </cell>
          <cell r="S1106" t="str">
            <v>NULL</v>
          </cell>
          <cell r="T1106" t="str">
            <v>normal</v>
          </cell>
          <cell r="U1106" t="str">
            <v>NULL</v>
          </cell>
          <cell r="V1106" t="str">
            <v>NULL</v>
          </cell>
          <cell r="W1106" t="str">
            <v>NULL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  <cell r="N1107" t="str">
            <v>ヒューマン</v>
          </cell>
          <cell r="O1107" t="str">
            <v>god</v>
          </cell>
          <cell r="P1107" t="str">
            <v>ゴッド</v>
          </cell>
          <cell r="Q1107" t="str">
            <v>アタッカー</v>
          </cell>
          <cell r="R1107">
            <v>3</v>
          </cell>
          <cell r="S1107" t="str">
            <v>NULL</v>
          </cell>
          <cell r="T1107" t="str">
            <v>super</v>
          </cell>
          <cell r="U1107" t="str">
            <v>NULL</v>
          </cell>
          <cell r="V1107" t="str">
            <v>NULL</v>
          </cell>
          <cell r="W1107" t="str">
            <v>NULL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  <cell r="N1108" t="str">
            <v>ヒューマン</v>
          </cell>
          <cell r="O1108" t="str">
            <v>god</v>
          </cell>
          <cell r="P1108" t="str">
            <v>ゴッド</v>
          </cell>
          <cell r="Q1108" t="str">
            <v>アタッカー</v>
          </cell>
          <cell r="R1108">
            <v>3</v>
          </cell>
          <cell r="S1108" t="str">
            <v>NULL</v>
          </cell>
          <cell r="T1108" t="str">
            <v>normal</v>
          </cell>
          <cell r="U1108" t="str">
            <v>NULL</v>
          </cell>
          <cell r="V1108" t="str">
            <v>NULL</v>
          </cell>
          <cell r="W1108" t="str">
            <v>NULL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  <cell r="N1109" t="str">
            <v>アカデミア</v>
          </cell>
          <cell r="O1109" t="str">
            <v>machine</v>
          </cell>
          <cell r="P1109" t="str">
            <v>マシン</v>
          </cell>
          <cell r="Q1109" t="str">
            <v>アタッカー</v>
          </cell>
          <cell r="R1109">
            <v>3</v>
          </cell>
          <cell r="S1109" t="str">
            <v>NULL</v>
          </cell>
          <cell r="T1109" t="str">
            <v>normal</v>
          </cell>
          <cell r="U1109" t="str">
            <v>NULL</v>
          </cell>
          <cell r="V1109" t="str">
            <v>NULL</v>
          </cell>
          <cell r="W1109" t="str">
            <v>NULL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  <cell r="N1110" t="str">
            <v>アカデミア</v>
          </cell>
          <cell r="O1110" t="str">
            <v>samurai</v>
          </cell>
          <cell r="P1110" t="str">
            <v>サムライ</v>
          </cell>
          <cell r="Q1110" t="str">
            <v>アタッカー</v>
          </cell>
          <cell r="R1110">
            <v>3</v>
          </cell>
          <cell r="S1110" t="str">
            <v>NULL</v>
          </cell>
          <cell r="T1110" t="str">
            <v>normal</v>
          </cell>
          <cell r="U1110" t="str">
            <v>NULL</v>
          </cell>
          <cell r="V1110" t="str">
            <v>NULL</v>
          </cell>
          <cell r="W1110" t="str">
            <v>NULL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  <cell r="N1111" t="str">
            <v>アカデミア</v>
          </cell>
          <cell r="O1111" t="str">
            <v>samurai</v>
          </cell>
          <cell r="P1111" t="str">
            <v>サムライ</v>
          </cell>
          <cell r="Q1111" t="str">
            <v>アタッカー</v>
          </cell>
          <cell r="R1111">
            <v>3</v>
          </cell>
          <cell r="S1111" t="str">
            <v>NULL</v>
          </cell>
          <cell r="T1111" t="str">
            <v>normal</v>
          </cell>
          <cell r="U1111" t="str">
            <v>NULL</v>
          </cell>
          <cell r="V1111" t="str">
            <v>NULL</v>
          </cell>
          <cell r="W1111" t="str">
            <v>NULL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  <cell r="N1112" t="str">
            <v>アカデミア</v>
          </cell>
          <cell r="O1112" t="str">
            <v>animal</v>
          </cell>
          <cell r="P1112" t="str">
            <v>アニマル</v>
          </cell>
          <cell r="Q1112" t="str">
            <v>アタッカー</v>
          </cell>
          <cell r="R1112">
            <v>3</v>
          </cell>
          <cell r="S1112" t="str">
            <v>NULL</v>
          </cell>
          <cell r="T1112" t="str">
            <v>normal</v>
          </cell>
          <cell r="U1112" t="str">
            <v>NULL</v>
          </cell>
          <cell r="V1112" t="str">
            <v>NULL</v>
          </cell>
          <cell r="W1112" t="str">
            <v>NULL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  <cell r="N1113" t="str">
            <v>アカデミア</v>
          </cell>
          <cell r="O1113" t="str">
            <v>animal</v>
          </cell>
          <cell r="P1113" t="str">
            <v>アニマル</v>
          </cell>
          <cell r="Q1113" t="str">
            <v>アタッカー</v>
          </cell>
          <cell r="R1113">
            <v>3</v>
          </cell>
          <cell r="S1113" t="str">
            <v>NULL</v>
          </cell>
          <cell r="T1113" t="str">
            <v>normal</v>
          </cell>
          <cell r="U1113" t="str">
            <v>NULL</v>
          </cell>
          <cell r="V1113" t="str">
            <v>NULL</v>
          </cell>
          <cell r="W1113" t="str">
            <v>NULL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  <cell r="N1114" t="str">
            <v>アカデミア</v>
          </cell>
          <cell r="O1114" t="str">
            <v>animal</v>
          </cell>
          <cell r="P1114" t="str">
            <v>アニマル</v>
          </cell>
          <cell r="Q1114" t="str">
            <v>アタッカー</v>
          </cell>
          <cell r="R1114">
            <v>3</v>
          </cell>
          <cell r="S1114" t="str">
            <v>NULL</v>
          </cell>
          <cell r="T1114" t="str">
            <v>super</v>
          </cell>
          <cell r="U1114" t="str">
            <v>NULL</v>
          </cell>
          <cell r="V1114" t="str">
            <v>NULL</v>
          </cell>
          <cell r="W1114" t="str">
            <v>NULL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  <cell r="N1115" t="str">
            <v>QUEEN</v>
          </cell>
          <cell r="O1115" t="str">
            <v>unknown</v>
          </cell>
          <cell r="P1115" t="str">
            <v>Unknown</v>
          </cell>
          <cell r="Q1115" t="str">
            <v>アタッカー</v>
          </cell>
          <cell r="R1115">
            <v>3</v>
          </cell>
          <cell r="S1115" t="str">
            <v>NULL</v>
          </cell>
          <cell r="T1115" t="str">
            <v>normal</v>
          </cell>
          <cell r="U1115" t="str">
            <v>NULL</v>
          </cell>
          <cell r="V1115" t="str">
            <v>NULL</v>
          </cell>
          <cell r="W1115" t="str">
            <v>NULL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  <cell r="N1116" t="str">
            <v>QUEEN</v>
          </cell>
          <cell r="O1116" t="str">
            <v>unknown</v>
          </cell>
          <cell r="P1116" t="str">
            <v>Unknown</v>
          </cell>
          <cell r="Q1116" t="str">
            <v>アタッカー</v>
          </cell>
          <cell r="R1116">
            <v>3</v>
          </cell>
          <cell r="S1116" t="str">
            <v>NULL</v>
          </cell>
          <cell r="T1116" t="str">
            <v>normal</v>
          </cell>
          <cell r="U1116" t="str">
            <v>NULL</v>
          </cell>
          <cell r="V1116" t="str">
            <v>NULL</v>
          </cell>
          <cell r="W1116" t="str">
            <v>NULL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  <cell r="N1117" t="str">
            <v>ゴッド</v>
          </cell>
          <cell r="O1117" t="str">
            <v>none</v>
          </cell>
          <cell r="P1117" t="str">
            <v>種族なし</v>
          </cell>
          <cell r="Q1117" t="str">
            <v>強化素材</v>
          </cell>
          <cell r="R1117">
            <v>3</v>
          </cell>
          <cell r="S1117" t="str">
            <v>NULL</v>
          </cell>
          <cell r="T1117" t="str">
            <v>super</v>
          </cell>
          <cell r="U1117" t="str">
            <v>NULL</v>
          </cell>
          <cell r="V1117" t="str">
            <v>NULL</v>
          </cell>
          <cell r="W1117" t="str">
            <v>NULL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  <cell r="N1118" t="str">
            <v>デーモン</v>
          </cell>
          <cell r="O1118" t="str">
            <v>none</v>
          </cell>
          <cell r="P1118" t="str">
            <v>種族なし</v>
          </cell>
          <cell r="Q1118" t="str">
            <v>強化素材</v>
          </cell>
          <cell r="R1118">
            <v>3</v>
          </cell>
          <cell r="S1118" t="str">
            <v>NULL</v>
          </cell>
          <cell r="T1118" t="str">
            <v>super</v>
          </cell>
          <cell r="U1118" t="str">
            <v>NULL</v>
          </cell>
          <cell r="V1118" t="str">
            <v>NULL</v>
          </cell>
          <cell r="W1118" t="str">
            <v>NULL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  <cell r="N1119" t="str">
            <v>ヒューマン</v>
          </cell>
          <cell r="O1119" t="str">
            <v>hero</v>
          </cell>
          <cell r="P1119" t="str">
            <v>ヒーロー</v>
          </cell>
          <cell r="Q1119" t="str">
            <v>強化素材</v>
          </cell>
          <cell r="R1119">
            <v>3</v>
          </cell>
          <cell r="S1119" t="str">
            <v>NULL</v>
          </cell>
          <cell r="T1119" t="str">
            <v>super</v>
          </cell>
          <cell r="U1119" t="str">
            <v>NULL</v>
          </cell>
          <cell r="V1119" t="str">
            <v>NULL</v>
          </cell>
          <cell r="W1119" t="str">
            <v>NULL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  <cell r="N1120" t="str">
            <v>ヒューマン</v>
          </cell>
          <cell r="O1120" t="str">
            <v>samurai</v>
          </cell>
          <cell r="P1120" t="str">
            <v>サムライ</v>
          </cell>
          <cell r="Q1120" t="str">
            <v>強化素材</v>
          </cell>
          <cell r="R1120">
            <v>3</v>
          </cell>
          <cell r="S1120" t="str">
            <v>NULL</v>
          </cell>
          <cell r="T1120" t="str">
            <v>super</v>
          </cell>
          <cell r="U1120" t="str">
            <v>NULL</v>
          </cell>
          <cell r="V1120" t="str">
            <v>NULL</v>
          </cell>
          <cell r="W1120" t="str">
            <v>NULL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  <cell r="N1121" t="str">
            <v>ゴッド</v>
          </cell>
          <cell r="O1121" t="str">
            <v>none</v>
          </cell>
          <cell r="P1121" t="str">
            <v>種族なし</v>
          </cell>
          <cell r="Q1121" t="str">
            <v>強化素材</v>
          </cell>
          <cell r="R1121">
            <v>3</v>
          </cell>
          <cell r="S1121" t="str">
            <v>NULL</v>
          </cell>
          <cell r="T1121" t="str">
            <v>super</v>
          </cell>
          <cell r="U1121" t="str">
            <v>NULL</v>
          </cell>
          <cell r="V1121" t="str">
            <v>NULL</v>
          </cell>
          <cell r="W1121" t="str">
            <v>NULL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  <cell r="N1122" t="str">
            <v>アカデミア</v>
          </cell>
          <cell r="O1122" t="str">
            <v>none</v>
          </cell>
          <cell r="P1122" t="str">
            <v>種族なし</v>
          </cell>
          <cell r="Q1122" t="str">
            <v>強化素材</v>
          </cell>
          <cell r="R1122">
            <v>3</v>
          </cell>
          <cell r="S1122" t="str">
            <v>NULL</v>
          </cell>
          <cell r="T1122" t="str">
            <v>super</v>
          </cell>
          <cell r="U1122" t="str">
            <v>NULL</v>
          </cell>
          <cell r="V1122" t="str">
            <v>NULL</v>
          </cell>
          <cell r="W1122" t="str">
            <v>NULL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  <cell r="N1123" t="str">
            <v>アカデミア</v>
          </cell>
          <cell r="O1123" t="str">
            <v>machine</v>
          </cell>
          <cell r="P1123" t="str">
            <v>マシン</v>
          </cell>
          <cell r="Q1123" t="str">
            <v>強化素材</v>
          </cell>
          <cell r="R1123">
            <v>3</v>
          </cell>
          <cell r="S1123" t="str">
            <v>NULL</v>
          </cell>
          <cell r="T1123" t="str">
            <v>super</v>
          </cell>
          <cell r="U1123" t="str">
            <v>NULL</v>
          </cell>
          <cell r="V1123" t="str">
            <v>NULL</v>
          </cell>
          <cell r="W1123" t="str">
            <v>NULL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  <cell r="N1124" t="str">
            <v>アカデミア</v>
          </cell>
          <cell r="O1124" t="str">
            <v>none</v>
          </cell>
          <cell r="P1124" t="str">
            <v>種族なし</v>
          </cell>
          <cell r="Q1124" t="str">
            <v>強化素材</v>
          </cell>
          <cell r="R1124">
            <v>3</v>
          </cell>
          <cell r="S1124" t="str">
            <v>NULL</v>
          </cell>
          <cell r="T1124" t="str">
            <v>super</v>
          </cell>
          <cell r="U1124" t="str">
            <v>NULL</v>
          </cell>
          <cell r="V1124" t="str">
            <v>NULL</v>
          </cell>
          <cell r="W1124" t="str">
            <v>NULL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  <cell r="N1125" t="str">
            <v>アカデミア</v>
          </cell>
          <cell r="O1125" t="str">
            <v>none</v>
          </cell>
          <cell r="P1125" t="str">
            <v>種族なし</v>
          </cell>
          <cell r="Q1125" t="str">
            <v>強化素材</v>
          </cell>
          <cell r="R1125">
            <v>3</v>
          </cell>
          <cell r="S1125" t="str">
            <v>NULL</v>
          </cell>
          <cell r="T1125" t="str">
            <v>super</v>
          </cell>
          <cell r="U1125" t="str">
            <v>NULL</v>
          </cell>
          <cell r="V1125" t="str">
            <v>NULL</v>
          </cell>
          <cell r="W1125" t="str">
            <v>NULL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  <cell r="N1126" t="str">
            <v>アカデミア</v>
          </cell>
          <cell r="O1126" t="str">
            <v>animal</v>
          </cell>
          <cell r="P1126" t="str">
            <v>アニマル</v>
          </cell>
          <cell r="Q1126" t="str">
            <v>強化素材</v>
          </cell>
          <cell r="R1126">
            <v>3</v>
          </cell>
          <cell r="S1126" t="str">
            <v>NULL</v>
          </cell>
          <cell r="T1126" t="str">
            <v>super</v>
          </cell>
          <cell r="U1126" t="str">
            <v>NULL</v>
          </cell>
          <cell r="V1126" t="str">
            <v>NULL</v>
          </cell>
          <cell r="W1126" t="str">
            <v>NULL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  <cell r="N1127" t="str">
            <v>アカデミア</v>
          </cell>
          <cell r="O1127" t="str">
            <v>machine</v>
          </cell>
          <cell r="P1127" t="str">
            <v>マシン</v>
          </cell>
          <cell r="Q1127" t="str">
            <v>アタッカー</v>
          </cell>
          <cell r="R1127">
            <v>3</v>
          </cell>
          <cell r="S1127" t="str">
            <v>NULL</v>
          </cell>
          <cell r="T1127" t="str">
            <v>super</v>
          </cell>
          <cell r="U1127" t="str">
            <v>NULL</v>
          </cell>
          <cell r="V1127" t="str">
            <v>NULL</v>
          </cell>
          <cell r="W1127" t="str">
            <v>NULL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  <cell r="N1128" t="str">
            <v>アカデミア</v>
          </cell>
          <cell r="O1128" t="str">
            <v>animal</v>
          </cell>
          <cell r="P1128" t="str">
            <v>アニマル</v>
          </cell>
          <cell r="Q1128" t="str">
            <v>アタッカー</v>
          </cell>
          <cell r="R1128">
            <v>3</v>
          </cell>
          <cell r="S1128" t="str">
            <v>NULL</v>
          </cell>
          <cell r="T1128" t="str">
            <v>super</v>
          </cell>
          <cell r="U1128" t="str">
            <v>NULL</v>
          </cell>
          <cell r="V1128" t="str">
            <v>NULL</v>
          </cell>
          <cell r="W1128" t="str">
            <v>NULL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  <cell r="N1129" t="str">
            <v>アカデミア</v>
          </cell>
          <cell r="O1129" t="str">
            <v>none</v>
          </cell>
          <cell r="P1129" t="str">
            <v>種族なし</v>
          </cell>
          <cell r="Q1129" t="str">
            <v>アタッカー</v>
          </cell>
          <cell r="R1129">
            <v>3</v>
          </cell>
          <cell r="S1129" t="str">
            <v>NULL</v>
          </cell>
          <cell r="T1129" t="str">
            <v>super</v>
          </cell>
          <cell r="U1129" t="str">
            <v>NULL</v>
          </cell>
          <cell r="V1129" t="str">
            <v>NULL</v>
          </cell>
          <cell r="W1129" t="str">
            <v>NULL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  <cell r="N1130" t="str">
            <v>アニマル</v>
          </cell>
          <cell r="O1130" t="str">
            <v>none</v>
          </cell>
          <cell r="P1130" t="str">
            <v>種族なし</v>
          </cell>
          <cell r="Q1130" t="str">
            <v>アタッカー</v>
          </cell>
          <cell r="R1130">
            <v>3</v>
          </cell>
          <cell r="S1130" t="str">
            <v>NULL</v>
          </cell>
          <cell r="T1130" t="str">
            <v>normal</v>
          </cell>
          <cell r="U1130" t="str">
            <v>NULL</v>
          </cell>
          <cell r="V1130" t="str">
            <v>NULL</v>
          </cell>
          <cell r="W1130" t="str">
            <v>NULL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  <cell r="N1131" t="str">
            <v>アニマル</v>
          </cell>
          <cell r="O1131" t="str">
            <v>none</v>
          </cell>
          <cell r="P1131" t="str">
            <v>種族なし</v>
          </cell>
          <cell r="Q1131" t="str">
            <v>アタッカー</v>
          </cell>
          <cell r="R1131">
            <v>3</v>
          </cell>
          <cell r="S1131" t="str">
            <v>NULL</v>
          </cell>
          <cell r="T1131" t="str">
            <v>normal</v>
          </cell>
          <cell r="U1131" t="str">
            <v>NULL</v>
          </cell>
          <cell r="V1131" t="str">
            <v>NULL</v>
          </cell>
          <cell r="W1131" t="str">
            <v>NULL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  <cell r="N1132" t="str">
            <v>サムライ</v>
          </cell>
          <cell r="O1132" t="str">
            <v>human</v>
          </cell>
          <cell r="P1132" t="str">
            <v>ヒューマン</v>
          </cell>
          <cell r="Q1132" t="str">
            <v>アタッカー</v>
          </cell>
          <cell r="R1132">
            <v>3</v>
          </cell>
          <cell r="S1132" t="str">
            <v>NULL</v>
          </cell>
          <cell r="T1132" t="str">
            <v>normal</v>
          </cell>
          <cell r="U1132" t="str">
            <v>NULL</v>
          </cell>
          <cell r="V1132" t="str">
            <v>NULL</v>
          </cell>
          <cell r="W1132" t="str">
            <v>NULL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  <cell r="N1133" t="str">
            <v>サムライ</v>
          </cell>
          <cell r="O1133" t="str">
            <v>human</v>
          </cell>
          <cell r="P1133" t="str">
            <v>ヒューマン</v>
          </cell>
          <cell r="Q1133" t="str">
            <v>アタッカー</v>
          </cell>
          <cell r="R1133">
            <v>3</v>
          </cell>
          <cell r="S1133" t="str">
            <v>NULL</v>
          </cell>
          <cell r="T1133" t="str">
            <v>normal</v>
          </cell>
          <cell r="U1133" t="str">
            <v>NULL</v>
          </cell>
          <cell r="V1133" t="str">
            <v>NULL</v>
          </cell>
          <cell r="W1133" t="str">
            <v>NULL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  <cell r="N1134" t="str">
            <v>サムライ</v>
          </cell>
          <cell r="O1134" t="str">
            <v>human</v>
          </cell>
          <cell r="P1134" t="str">
            <v>ヒューマン</v>
          </cell>
          <cell r="Q1134" t="str">
            <v>アタッカー</v>
          </cell>
          <cell r="R1134">
            <v>3</v>
          </cell>
          <cell r="S1134" t="str">
            <v>NULL</v>
          </cell>
          <cell r="T1134" t="str">
            <v>normal</v>
          </cell>
          <cell r="U1134" t="str">
            <v>NULL</v>
          </cell>
          <cell r="V1134" t="str">
            <v>NULL</v>
          </cell>
          <cell r="W1134" t="str">
            <v>NULL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  <cell r="N1135" t="str">
            <v>サムライ</v>
          </cell>
          <cell r="O1135" t="str">
            <v>human</v>
          </cell>
          <cell r="P1135" t="str">
            <v>ヒューマン</v>
          </cell>
          <cell r="Q1135" t="str">
            <v>アタッカー</v>
          </cell>
          <cell r="R1135">
            <v>3</v>
          </cell>
          <cell r="S1135" t="str">
            <v>NULL</v>
          </cell>
          <cell r="T1135" t="str">
            <v>normal</v>
          </cell>
          <cell r="U1135" t="str">
            <v>NULL</v>
          </cell>
          <cell r="V1135" t="str">
            <v>NULL</v>
          </cell>
          <cell r="W1135" t="str">
            <v>NULL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  <cell r="N1136" t="str">
            <v>サムライ</v>
          </cell>
          <cell r="O1136" t="str">
            <v>human</v>
          </cell>
          <cell r="P1136" t="str">
            <v>ヒューマン</v>
          </cell>
          <cell r="Q1136" t="str">
            <v>アタッカー</v>
          </cell>
          <cell r="R1136">
            <v>3</v>
          </cell>
          <cell r="S1136" t="str">
            <v>NULL</v>
          </cell>
          <cell r="T1136" t="str">
            <v>normal</v>
          </cell>
          <cell r="U1136" t="str">
            <v>NULL</v>
          </cell>
          <cell r="V1136" t="str">
            <v>NULL</v>
          </cell>
          <cell r="W1136" t="str">
            <v>NULL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  <cell r="N1137" t="str">
            <v>サムライ</v>
          </cell>
          <cell r="O1137" t="str">
            <v>human</v>
          </cell>
          <cell r="P1137" t="str">
            <v>ヒューマン</v>
          </cell>
          <cell r="Q1137" t="str">
            <v>アタッカー</v>
          </cell>
          <cell r="R1137">
            <v>3</v>
          </cell>
          <cell r="S1137" t="str">
            <v>NULL</v>
          </cell>
          <cell r="T1137" t="str">
            <v>normal</v>
          </cell>
          <cell r="U1137" t="str">
            <v>NULL</v>
          </cell>
          <cell r="V1137" t="str">
            <v>NULL</v>
          </cell>
          <cell r="W1137" t="str">
            <v>NULL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  <cell r="N1138" t="str">
            <v>サムライ</v>
          </cell>
          <cell r="O1138" t="str">
            <v>human</v>
          </cell>
          <cell r="P1138" t="str">
            <v>ヒューマン</v>
          </cell>
          <cell r="Q1138" t="str">
            <v>アタッカー</v>
          </cell>
          <cell r="R1138">
            <v>3</v>
          </cell>
          <cell r="S1138" t="str">
            <v>NULL</v>
          </cell>
          <cell r="T1138" t="str">
            <v>normal</v>
          </cell>
          <cell r="U1138" t="str">
            <v>NULL</v>
          </cell>
          <cell r="V1138" t="str">
            <v>NULL</v>
          </cell>
          <cell r="W1138" t="str">
            <v>NULL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  <cell r="N1139" t="str">
            <v>サムライ</v>
          </cell>
          <cell r="O1139" t="str">
            <v>human</v>
          </cell>
          <cell r="P1139" t="str">
            <v>ヒューマン</v>
          </cell>
          <cell r="Q1139" t="str">
            <v>アタッカー</v>
          </cell>
          <cell r="R1139">
            <v>3</v>
          </cell>
          <cell r="S1139" t="str">
            <v>NULL</v>
          </cell>
          <cell r="T1139" t="str">
            <v>normal</v>
          </cell>
          <cell r="U1139" t="str">
            <v>NULL</v>
          </cell>
          <cell r="V1139" t="str">
            <v>NULL</v>
          </cell>
          <cell r="W1139" t="str">
            <v>NULL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  <cell r="N1140" t="str">
            <v>サムライ</v>
          </cell>
          <cell r="O1140" t="str">
            <v>human</v>
          </cell>
          <cell r="P1140" t="str">
            <v>ヒューマン</v>
          </cell>
          <cell r="Q1140" t="str">
            <v>アタッカー</v>
          </cell>
          <cell r="R1140">
            <v>3</v>
          </cell>
          <cell r="S1140" t="str">
            <v>NULL</v>
          </cell>
          <cell r="T1140" t="str">
            <v>normal</v>
          </cell>
          <cell r="U1140" t="str">
            <v>NULL</v>
          </cell>
          <cell r="V1140" t="str">
            <v>NULL</v>
          </cell>
          <cell r="W1140" t="str">
            <v>NULL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  <cell r="N1141" t="str">
            <v>サムライ</v>
          </cell>
          <cell r="O1141" t="str">
            <v>human</v>
          </cell>
          <cell r="P1141" t="str">
            <v>ヒューマン</v>
          </cell>
          <cell r="Q1141" t="str">
            <v>アタッカー</v>
          </cell>
          <cell r="R1141">
            <v>3</v>
          </cell>
          <cell r="S1141" t="str">
            <v>NULL</v>
          </cell>
          <cell r="T1141" t="str">
            <v>normal</v>
          </cell>
          <cell r="U1141" t="str">
            <v>NULL</v>
          </cell>
          <cell r="V1141" t="str">
            <v>NULL</v>
          </cell>
          <cell r="W1141" t="str">
            <v>NULL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  <cell r="N1142" t="str">
            <v>ヒューマン</v>
          </cell>
          <cell r="O1142" t="str">
            <v>machine</v>
          </cell>
          <cell r="P1142" t="str">
            <v>マシン</v>
          </cell>
          <cell r="Q1142" t="str">
            <v>アタッカー</v>
          </cell>
          <cell r="R1142">
            <v>3</v>
          </cell>
          <cell r="S1142" t="str">
            <v>NULL</v>
          </cell>
          <cell r="T1142" t="str">
            <v>normal</v>
          </cell>
          <cell r="U1142" t="str">
            <v>NULL</v>
          </cell>
          <cell r="V1142" t="str">
            <v>NULL</v>
          </cell>
          <cell r="W1142" t="str">
            <v>NULL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  <cell r="N1143" t="str">
            <v>ヒューマン</v>
          </cell>
          <cell r="O1143" t="str">
            <v>machine</v>
          </cell>
          <cell r="P1143" t="str">
            <v>マシン</v>
          </cell>
          <cell r="Q1143" t="str">
            <v>アタッカー</v>
          </cell>
          <cell r="R1143">
            <v>3</v>
          </cell>
          <cell r="S1143" t="str">
            <v>NULL</v>
          </cell>
          <cell r="T1143" t="str">
            <v>normal</v>
          </cell>
          <cell r="U1143" t="str">
            <v>NULL</v>
          </cell>
          <cell r="V1143" t="str">
            <v>NULL</v>
          </cell>
          <cell r="W1143" t="str">
            <v>NULL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  <cell r="N1144" t="str">
            <v>サムライ</v>
          </cell>
          <cell r="O1144" t="str">
            <v>human</v>
          </cell>
          <cell r="P1144" t="str">
            <v>ヒューマン</v>
          </cell>
          <cell r="Q1144" t="str">
            <v>アタッカー</v>
          </cell>
          <cell r="R1144">
            <v>3</v>
          </cell>
          <cell r="S1144" t="str">
            <v>NULL</v>
          </cell>
          <cell r="T1144" t="str">
            <v>normal</v>
          </cell>
          <cell r="U1144" t="str">
            <v>NULL</v>
          </cell>
          <cell r="V1144" t="str">
            <v>NULL</v>
          </cell>
          <cell r="W1144" t="str">
            <v>NULL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  <cell r="N1145" t="str">
            <v>サムライ</v>
          </cell>
          <cell r="O1145" t="str">
            <v>human</v>
          </cell>
          <cell r="P1145" t="str">
            <v>ヒューマン</v>
          </cell>
          <cell r="Q1145" t="str">
            <v>アタッカー</v>
          </cell>
          <cell r="R1145">
            <v>3</v>
          </cell>
          <cell r="S1145" t="str">
            <v>NULL</v>
          </cell>
          <cell r="T1145" t="str">
            <v>normal</v>
          </cell>
          <cell r="U1145" t="str">
            <v>NULL</v>
          </cell>
          <cell r="V1145" t="str">
            <v>NULL</v>
          </cell>
          <cell r="W1145" t="str">
            <v>NULL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  <cell r="N1146" t="str">
            <v>ドラゴン</v>
          </cell>
          <cell r="O1146" t="str">
            <v>none</v>
          </cell>
          <cell r="P1146" t="str">
            <v>種族なし</v>
          </cell>
          <cell r="Q1146" t="str">
            <v>アタッカー</v>
          </cell>
          <cell r="R1146">
            <v>3</v>
          </cell>
          <cell r="S1146" t="str">
            <v>NULL</v>
          </cell>
          <cell r="T1146" t="str">
            <v>normal</v>
          </cell>
          <cell r="U1146" t="str">
            <v>NULL</v>
          </cell>
          <cell r="V1146" t="str">
            <v>NULL</v>
          </cell>
          <cell r="W1146" t="str">
            <v>NULL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  <cell r="N1147" t="str">
            <v>ドラゴン</v>
          </cell>
          <cell r="O1147" t="str">
            <v>none</v>
          </cell>
          <cell r="P1147" t="str">
            <v>種族なし</v>
          </cell>
          <cell r="Q1147" t="str">
            <v>アタッカー</v>
          </cell>
          <cell r="R1147">
            <v>3</v>
          </cell>
          <cell r="S1147" t="str">
            <v>NULL</v>
          </cell>
          <cell r="T1147" t="str">
            <v>normal</v>
          </cell>
          <cell r="U1147" t="str">
            <v>NULL</v>
          </cell>
          <cell r="V1147" t="str">
            <v>NULL</v>
          </cell>
          <cell r="W1147" t="str">
            <v>NULL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  <cell r="N1148" t="str">
            <v>ゴッド</v>
          </cell>
          <cell r="O1148" t="str">
            <v>demon</v>
          </cell>
          <cell r="P1148" t="str">
            <v>デーモン</v>
          </cell>
          <cell r="Q1148" t="str">
            <v>アタッカー</v>
          </cell>
          <cell r="R1148">
            <v>3</v>
          </cell>
          <cell r="S1148" t="str">
            <v>NULL</v>
          </cell>
          <cell r="T1148" t="str">
            <v>normal</v>
          </cell>
          <cell r="U1148" t="str">
            <v>NULL</v>
          </cell>
          <cell r="V1148" t="str">
            <v>NULL</v>
          </cell>
          <cell r="W1148" t="str">
            <v>NULL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  <cell r="N1149" t="str">
            <v>ゴッド</v>
          </cell>
          <cell r="O1149" t="str">
            <v>demon</v>
          </cell>
          <cell r="P1149" t="str">
            <v>デーモン</v>
          </cell>
          <cell r="Q1149" t="str">
            <v>アタッカー</v>
          </cell>
          <cell r="R1149">
            <v>3</v>
          </cell>
          <cell r="S1149" t="str">
            <v>NULL</v>
          </cell>
          <cell r="T1149" t="str">
            <v>normal</v>
          </cell>
          <cell r="U1149" t="str">
            <v>NULL</v>
          </cell>
          <cell r="V1149" t="str">
            <v>NULL</v>
          </cell>
          <cell r="W1149" t="str">
            <v>NULL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  <cell r="N1150" t="str">
            <v>ゴッド</v>
          </cell>
          <cell r="O1150" t="str">
            <v>none</v>
          </cell>
          <cell r="P1150" t="str">
            <v>種族なし</v>
          </cell>
          <cell r="Q1150" t="str">
            <v>アタッカー</v>
          </cell>
          <cell r="R1150">
            <v>3</v>
          </cell>
          <cell r="S1150" t="str">
            <v>NULL</v>
          </cell>
          <cell r="T1150" t="str">
            <v>normal</v>
          </cell>
          <cell r="U1150" t="str">
            <v>NULL</v>
          </cell>
          <cell r="V1150" t="str">
            <v>NULL</v>
          </cell>
          <cell r="W1150" t="str">
            <v>NULL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  <cell r="N1151" t="str">
            <v>ゴッド</v>
          </cell>
          <cell r="O1151" t="str">
            <v>none</v>
          </cell>
          <cell r="P1151" t="str">
            <v>種族なし</v>
          </cell>
          <cell r="Q1151" t="str">
            <v>アタッカー</v>
          </cell>
          <cell r="R1151">
            <v>3</v>
          </cell>
          <cell r="S1151" t="str">
            <v>NULL</v>
          </cell>
          <cell r="T1151" t="str">
            <v>normal</v>
          </cell>
          <cell r="U1151" t="str">
            <v>NULL</v>
          </cell>
          <cell r="V1151" t="str">
            <v>NULL</v>
          </cell>
          <cell r="W1151" t="str">
            <v>NULL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  <cell r="N1152" t="str">
            <v>ゴッド</v>
          </cell>
          <cell r="O1152" t="str">
            <v>animal</v>
          </cell>
          <cell r="P1152" t="str">
            <v>アニマル</v>
          </cell>
          <cell r="Q1152" t="str">
            <v>アタッカー</v>
          </cell>
          <cell r="R1152">
            <v>3</v>
          </cell>
          <cell r="S1152" t="str">
            <v>NULL</v>
          </cell>
          <cell r="T1152" t="str">
            <v>normal</v>
          </cell>
          <cell r="U1152" t="str">
            <v>NULL</v>
          </cell>
          <cell r="V1152" t="str">
            <v>NULL</v>
          </cell>
          <cell r="W1152" t="str">
            <v>NULL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  <cell r="N1153" t="str">
            <v>ゴッド</v>
          </cell>
          <cell r="O1153" t="str">
            <v>animal</v>
          </cell>
          <cell r="P1153" t="str">
            <v>アニマル</v>
          </cell>
          <cell r="Q1153" t="str">
            <v>アタッカー</v>
          </cell>
          <cell r="R1153">
            <v>3</v>
          </cell>
          <cell r="S1153" t="str">
            <v>NULL</v>
          </cell>
          <cell r="T1153" t="str">
            <v>normal</v>
          </cell>
          <cell r="U1153" t="str">
            <v>NULL</v>
          </cell>
          <cell r="V1153" t="str">
            <v>NULL</v>
          </cell>
          <cell r="W1153" t="str">
            <v>NULL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  <cell r="N1154" t="str">
            <v>ゴッド</v>
          </cell>
          <cell r="O1154" t="str">
            <v>none</v>
          </cell>
          <cell r="P1154" t="str">
            <v>種族なし</v>
          </cell>
          <cell r="Q1154" t="str">
            <v>アタッカー</v>
          </cell>
          <cell r="R1154">
            <v>3</v>
          </cell>
          <cell r="S1154" t="str">
            <v>NULL</v>
          </cell>
          <cell r="T1154" t="str">
            <v>normal</v>
          </cell>
          <cell r="U1154" t="str">
            <v>NULL</v>
          </cell>
          <cell r="V1154" t="str">
            <v>NULL</v>
          </cell>
          <cell r="W1154" t="str">
            <v>NULL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  <cell r="N1155" t="str">
            <v>ゴッド</v>
          </cell>
          <cell r="O1155" t="str">
            <v>none</v>
          </cell>
          <cell r="P1155" t="str">
            <v>種族なし</v>
          </cell>
          <cell r="Q1155" t="str">
            <v>アタッカー</v>
          </cell>
          <cell r="R1155">
            <v>3</v>
          </cell>
          <cell r="S1155" t="str">
            <v>NULL</v>
          </cell>
          <cell r="T1155" t="str">
            <v>normal</v>
          </cell>
          <cell r="U1155" t="str">
            <v>NULL</v>
          </cell>
          <cell r="V1155" t="str">
            <v>NULL</v>
          </cell>
          <cell r="W1155" t="str">
            <v>NULL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  <cell r="N1156" t="str">
            <v>ゴッド</v>
          </cell>
          <cell r="O1156" t="str">
            <v>none</v>
          </cell>
          <cell r="P1156" t="str">
            <v>種族なし</v>
          </cell>
          <cell r="Q1156" t="str">
            <v>アタッカー</v>
          </cell>
          <cell r="R1156">
            <v>3</v>
          </cell>
          <cell r="S1156" t="str">
            <v>NULL</v>
          </cell>
          <cell r="T1156" t="str">
            <v>normal</v>
          </cell>
          <cell r="U1156" t="str">
            <v>NULL</v>
          </cell>
          <cell r="V1156" t="str">
            <v>NULL</v>
          </cell>
          <cell r="W1156" t="str">
            <v>NULL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  <cell r="N1157" t="str">
            <v>ゴッド</v>
          </cell>
          <cell r="O1157" t="str">
            <v>none</v>
          </cell>
          <cell r="P1157" t="str">
            <v>種族なし</v>
          </cell>
          <cell r="Q1157" t="str">
            <v>アタッカー</v>
          </cell>
          <cell r="R1157">
            <v>3</v>
          </cell>
          <cell r="S1157" t="str">
            <v>NULL</v>
          </cell>
          <cell r="T1157" t="str">
            <v>normal</v>
          </cell>
          <cell r="U1157" t="str">
            <v>NULL</v>
          </cell>
          <cell r="V1157" t="str">
            <v>NULL</v>
          </cell>
          <cell r="W1157" t="str">
            <v>NULL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  <cell r="N1158" t="str">
            <v>ゴッド</v>
          </cell>
          <cell r="O1158" t="str">
            <v>machine</v>
          </cell>
          <cell r="P1158" t="str">
            <v>マシン</v>
          </cell>
          <cell r="Q1158" t="str">
            <v>アタッカー</v>
          </cell>
          <cell r="R1158">
            <v>3</v>
          </cell>
          <cell r="S1158" t="str">
            <v>NULL</v>
          </cell>
          <cell r="T1158" t="str">
            <v>normal</v>
          </cell>
          <cell r="U1158" t="str">
            <v>NULL</v>
          </cell>
          <cell r="V1158" t="str">
            <v>NULL</v>
          </cell>
          <cell r="W1158" t="str">
            <v>NULL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  <cell r="N1159" t="str">
            <v>ゴッド</v>
          </cell>
          <cell r="O1159" t="str">
            <v>machine</v>
          </cell>
          <cell r="P1159" t="str">
            <v>マシン</v>
          </cell>
          <cell r="Q1159" t="str">
            <v>アタッカー</v>
          </cell>
          <cell r="R1159">
            <v>3</v>
          </cell>
          <cell r="S1159" t="str">
            <v>NULL</v>
          </cell>
          <cell r="T1159" t="str">
            <v>normal</v>
          </cell>
          <cell r="U1159" t="str">
            <v>NULL</v>
          </cell>
          <cell r="V1159" t="str">
            <v>NULL</v>
          </cell>
          <cell r="W1159" t="str">
            <v>NULL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  <cell r="N1160" t="str">
            <v>アカデミア</v>
          </cell>
          <cell r="O1160" t="str">
            <v>none</v>
          </cell>
          <cell r="P1160" t="str">
            <v>種族なし</v>
          </cell>
          <cell r="Q1160" t="str">
            <v>アタッカー</v>
          </cell>
          <cell r="R1160">
            <v>3</v>
          </cell>
          <cell r="S1160" t="str">
            <v>NULL</v>
          </cell>
          <cell r="T1160" t="str">
            <v>normal</v>
          </cell>
          <cell r="U1160" t="str">
            <v>NULL</v>
          </cell>
          <cell r="V1160" t="str">
            <v>NULL</v>
          </cell>
          <cell r="W1160" t="str">
            <v>NULL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  <cell r="N1161" t="str">
            <v>アカデミア</v>
          </cell>
          <cell r="O1161" t="str">
            <v>none</v>
          </cell>
          <cell r="P1161" t="str">
            <v>種族なし</v>
          </cell>
          <cell r="Q1161" t="str">
            <v>アタッカー</v>
          </cell>
          <cell r="R1161">
            <v>3</v>
          </cell>
          <cell r="S1161" t="str">
            <v>NULL</v>
          </cell>
          <cell r="T1161" t="str">
            <v>normal</v>
          </cell>
          <cell r="U1161" t="str">
            <v>NULL</v>
          </cell>
          <cell r="V1161" t="str">
            <v>NULL</v>
          </cell>
          <cell r="W1161" t="str">
            <v>NULL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  <cell r="N1162" t="str">
            <v>アカデミア</v>
          </cell>
          <cell r="O1162" t="str">
            <v>unknown</v>
          </cell>
          <cell r="P1162" t="str">
            <v>Unknown</v>
          </cell>
          <cell r="Q1162" t="str">
            <v>アタッカー</v>
          </cell>
          <cell r="R1162">
            <v>3</v>
          </cell>
          <cell r="S1162" t="str">
            <v>NULL</v>
          </cell>
          <cell r="T1162" t="str">
            <v>normal</v>
          </cell>
          <cell r="U1162" t="str">
            <v>NULL</v>
          </cell>
          <cell r="V1162" t="str">
            <v>NULL</v>
          </cell>
          <cell r="W1162" t="str">
            <v>NULL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  <cell r="N1163" t="str">
            <v>アカデミア</v>
          </cell>
          <cell r="O1163" t="str">
            <v>unknown</v>
          </cell>
          <cell r="P1163" t="str">
            <v>Unknown</v>
          </cell>
          <cell r="Q1163" t="str">
            <v>アタッカー</v>
          </cell>
          <cell r="R1163">
            <v>3</v>
          </cell>
          <cell r="S1163" t="str">
            <v>NULL</v>
          </cell>
          <cell r="T1163" t="str">
            <v>normal</v>
          </cell>
          <cell r="U1163" t="str">
            <v>NULL</v>
          </cell>
          <cell r="V1163" t="str">
            <v>NULL</v>
          </cell>
          <cell r="W1163" t="str">
            <v>NULL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  <cell r="N1164" t="str">
            <v>アカデミア</v>
          </cell>
          <cell r="O1164" t="str">
            <v>unknown</v>
          </cell>
          <cell r="P1164" t="str">
            <v>Unknown</v>
          </cell>
          <cell r="Q1164" t="str">
            <v>アタッカー</v>
          </cell>
          <cell r="R1164">
            <v>3</v>
          </cell>
          <cell r="S1164" t="str">
            <v>NULL</v>
          </cell>
          <cell r="T1164" t="str">
            <v>super</v>
          </cell>
          <cell r="U1164" t="str">
            <v>NULL</v>
          </cell>
          <cell r="V1164" t="str">
            <v>NULL</v>
          </cell>
          <cell r="W1164" t="str">
            <v>NULL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  <cell r="N1165" t="str">
            <v>ウェポン</v>
          </cell>
          <cell r="O1165" t="str">
            <v>none</v>
          </cell>
          <cell r="P1165" t="str">
            <v>種族なし</v>
          </cell>
          <cell r="Q1165" t="str">
            <v>アタッカー</v>
          </cell>
          <cell r="R1165">
            <v>3</v>
          </cell>
          <cell r="S1165" t="str">
            <v>NULL</v>
          </cell>
          <cell r="T1165" t="str">
            <v>normal</v>
          </cell>
          <cell r="U1165" t="str">
            <v>NULL</v>
          </cell>
          <cell r="V1165" t="str">
            <v>NULL</v>
          </cell>
          <cell r="W1165" t="str">
            <v>NULL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  <cell r="N1166" t="str">
            <v>ウェポン</v>
          </cell>
          <cell r="O1166" t="str">
            <v>none</v>
          </cell>
          <cell r="P1166" t="str">
            <v>種族なし</v>
          </cell>
          <cell r="Q1166" t="str">
            <v>アタッカー</v>
          </cell>
          <cell r="R1166">
            <v>3</v>
          </cell>
          <cell r="S1166" t="str">
            <v>NULL</v>
          </cell>
          <cell r="T1166" t="str">
            <v>normal</v>
          </cell>
          <cell r="U1166" t="str">
            <v>NULL</v>
          </cell>
          <cell r="V1166" t="str">
            <v>NULL</v>
          </cell>
          <cell r="W1166" t="str">
            <v>NULL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  <cell r="N1167" t="str">
            <v>ウェポン</v>
          </cell>
          <cell r="O1167" t="str">
            <v>unknown</v>
          </cell>
          <cell r="P1167" t="str">
            <v>Unknown</v>
          </cell>
          <cell r="Q1167" t="str">
            <v>アタッカー</v>
          </cell>
          <cell r="R1167">
            <v>3</v>
          </cell>
          <cell r="S1167" t="str">
            <v>NULL</v>
          </cell>
          <cell r="T1167" t="str">
            <v>normal</v>
          </cell>
          <cell r="U1167" t="str">
            <v>NULL</v>
          </cell>
          <cell r="V1167" t="str">
            <v>NULL</v>
          </cell>
          <cell r="W1167" t="str">
            <v>NULL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  <cell r="N1168" t="str">
            <v>ウェポン</v>
          </cell>
          <cell r="O1168" t="str">
            <v>unknown</v>
          </cell>
          <cell r="P1168" t="str">
            <v>Unknown</v>
          </cell>
          <cell r="Q1168" t="str">
            <v>アタッカー</v>
          </cell>
          <cell r="R1168">
            <v>3</v>
          </cell>
          <cell r="S1168" t="str">
            <v>NULL</v>
          </cell>
          <cell r="T1168" t="str">
            <v>normal</v>
          </cell>
          <cell r="U1168" t="str">
            <v>NULL</v>
          </cell>
          <cell r="V1168" t="str">
            <v>NULL</v>
          </cell>
          <cell r="W1168" t="str">
            <v>NULL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  <cell r="N1169" t="str">
            <v>ウェポン</v>
          </cell>
          <cell r="O1169" t="str">
            <v>none</v>
          </cell>
          <cell r="P1169" t="str">
            <v>種族なし</v>
          </cell>
          <cell r="Q1169" t="str">
            <v>アタッカー</v>
          </cell>
          <cell r="R1169">
            <v>3</v>
          </cell>
          <cell r="S1169" t="str">
            <v>NULL</v>
          </cell>
          <cell r="T1169" t="str">
            <v>normal</v>
          </cell>
          <cell r="U1169" t="str">
            <v>NULL</v>
          </cell>
          <cell r="V1169" t="str">
            <v>NULL</v>
          </cell>
          <cell r="W1169" t="str">
            <v>NULL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  <cell r="N1170" t="str">
            <v>ウェポン</v>
          </cell>
          <cell r="O1170" t="str">
            <v>none</v>
          </cell>
          <cell r="P1170" t="str">
            <v>種族なし</v>
          </cell>
          <cell r="Q1170" t="str">
            <v>アタッカー</v>
          </cell>
          <cell r="R1170">
            <v>3</v>
          </cell>
          <cell r="S1170" t="str">
            <v>NULL</v>
          </cell>
          <cell r="T1170" t="str">
            <v>normal</v>
          </cell>
          <cell r="U1170" t="str">
            <v>NULL</v>
          </cell>
          <cell r="V1170" t="str">
            <v>NULL</v>
          </cell>
          <cell r="W1170" t="str">
            <v>NULL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  <cell r="N1171" t="str">
            <v>ドラゴン</v>
          </cell>
          <cell r="O1171" t="str">
            <v>unknown</v>
          </cell>
          <cell r="P1171" t="str">
            <v>Unknown</v>
          </cell>
          <cell r="Q1171" t="str">
            <v>アタッカー</v>
          </cell>
          <cell r="R1171">
            <v>3</v>
          </cell>
          <cell r="S1171" t="str">
            <v>NULL</v>
          </cell>
          <cell r="T1171" t="str">
            <v>super</v>
          </cell>
          <cell r="U1171" t="str">
            <v>NULL</v>
          </cell>
          <cell r="V1171" t="str">
            <v>NULL</v>
          </cell>
          <cell r="W1171" t="str">
            <v>NULL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  <cell r="N1172" t="str">
            <v>アカデミア</v>
          </cell>
          <cell r="O1172" t="str">
            <v>none</v>
          </cell>
          <cell r="P1172" t="str">
            <v>種族なし</v>
          </cell>
          <cell r="Q1172" t="str">
            <v>アタッカー</v>
          </cell>
          <cell r="R1172">
            <v>3</v>
          </cell>
          <cell r="S1172" t="str">
            <v>NULL</v>
          </cell>
          <cell r="T1172" t="str">
            <v>super</v>
          </cell>
          <cell r="U1172" t="str">
            <v>NULL</v>
          </cell>
          <cell r="V1172" t="str">
            <v>NULL</v>
          </cell>
          <cell r="W1172" t="str">
            <v>NULL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  <cell r="N1173" t="str">
            <v>アカデミア</v>
          </cell>
          <cell r="O1173" t="str">
            <v>human</v>
          </cell>
          <cell r="P1173" t="str">
            <v>ヒューマン</v>
          </cell>
          <cell r="Q1173" t="str">
            <v>アタッカー</v>
          </cell>
          <cell r="R1173">
            <v>3</v>
          </cell>
          <cell r="S1173" t="str">
            <v>NULL</v>
          </cell>
          <cell r="T1173" t="str">
            <v>super</v>
          </cell>
          <cell r="U1173" t="str">
            <v>NULL</v>
          </cell>
          <cell r="V1173" t="str">
            <v>NULL</v>
          </cell>
          <cell r="W1173" t="str">
            <v>NULL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  <cell r="N1174" t="str">
            <v>Unknown</v>
          </cell>
          <cell r="O1174" t="str">
            <v>none</v>
          </cell>
          <cell r="P1174" t="str">
            <v>種族なし</v>
          </cell>
          <cell r="Q1174" t="str">
            <v>アタッカー</v>
          </cell>
          <cell r="R1174">
            <v>3</v>
          </cell>
          <cell r="S1174" t="str">
            <v>NULL</v>
          </cell>
          <cell r="T1174" t="str">
            <v>normal</v>
          </cell>
          <cell r="U1174" t="str">
            <v>NULL</v>
          </cell>
          <cell r="V1174" t="str">
            <v>NULL</v>
          </cell>
          <cell r="W1174" t="str">
            <v>NULL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  <cell r="N1175" t="str">
            <v>ゴッド</v>
          </cell>
          <cell r="O1175" t="str">
            <v>none</v>
          </cell>
          <cell r="P1175" t="str">
            <v>種族なし</v>
          </cell>
          <cell r="Q1175" t="str">
            <v>アタッカー</v>
          </cell>
          <cell r="R1175">
            <v>3</v>
          </cell>
          <cell r="S1175" t="str">
            <v>NULL</v>
          </cell>
          <cell r="T1175" t="str">
            <v>normal</v>
          </cell>
          <cell r="U1175" t="str">
            <v>NULL</v>
          </cell>
          <cell r="V1175" t="str">
            <v>NULL</v>
          </cell>
          <cell r="W1175" t="str">
            <v>NULL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  <cell r="N1176" t="str">
            <v>ヒューマン</v>
          </cell>
          <cell r="O1176" t="str">
            <v>none</v>
          </cell>
          <cell r="P1176" t="str">
            <v>種族なし</v>
          </cell>
          <cell r="Q1176" t="str">
            <v>アタッカー</v>
          </cell>
          <cell r="R1176">
            <v>3</v>
          </cell>
          <cell r="S1176" t="str">
            <v>NULL</v>
          </cell>
          <cell r="T1176" t="str">
            <v>super</v>
          </cell>
          <cell r="U1176" t="str">
            <v>NULL</v>
          </cell>
          <cell r="V1176" t="str">
            <v>NULL</v>
          </cell>
          <cell r="W1176" t="str">
            <v>NULL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  <cell r="N1177" t="str">
            <v>アカデミア</v>
          </cell>
          <cell r="O1177" t="str">
            <v>machine</v>
          </cell>
          <cell r="P1177" t="str">
            <v>マシン</v>
          </cell>
          <cell r="Q1177" t="str">
            <v>アタッカー</v>
          </cell>
          <cell r="R1177">
            <v>3</v>
          </cell>
          <cell r="S1177" t="str">
            <v>NULL</v>
          </cell>
          <cell r="T1177" t="str">
            <v>super</v>
          </cell>
          <cell r="U1177" t="str">
            <v>NULL</v>
          </cell>
          <cell r="V1177" t="str">
            <v>NULL</v>
          </cell>
          <cell r="W1177" t="str">
            <v>NULL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  <cell r="N1178" t="str">
            <v>ヒューマン</v>
          </cell>
          <cell r="O1178" t="str">
            <v>none</v>
          </cell>
          <cell r="P1178" t="str">
            <v>種族なし</v>
          </cell>
          <cell r="Q1178" t="str">
            <v>アタッカー</v>
          </cell>
          <cell r="R1178">
            <v>3</v>
          </cell>
          <cell r="S1178" t="str">
            <v>NULL</v>
          </cell>
          <cell r="T1178" t="str">
            <v>super</v>
          </cell>
          <cell r="U1178" t="str">
            <v>NULL</v>
          </cell>
          <cell r="V1178" t="str">
            <v>NULL</v>
          </cell>
          <cell r="W1178" t="str">
            <v>NULL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  <cell r="N1179" t="str">
            <v>ヒューマン</v>
          </cell>
          <cell r="O1179" t="str">
            <v>unknown</v>
          </cell>
          <cell r="P1179" t="str">
            <v>Unknown</v>
          </cell>
          <cell r="Q1179" t="str">
            <v>アタッカー</v>
          </cell>
          <cell r="R1179">
            <v>1</v>
          </cell>
          <cell r="S1179" t="str">
            <v>NULL</v>
          </cell>
          <cell r="T1179" t="str">
            <v>super</v>
          </cell>
          <cell r="U1179" t="str">
            <v>NULL</v>
          </cell>
          <cell r="V1179" t="str">
            <v>NULL</v>
          </cell>
          <cell r="W1179" t="str">
            <v>NULL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  <cell r="N1180" t="str">
            <v>アカデミア</v>
          </cell>
          <cell r="O1180" t="str">
            <v>machine</v>
          </cell>
          <cell r="P1180" t="str">
            <v>マシン</v>
          </cell>
          <cell r="Q1180" t="str">
            <v>アタッカー</v>
          </cell>
          <cell r="R1180">
            <v>3</v>
          </cell>
          <cell r="S1180" t="str">
            <v>NULL</v>
          </cell>
          <cell r="T1180" t="str">
            <v>super</v>
          </cell>
          <cell r="U1180" t="str">
            <v>NULL</v>
          </cell>
          <cell r="V1180" t="str">
            <v>NULL</v>
          </cell>
          <cell r="W1180" t="str">
            <v>NULL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  <cell r="N1181" t="str">
            <v>マシン</v>
          </cell>
          <cell r="O1181" t="str">
            <v>god</v>
          </cell>
          <cell r="P1181" t="str">
            <v>ゴッド</v>
          </cell>
          <cell r="Q1181" t="str">
            <v>アタッカー</v>
          </cell>
          <cell r="R1181">
            <v>3</v>
          </cell>
          <cell r="S1181" t="str">
            <v>NULL</v>
          </cell>
          <cell r="T1181" t="str">
            <v>super</v>
          </cell>
          <cell r="U1181" t="str">
            <v>NULL</v>
          </cell>
          <cell r="V1181" t="str">
            <v>NULL</v>
          </cell>
          <cell r="W1181" t="str">
            <v>NULL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  <cell r="N1182" t="str">
            <v>アカデミア</v>
          </cell>
          <cell r="O1182" t="str">
            <v>machine</v>
          </cell>
          <cell r="P1182" t="str">
            <v>マシン</v>
          </cell>
          <cell r="Q1182" t="str">
            <v>アタッカー</v>
          </cell>
          <cell r="R1182">
            <v>3</v>
          </cell>
          <cell r="S1182" t="str">
            <v>NULL</v>
          </cell>
          <cell r="T1182" t="str">
            <v>super</v>
          </cell>
          <cell r="U1182" t="str">
            <v>NULL</v>
          </cell>
          <cell r="V1182" t="str">
            <v>NULL</v>
          </cell>
          <cell r="W1182" t="str">
            <v>NULL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  <cell r="N1183" t="str">
            <v>アカデミア</v>
          </cell>
          <cell r="O1183" t="str">
            <v>none</v>
          </cell>
          <cell r="P1183" t="str">
            <v>種族なし</v>
          </cell>
          <cell r="Q1183" t="str">
            <v>アタッカー</v>
          </cell>
          <cell r="R1183">
            <v>3</v>
          </cell>
          <cell r="S1183" t="str">
            <v>NULL</v>
          </cell>
          <cell r="T1183" t="str">
            <v>super</v>
          </cell>
          <cell r="U1183" t="str">
            <v>NULL</v>
          </cell>
          <cell r="V1183" t="str">
            <v>NULL</v>
          </cell>
          <cell r="W1183" t="str">
            <v>NULL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  <cell r="N1184" t="str">
            <v>Unknown</v>
          </cell>
          <cell r="O1184" t="str">
            <v>none</v>
          </cell>
          <cell r="P1184" t="str">
            <v>種族なし</v>
          </cell>
          <cell r="Q1184" t="str">
            <v>アタッカー</v>
          </cell>
          <cell r="R1184">
            <v>1</v>
          </cell>
          <cell r="S1184" t="str">
            <v>NULL</v>
          </cell>
          <cell r="T1184" t="str">
            <v>super</v>
          </cell>
          <cell r="U1184" t="str">
            <v>NULL</v>
          </cell>
          <cell r="V1184" t="str">
            <v>NULL</v>
          </cell>
          <cell r="W1184" t="str">
            <v>NULL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  <cell r="N1185" t="str">
            <v>アカデミア</v>
          </cell>
          <cell r="O1185" t="str">
            <v>none</v>
          </cell>
          <cell r="P1185" t="str">
            <v>種族なし</v>
          </cell>
          <cell r="Q1185" t="str">
            <v>アタッカー</v>
          </cell>
          <cell r="R1185">
            <v>3</v>
          </cell>
          <cell r="S1185" t="str">
            <v>NULL</v>
          </cell>
          <cell r="T1185" t="str">
            <v>super</v>
          </cell>
          <cell r="U1185" t="str">
            <v>NULL</v>
          </cell>
          <cell r="V1185" t="str">
            <v>NULL</v>
          </cell>
          <cell r="W1185" t="str">
            <v>NULL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  <cell r="N1186" t="str">
            <v>アカデミア</v>
          </cell>
          <cell r="O1186" t="str">
            <v>animal</v>
          </cell>
          <cell r="P1186" t="str">
            <v>アニマル</v>
          </cell>
          <cell r="Q1186" t="str">
            <v>アタッカー</v>
          </cell>
          <cell r="R1186">
            <v>3</v>
          </cell>
          <cell r="S1186" t="str">
            <v>NULL</v>
          </cell>
          <cell r="T1186" t="str">
            <v>super</v>
          </cell>
          <cell r="U1186" t="str">
            <v>NULL</v>
          </cell>
          <cell r="V1186" t="str">
            <v>NULL</v>
          </cell>
          <cell r="W1186" t="str">
            <v>NULL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  <cell r="N1187" t="str">
            <v>アカデミア</v>
          </cell>
          <cell r="O1187" t="str">
            <v>machine</v>
          </cell>
          <cell r="P1187" t="str">
            <v>マシン</v>
          </cell>
          <cell r="R1187">
            <v>3</v>
          </cell>
          <cell r="S1187" t="str">
            <v>NULL</v>
          </cell>
          <cell r="T1187" t="str">
            <v>super</v>
          </cell>
          <cell r="U1187" t="str">
            <v>NULL</v>
          </cell>
          <cell r="V1187" t="str">
            <v>NULL</v>
          </cell>
          <cell r="W1187" t="str">
            <v>NULL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  <cell r="N1188" t="str">
            <v>Unknown</v>
          </cell>
          <cell r="O1188" t="str">
            <v>demon</v>
          </cell>
          <cell r="P1188" t="str">
            <v>デーモン</v>
          </cell>
          <cell r="R1188">
            <v>3</v>
          </cell>
          <cell r="S1188" t="str">
            <v>NULL</v>
          </cell>
          <cell r="T1188" t="str">
            <v>nomal</v>
          </cell>
          <cell r="U1188" t="str">
            <v>NULL</v>
          </cell>
          <cell r="V1188" t="str">
            <v>NULL</v>
          </cell>
          <cell r="W1188" t="str">
            <v>NULL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  <cell r="N1189" t="str">
            <v>Unknown</v>
          </cell>
          <cell r="O1189" t="str">
            <v>demon</v>
          </cell>
          <cell r="P1189" t="str">
            <v>デーモン</v>
          </cell>
          <cell r="R1189">
            <v>3</v>
          </cell>
          <cell r="S1189" t="str">
            <v>NULL</v>
          </cell>
          <cell r="T1189" t="str">
            <v>nomal</v>
          </cell>
          <cell r="U1189" t="str">
            <v>NULL</v>
          </cell>
          <cell r="V1189" t="str">
            <v>NULL</v>
          </cell>
          <cell r="W1189" t="str">
            <v>NULL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  <cell r="N1190" t="str">
            <v>Unknown</v>
          </cell>
          <cell r="O1190" t="str">
            <v>demon</v>
          </cell>
          <cell r="P1190" t="str">
            <v>デーモン</v>
          </cell>
          <cell r="R1190">
            <v>3</v>
          </cell>
          <cell r="S1190" t="str">
            <v>NULL</v>
          </cell>
          <cell r="T1190" t="str">
            <v>nomal</v>
          </cell>
          <cell r="U1190" t="str">
            <v>NULL</v>
          </cell>
          <cell r="V1190" t="str">
            <v>NULL</v>
          </cell>
          <cell r="W1190" t="str">
            <v>NULL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  <cell r="N1191" t="str">
            <v>Unknown</v>
          </cell>
          <cell r="O1191" t="str">
            <v>demon</v>
          </cell>
          <cell r="P1191" t="str">
            <v>デーモン</v>
          </cell>
          <cell r="R1191">
            <v>3</v>
          </cell>
          <cell r="S1191" t="str">
            <v>NULL</v>
          </cell>
          <cell r="T1191" t="str">
            <v>nomal</v>
          </cell>
          <cell r="U1191" t="str">
            <v>NULL</v>
          </cell>
          <cell r="V1191" t="str">
            <v>NULL</v>
          </cell>
          <cell r="W1191" t="str">
            <v>NULL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  <cell r="N1192" t="str">
            <v>Unknown</v>
          </cell>
          <cell r="O1192" t="str">
            <v>demon</v>
          </cell>
          <cell r="P1192" t="str">
            <v>デーモン</v>
          </cell>
          <cell r="Q1192" t="str">
            <v>アタッカー</v>
          </cell>
          <cell r="R1192">
            <v>3</v>
          </cell>
          <cell r="S1192" t="str">
            <v>NULL</v>
          </cell>
          <cell r="T1192" t="str">
            <v>normal</v>
          </cell>
          <cell r="U1192" t="str">
            <v>NULL</v>
          </cell>
          <cell r="V1192" t="str">
            <v>NULL</v>
          </cell>
          <cell r="W1192" t="str">
            <v>NULL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  <cell r="N1193" t="str">
            <v>Unknown</v>
          </cell>
          <cell r="O1193" t="str">
            <v>demon</v>
          </cell>
          <cell r="P1193" t="str">
            <v>デーモン</v>
          </cell>
          <cell r="Q1193" t="str">
            <v>アタッカー</v>
          </cell>
          <cell r="R1193">
            <v>3</v>
          </cell>
          <cell r="S1193" t="str">
            <v>NULL</v>
          </cell>
          <cell r="T1193" t="str">
            <v>normal</v>
          </cell>
          <cell r="U1193" t="str">
            <v>NULL</v>
          </cell>
          <cell r="V1193" t="str">
            <v>NULL</v>
          </cell>
          <cell r="W1193" t="str">
            <v>NULL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  <cell r="N1194" t="str">
            <v>ヒューマン</v>
          </cell>
          <cell r="O1194" t="str">
            <v>demon</v>
          </cell>
          <cell r="P1194" t="str">
            <v>デーモン</v>
          </cell>
          <cell r="Q1194" t="str">
            <v>アタッカー</v>
          </cell>
          <cell r="R1194">
            <v>3</v>
          </cell>
          <cell r="S1194" t="str">
            <v>NULL</v>
          </cell>
          <cell r="T1194" t="str">
            <v>normal</v>
          </cell>
          <cell r="U1194" t="str">
            <v>NULL</v>
          </cell>
          <cell r="V1194" t="str">
            <v>NULL</v>
          </cell>
          <cell r="W1194" t="str">
            <v>NULL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  <cell r="N1195" t="str">
            <v>Unknown</v>
          </cell>
          <cell r="O1195" t="str">
            <v>demon</v>
          </cell>
          <cell r="P1195" t="str">
            <v>デーモン</v>
          </cell>
          <cell r="Q1195" t="str">
            <v>アタッカー</v>
          </cell>
          <cell r="R1195">
            <v>3</v>
          </cell>
          <cell r="S1195" t="str">
            <v>NULL</v>
          </cell>
          <cell r="T1195" t="str">
            <v>normal</v>
          </cell>
          <cell r="U1195" t="str">
            <v>NULL</v>
          </cell>
          <cell r="V1195" t="str">
            <v>NULL</v>
          </cell>
          <cell r="W1195" t="str">
            <v>NULL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  <cell r="N1196" t="str">
            <v>Unknown</v>
          </cell>
          <cell r="O1196" t="str">
            <v>demon</v>
          </cell>
          <cell r="P1196" t="str">
            <v>デーモン</v>
          </cell>
          <cell r="Q1196" t="str">
            <v>アタッカー</v>
          </cell>
          <cell r="R1196">
            <v>3</v>
          </cell>
          <cell r="S1196" t="str">
            <v>NULL</v>
          </cell>
          <cell r="T1196" t="str">
            <v>normal</v>
          </cell>
          <cell r="U1196" t="str">
            <v>NULL</v>
          </cell>
          <cell r="V1196" t="str">
            <v>NULL</v>
          </cell>
          <cell r="W1196" t="str">
            <v>NULL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  <cell r="N1197" t="str">
            <v>ヒューマン</v>
          </cell>
          <cell r="O1197" t="str">
            <v>demon</v>
          </cell>
          <cell r="P1197" t="str">
            <v>デーモン</v>
          </cell>
          <cell r="Q1197" t="str">
            <v>アタッカー</v>
          </cell>
          <cell r="R1197">
            <v>3</v>
          </cell>
          <cell r="S1197" t="str">
            <v>NULL</v>
          </cell>
          <cell r="T1197" t="str">
            <v>normal</v>
          </cell>
          <cell r="U1197" t="str">
            <v>NULL</v>
          </cell>
          <cell r="V1197" t="str">
            <v>NULL</v>
          </cell>
          <cell r="W1197" t="str">
            <v>NULL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  <cell r="N1198" t="str">
            <v>デーモン</v>
          </cell>
          <cell r="O1198" t="str">
            <v>none</v>
          </cell>
          <cell r="P1198" t="str">
            <v>種族なし</v>
          </cell>
          <cell r="Q1198" t="str">
            <v>アタッカー</v>
          </cell>
          <cell r="R1198">
            <v>3</v>
          </cell>
          <cell r="S1198" t="str">
            <v>NULL</v>
          </cell>
          <cell r="T1198" t="str">
            <v>normal</v>
          </cell>
          <cell r="U1198" t="str">
            <v>NULL</v>
          </cell>
          <cell r="V1198" t="str">
            <v>NULL</v>
          </cell>
          <cell r="W1198" t="str">
            <v>NULL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  <cell r="N1199" t="str">
            <v>マシン</v>
          </cell>
          <cell r="O1199" t="str">
            <v>demon</v>
          </cell>
          <cell r="P1199" t="str">
            <v>デーモン</v>
          </cell>
          <cell r="Q1199" t="str">
            <v>アタッカー</v>
          </cell>
          <cell r="R1199">
            <v>3</v>
          </cell>
          <cell r="S1199" t="str">
            <v>NULL</v>
          </cell>
          <cell r="T1199" t="str">
            <v>normal</v>
          </cell>
          <cell r="U1199" t="str">
            <v>NULL</v>
          </cell>
          <cell r="V1199" t="str">
            <v>NULL</v>
          </cell>
          <cell r="W1199" t="str">
            <v>NULL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  <cell r="N1200" t="str">
            <v>アニマル</v>
          </cell>
          <cell r="O1200" t="str">
            <v>demon</v>
          </cell>
          <cell r="P1200" t="str">
            <v>デーモン</v>
          </cell>
          <cell r="Q1200" t="str">
            <v>アタッカー</v>
          </cell>
          <cell r="R1200">
            <v>3</v>
          </cell>
          <cell r="S1200" t="str">
            <v>NULL</v>
          </cell>
          <cell r="T1200" t="str">
            <v>normal</v>
          </cell>
          <cell r="U1200" t="str">
            <v>NULL</v>
          </cell>
          <cell r="V1200" t="str">
            <v>NULL</v>
          </cell>
          <cell r="W1200" t="str">
            <v>NULL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  <cell r="N1201" t="str">
            <v>Unknown</v>
          </cell>
          <cell r="O1201" t="str">
            <v>none</v>
          </cell>
          <cell r="P1201" t="str">
            <v>種族なし</v>
          </cell>
          <cell r="R1201">
            <v>3</v>
          </cell>
          <cell r="S1201" t="str">
            <v>NULL</v>
          </cell>
          <cell r="T1201" t="str">
            <v>normal</v>
          </cell>
          <cell r="U1201" t="str">
            <v>NULL</v>
          </cell>
          <cell r="V1201" t="str">
            <v>NULL</v>
          </cell>
          <cell r="W1201" t="str">
            <v>NULL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  <cell r="N1202" t="str">
            <v>Unknown</v>
          </cell>
          <cell r="O1202" t="str">
            <v>none</v>
          </cell>
          <cell r="P1202" t="str">
            <v>種族なし</v>
          </cell>
          <cell r="R1202">
            <v>3</v>
          </cell>
          <cell r="S1202" t="str">
            <v>NULL</v>
          </cell>
          <cell r="T1202" t="str">
            <v>normal</v>
          </cell>
          <cell r="U1202" t="str">
            <v>NULL</v>
          </cell>
          <cell r="V1202" t="str">
            <v>NULL</v>
          </cell>
          <cell r="W1202" t="str">
            <v>NULL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  <cell r="N1203" t="str">
            <v>ゴッド</v>
          </cell>
          <cell r="O1203" t="str">
            <v>unknown</v>
          </cell>
          <cell r="P1203" t="str">
            <v>Unknown</v>
          </cell>
          <cell r="R1203">
            <v>3</v>
          </cell>
          <cell r="S1203" t="str">
            <v>NULL</v>
          </cell>
          <cell r="T1203" t="str">
            <v>normal</v>
          </cell>
          <cell r="U1203" t="str">
            <v>NULL</v>
          </cell>
          <cell r="V1203" t="str">
            <v>NULL</v>
          </cell>
          <cell r="W1203" t="str">
            <v>NULL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  <cell r="N1204" t="str">
            <v>ゴッド</v>
          </cell>
          <cell r="O1204" t="str">
            <v>unknown</v>
          </cell>
          <cell r="P1204" t="str">
            <v>Unknown</v>
          </cell>
          <cell r="R1204">
            <v>3</v>
          </cell>
          <cell r="S1204" t="str">
            <v>NULL</v>
          </cell>
          <cell r="T1204" t="str">
            <v>normal</v>
          </cell>
          <cell r="U1204" t="str">
            <v>NULL</v>
          </cell>
          <cell r="V1204" t="str">
            <v>NULL</v>
          </cell>
          <cell r="W1204" t="str">
            <v>NULL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  <cell r="N1205" t="str">
            <v>ゴッド</v>
          </cell>
          <cell r="O1205" t="str">
            <v>dragon</v>
          </cell>
          <cell r="P1205" t="str">
            <v>ドラゴン</v>
          </cell>
          <cell r="R1205">
            <v>3</v>
          </cell>
          <cell r="S1205" t="str">
            <v>NULL</v>
          </cell>
          <cell r="T1205" t="str">
            <v>normal</v>
          </cell>
          <cell r="U1205" t="str">
            <v>NULL</v>
          </cell>
          <cell r="V1205" t="str">
            <v>NULL</v>
          </cell>
          <cell r="W1205" t="str">
            <v>NULL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  <cell r="N1206" t="str">
            <v>ゴッド</v>
          </cell>
          <cell r="O1206" t="str">
            <v>dragon</v>
          </cell>
          <cell r="P1206" t="str">
            <v>ドラゴン</v>
          </cell>
          <cell r="R1206">
            <v>3</v>
          </cell>
          <cell r="S1206" t="str">
            <v>NULL</v>
          </cell>
          <cell r="T1206" t="str">
            <v>normal</v>
          </cell>
          <cell r="U1206" t="str">
            <v>NULL</v>
          </cell>
          <cell r="V1206" t="str">
            <v>NULL</v>
          </cell>
          <cell r="W1206" t="str">
            <v>NULL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  <cell r="N1207" t="str">
            <v>ゴッド</v>
          </cell>
          <cell r="O1207" t="str">
            <v>none</v>
          </cell>
          <cell r="P1207" t="str">
            <v>種族なし</v>
          </cell>
          <cell r="R1207">
            <v>3</v>
          </cell>
          <cell r="S1207" t="str">
            <v>NULL</v>
          </cell>
          <cell r="T1207" t="str">
            <v>normal</v>
          </cell>
          <cell r="U1207" t="str">
            <v>NULL</v>
          </cell>
          <cell r="V1207" t="str">
            <v>NULL</v>
          </cell>
          <cell r="W1207" t="str">
            <v>NULL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  <cell r="N1208" t="str">
            <v>ゴッド</v>
          </cell>
          <cell r="O1208" t="str">
            <v>none</v>
          </cell>
          <cell r="P1208" t="str">
            <v>種族なし</v>
          </cell>
          <cell r="R1208">
            <v>3</v>
          </cell>
          <cell r="S1208" t="str">
            <v>NULL</v>
          </cell>
          <cell r="T1208" t="str">
            <v>normal</v>
          </cell>
          <cell r="U1208" t="str">
            <v>NULL</v>
          </cell>
          <cell r="V1208" t="str">
            <v>NULL</v>
          </cell>
          <cell r="W1208" t="str">
            <v>NULL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  <cell r="N1209" t="str">
            <v>ゴッド</v>
          </cell>
          <cell r="O1209" t="str">
            <v>animal</v>
          </cell>
          <cell r="P1209" t="str">
            <v>アニマル</v>
          </cell>
          <cell r="R1209">
            <v>3</v>
          </cell>
          <cell r="S1209" t="str">
            <v>NULL</v>
          </cell>
          <cell r="T1209" t="str">
            <v>normal</v>
          </cell>
          <cell r="U1209" t="str">
            <v>NULL</v>
          </cell>
          <cell r="V1209" t="str">
            <v>NULL</v>
          </cell>
          <cell r="W1209" t="str">
            <v>NULL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  <cell r="N1210" t="str">
            <v>ゴッド</v>
          </cell>
          <cell r="O1210" t="str">
            <v>animal</v>
          </cell>
          <cell r="P1210" t="str">
            <v>アニマル</v>
          </cell>
          <cell r="R1210">
            <v>3</v>
          </cell>
          <cell r="S1210" t="str">
            <v>NULL</v>
          </cell>
          <cell r="T1210" t="str">
            <v>normal</v>
          </cell>
          <cell r="U1210" t="str">
            <v>NULL</v>
          </cell>
          <cell r="V1210" t="str">
            <v>NULL</v>
          </cell>
          <cell r="W1210" t="str">
            <v>NULL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  <cell r="N1211" t="str">
            <v>ゴッド</v>
          </cell>
          <cell r="O1211" t="str">
            <v>none</v>
          </cell>
          <cell r="P1211" t="str">
            <v>種族なし</v>
          </cell>
          <cell r="R1211">
            <v>3</v>
          </cell>
          <cell r="S1211" t="str">
            <v>NULL</v>
          </cell>
          <cell r="T1211" t="str">
            <v>normal</v>
          </cell>
          <cell r="U1211" t="str">
            <v>NULL</v>
          </cell>
          <cell r="V1211" t="str">
            <v>NULL</v>
          </cell>
          <cell r="W1211" t="str">
            <v>NULL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  <cell r="N1212" t="str">
            <v>ゴッド</v>
          </cell>
          <cell r="O1212" t="str">
            <v>none</v>
          </cell>
          <cell r="P1212" t="str">
            <v>種族なし</v>
          </cell>
          <cell r="R1212">
            <v>3</v>
          </cell>
          <cell r="S1212" t="str">
            <v>NULL</v>
          </cell>
          <cell r="T1212" t="str">
            <v>normal</v>
          </cell>
          <cell r="U1212" t="str">
            <v>NULL</v>
          </cell>
          <cell r="V1212" t="str">
            <v>NULL</v>
          </cell>
          <cell r="W1212" t="str">
            <v>NULL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  <cell r="N1213" t="str">
            <v>ゴッド</v>
          </cell>
          <cell r="O1213" t="str">
            <v>unknown</v>
          </cell>
          <cell r="P1213" t="str">
            <v>Unknown</v>
          </cell>
          <cell r="R1213">
            <v>3</v>
          </cell>
          <cell r="S1213" t="str">
            <v>NULL</v>
          </cell>
          <cell r="T1213" t="str">
            <v>normal</v>
          </cell>
          <cell r="U1213" t="str">
            <v>NULL</v>
          </cell>
          <cell r="V1213" t="str">
            <v>NULL</v>
          </cell>
          <cell r="W1213" t="str">
            <v>NULL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  <cell r="N1214" t="str">
            <v>ゴッド</v>
          </cell>
          <cell r="O1214" t="str">
            <v>unknown</v>
          </cell>
          <cell r="P1214" t="str">
            <v>Unknown</v>
          </cell>
          <cell r="R1214">
            <v>3</v>
          </cell>
          <cell r="S1214" t="str">
            <v>NULL</v>
          </cell>
          <cell r="T1214" t="str">
            <v>normal</v>
          </cell>
          <cell r="U1214" t="str">
            <v>NULL</v>
          </cell>
          <cell r="V1214" t="str">
            <v>NULL</v>
          </cell>
          <cell r="W1214" t="str">
            <v>NULL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  <cell r="N1215" t="str">
            <v>ゴッド</v>
          </cell>
          <cell r="O1215" t="str">
            <v>animal</v>
          </cell>
          <cell r="P1215" t="str">
            <v>アニマル</v>
          </cell>
          <cell r="R1215">
            <v>3</v>
          </cell>
          <cell r="S1215" t="str">
            <v>NULL</v>
          </cell>
          <cell r="T1215" t="str">
            <v>normal</v>
          </cell>
          <cell r="U1215" t="str">
            <v>NULL</v>
          </cell>
          <cell r="V1215" t="str">
            <v>NULL</v>
          </cell>
          <cell r="W1215" t="str">
            <v>NULL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  <cell r="N1216" t="str">
            <v>ゴッド</v>
          </cell>
          <cell r="O1216" t="str">
            <v>animal</v>
          </cell>
          <cell r="P1216" t="str">
            <v>アニマル</v>
          </cell>
          <cell r="R1216">
            <v>3</v>
          </cell>
          <cell r="S1216" t="str">
            <v>NULL</v>
          </cell>
          <cell r="T1216" t="str">
            <v>normal</v>
          </cell>
          <cell r="U1216" t="str">
            <v>NULL</v>
          </cell>
          <cell r="V1216" t="str">
            <v>NULL</v>
          </cell>
          <cell r="W1216" t="str">
            <v>NULL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  <cell r="N1217" t="str">
            <v>ヒューマン</v>
          </cell>
          <cell r="O1217" t="str">
            <v>none</v>
          </cell>
          <cell r="P1217" t="str">
            <v>種族なし</v>
          </cell>
          <cell r="R1217">
            <v>3</v>
          </cell>
          <cell r="S1217" t="str">
            <v>NULL</v>
          </cell>
          <cell r="T1217" t="str">
            <v>normal</v>
          </cell>
          <cell r="U1217" t="str">
            <v>NULL</v>
          </cell>
          <cell r="V1217" t="str">
            <v>NULL</v>
          </cell>
          <cell r="W1217" t="str">
            <v>NULL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  <cell r="N1218" t="str">
            <v>ヒューマン</v>
          </cell>
          <cell r="O1218" t="str">
            <v>none</v>
          </cell>
          <cell r="P1218" t="str">
            <v>種族なし</v>
          </cell>
          <cell r="R1218">
            <v>3</v>
          </cell>
          <cell r="S1218" t="str">
            <v>NULL</v>
          </cell>
          <cell r="T1218" t="str">
            <v>normal</v>
          </cell>
          <cell r="U1218" t="str">
            <v>NULL</v>
          </cell>
          <cell r="V1218" t="str">
            <v>NULL</v>
          </cell>
          <cell r="W1218" t="str">
            <v>NULL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  <cell r="N1219" t="str">
            <v>ヒューマン</v>
          </cell>
          <cell r="O1219" t="str">
            <v>unknown</v>
          </cell>
          <cell r="P1219" t="str">
            <v>Unknown</v>
          </cell>
          <cell r="R1219">
            <v>3</v>
          </cell>
          <cell r="S1219" t="str">
            <v>NULL</v>
          </cell>
          <cell r="T1219" t="str">
            <v>normal</v>
          </cell>
          <cell r="U1219" t="str">
            <v>NULL</v>
          </cell>
          <cell r="V1219" t="str">
            <v>NULL</v>
          </cell>
          <cell r="W1219" t="str">
            <v>NULL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  <cell r="N1220" t="str">
            <v>ヒューマン</v>
          </cell>
          <cell r="O1220" t="str">
            <v>unknown</v>
          </cell>
          <cell r="P1220" t="str">
            <v>Unknown</v>
          </cell>
          <cell r="R1220">
            <v>3</v>
          </cell>
          <cell r="S1220" t="str">
            <v>NULL</v>
          </cell>
          <cell r="T1220" t="str">
            <v>normal</v>
          </cell>
          <cell r="U1220" t="str">
            <v>NULL</v>
          </cell>
          <cell r="V1220" t="str">
            <v>NULL</v>
          </cell>
          <cell r="W1220" t="str">
            <v>NULL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  <cell r="N1221" t="str">
            <v>ヒューマン</v>
          </cell>
          <cell r="O1221" t="str">
            <v>none</v>
          </cell>
          <cell r="P1221" t="str">
            <v>種族なし</v>
          </cell>
          <cell r="R1221">
            <v>3</v>
          </cell>
          <cell r="S1221" t="str">
            <v>NULL</v>
          </cell>
          <cell r="T1221" t="str">
            <v>normal</v>
          </cell>
          <cell r="U1221" t="str">
            <v>NULL</v>
          </cell>
          <cell r="V1221" t="str">
            <v>NULL</v>
          </cell>
          <cell r="W1221" t="str">
            <v>NULL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  <cell r="N1222" t="str">
            <v>ヒューマン</v>
          </cell>
          <cell r="O1222" t="str">
            <v>none</v>
          </cell>
          <cell r="P1222" t="str">
            <v>種族なし</v>
          </cell>
          <cell r="R1222">
            <v>3</v>
          </cell>
          <cell r="S1222" t="str">
            <v>NULL</v>
          </cell>
          <cell r="T1222" t="str">
            <v>normal</v>
          </cell>
          <cell r="U1222" t="str">
            <v>NULL</v>
          </cell>
          <cell r="V1222" t="str">
            <v>NULL</v>
          </cell>
          <cell r="W1222" t="str">
            <v>NULL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  <cell r="N1223" t="str">
            <v>ヒューマン</v>
          </cell>
          <cell r="O1223" t="str">
            <v>unknown</v>
          </cell>
          <cell r="P1223" t="str">
            <v>Unknown</v>
          </cell>
          <cell r="R1223">
            <v>3</v>
          </cell>
          <cell r="S1223" t="str">
            <v>NULL</v>
          </cell>
          <cell r="T1223" t="str">
            <v>normal</v>
          </cell>
          <cell r="U1223" t="str">
            <v>NULL</v>
          </cell>
          <cell r="V1223" t="str">
            <v>NULL</v>
          </cell>
          <cell r="W1223" t="str">
            <v>NULL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  <cell r="N1224" t="str">
            <v>ヒューマン</v>
          </cell>
          <cell r="O1224" t="str">
            <v>unknown</v>
          </cell>
          <cell r="P1224" t="str">
            <v>Unknown</v>
          </cell>
          <cell r="R1224">
            <v>3</v>
          </cell>
          <cell r="S1224" t="str">
            <v>NULL</v>
          </cell>
          <cell r="T1224" t="str">
            <v>normal</v>
          </cell>
          <cell r="U1224" t="str">
            <v>NULL</v>
          </cell>
          <cell r="V1224" t="str">
            <v>NULL</v>
          </cell>
          <cell r="W1224" t="str">
            <v>NULL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  <cell r="N1225" t="str">
            <v>ヒューマン</v>
          </cell>
          <cell r="O1225" t="str">
            <v>none</v>
          </cell>
          <cell r="P1225" t="str">
            <v>種族なし</v>
          </cell>
          <cell r="R1225">
            <v>3</v>
          </cell>
          <cell r="S1225" t="str">
            <v>NULL</v>
          </cell>
          <cell r="T1225" t="str">
            <v>normal</v>
          </cell>
          <cell r="U1225" t="str">
            <v>NULL</v>
          </cell>
          <cell r="V1225" t="str">
            <v>NULL</v>
          </cell>
          <cell r="W1225" t="str">
            <v>NULL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  <cell r="N1226" t="str">
            <v>ヒューマン</v>
          </cell>
          <cell r="O1226" t="str">
            <v>none</v>
          </cell>
          <cell r="P1226" t="str">
            <v>種族なし</v>
          </cell>
          <cell r="R1226">
            <v>3</v>
          </cell>
          <cell r="S1226" t="str">
            <v>NULL</v>
          </cell>
          <cell r="T1226" t="str">
            <v>normal</v>
          </cell>
          <cell r="U1226" t="str">
            <v>NULL</v>
          </cell>
          <cell r="V1226" t="str">
            <v>NULL</v>
          </cell>
          <cell r="W1226" t="str">
            <v>NULL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  <cell r="N1227" t="str">
            <v>ヒューマン</v>
          </cell>
          <cell r="O1227" t="str">
            <v>machine</v>
          </cell>
          <cell r="P1227" t="str">
            <v>マシン</v>
          </cell>
          <cell r="R1227">
            <v>3</v>
          </cell>
          <cell r="S1227" t="str">
            <v>NULL</v>
          </cell>
          <cell r="T1227" t="str">
            <v>normal</v>
          </cell>
          <cell r="U1227" t="str">
            <v>NULL</v>
          </cell>
          <cell r="V1227" t="str">
            <v>NULL</v>
          </cell>
          <cell r="W1227" t="str">
            <v>NULL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  <cell r="N1228" t="str">
            <v>ヒューマン</v>
          </cell>
          <cell r="O1228" t="str">
            <v>machine</v>
          </cell>
          <cell r="P1228" t="str">
            <v>マシン</v>
          </cell>
          <cell r="R1228">
            <v>3</v>
          </cell>
          <cell r="S1228" t="str">
            <v>NULL</v>
          </cell>
          <cell r="T1228" t="str">
            <v>normal</v>
          </cell>
          <cell r="U1228" t="str">
            <v>NULL</v>
          </cell>
          <cell r="V1228" t="str">
            <v>NULL</v>
          </cell>
          <cell r="W1228" t="str">
            <v>NULL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  <cell r="N1229" t="str">
            <v>ヒューマン</v>
          </cell>
          <cell r="O1229" t="str">
            <v>unknown</v>
          </cell>
          <cell r="P1229" t="str">
            <v>Unknown</v>
          </cell>
          <cell r="R1229">
            <v>3</v>
          </cell>
          <cell r="S1229" t="str">
            <v>NULL</v>
          </cell>
          <cell r="T1229" t="str">
            <v>normal</v>
          </cell>
          <cell r="U1229" t="str">
            <v>NULL</v>
          </cell>
          <cell r="V1229" t="str">
            <v>NULL</v>
          </cell>
          <cell r="W1229" t="str">
            <v>NULL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  <cell r="N1230" t="str">
            <v>ヒューマン</v>
          </cell>
          <cell r="O1230" t="str">
            <v>unknown</v>
          </cell>
          <cell r="P1230" t="str">
            <v>Unknown</v>
          </cell>
          <cell r="R1230">
            <v>3</v>
          </cell>
          <cell r="S1230" t="str">
            <v>NULL</v>
          </cell>
          <cell r="T1230" t="str">
            <v>normal</v>
          </cell>
          <cell r="U1230" t="str">
            <v>NULL</v>
          </cell>
          <cell r="V1230" t="str">
            <v>NULL</v>
          </cell>
          <cell r="W1230" t="str">
            <v>NULL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  <cell r="N1231" t="str">
            <v>アニマル</v>
          </cell>
          <cell r="O1231" t="str">
            <v>none</v>
          </cell>
          <cell r="P1231" t="str">
            <v>種族なし</v>
          </cell>
          <cell r="R1231">
            <v>3</v>
          </cell>
          <cell r="S1231" t="str">
            <v>NULL</v>
          </cell>
          <cell r="T1231" t="str">
            <v>normal</v>
          </cell>
          <cell r="U1231" t="str">
            <v>NULL</v>
          </cell>
          <cell r="V1231" t="str">
            <v>NULL</v>
          </cell>
          <cell r="W1231" t="str">
            <v>NULL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  <cell r="N1232" t="str">
            <v>アニマル</v>
          </cell>
          <cell r="O1232" t="str">
            <v>none</v>
          </cell>
          <cell r="P1232" t="str">
            <v>種族なし</v>
          </cell>
          <cell r="R1232">
            <v>3</v>
          </cell>
          <cell r="S1232" t="str">
            <v>NULL</v>
          </cell>
          <cell r="T1232" t="str">
            <v>normal</v>
          </cell>
          <cell r="U1232" t="str">
            <v>NULL</v>
          </cell>
          <cell r="V1232" t="str">
            <v>NULL</v>
          </cell>
          <cell r="W1232" t="str">
            <v>NULL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  <cell r="N1233" t="str">
            <v>アカデミア</v>
          </cell>
          <cell r="O1233" t="str">
            <v>unknown</v>
          </cell>
          <cell r="P1233" t="str">
            <v>Unknown</v>
          </cell>
          <cell r="R1233">
            <v>3</v>
          </cell>
          <cell r="S1233" t="str">
            <v>NULL</v>
          </cell>
          <cell r="T1233" t="str">
            <v>normal</v>
          </cell>
          <cell r="U1233" t="str">
            <v>NULL</v>
          </cell>
          <cell r="V1233" t="str">
            <v>NULL</v>
          </cell>
          <cell r="W1233" t="str">
            <v>NULL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  <cell r="N1234" t="str">
            <v>アカデミア</v>
          </cell>
          <cell r="O1234" t="str">
            <v>unknown</v>
          </cell>
          <cell r="P1234" t="str">
            <v>Unknown</v>
          </cell>
          <cell r="R1234">
            <v>3</v>
          </cell>
          <cell r="S1234" t="str">
            <v>NULL</v>
          </cell>
          <cell r="T1234" t="str">
            <v>normal</v>
          </cell>
          <cell r="U1234" t="str">
            <v>NULL</v>
          </cell>
          <cell r="V1234" t="str">
            <v>NULL</v>
          </cell>
          <cell r="W1234" t="str">
            <v>NULL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  <cell r="N1235" t="str">
            <v>アカデミア</v>
          </cell>
          <cell r="O1235" t="str">
            <v>human</v>
          </cell>
          <cell r="P1235" t="str">
            <v>ヒューマン</v>
          </cell>
          <cell r="R1235">
            <v>3</v>
          </cell>
          <cell r="S1235" t="str">
            <v>NULL</v>
          </cell>
          <cell r="T1235" t="str">
            <v>normal</v>
          </cell>
          <cell r="U1235" t="str">
            <v>NULL</v>
          </cell>
          <cell r="V1235" t="str">
            <v>NULL</v>
          </cell>
          <cell r="W1235" t="str">
            <v>NULL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  <cell r="N1236" t="str">
            <v>アカデミア</v>
          </cell>
          <cell r="O1236" t="str">
            <v>human</v>
          </cell>
          <cell r="P1236" t="str">
            <v>ヒューマン</v>
          </cell>
          <cell r="R1236">
            <v>3</v>
          </cell>
          <cell r="S1236" t="str">
            <v>NULL</v>
          </cell>
          <cell r="T1236" t="str">
            <v>normal</v>
          </cell>
          <cell r="U1236" t="str">
            <v>NULL</v>
          </cell>
          <cell r="V1236" t="str">
            <v>NULL</v>
          </cell>
          <cell r="W1236" t="str">
            <v>NULL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  <cell r="N1237" t="str">
            <v>Unknown</v>
          </cell>
          <cell r="O1237" t="str">
            <v>none</v>
          </cell>
          <cell r="P1237" t="str">
            <v>種族なし</v>
          </cell>
          <cell r="R1237">
            <v>3</v>
          </cell>
          <cell r="S1237" t="str">
            <v>NULL</v>
          </cell>
          <cell r="T1237" t="str">
            <v>normal</v>
          </cell>
          <cell r="U1237" t="str">
            <v>NULL</v>
          </cell>
          <cell r="V1237" t="str">
            <v>NULL</v>
          </cell>
          <cell r="W1237" t="str">
            <v>NULL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  <cell r="N1238" t="str">
            <v>Unknown</v>
          </cell>
          <cell r="O1238" t="str">
            <v>none</v>
          </cell>
          <cell r="P1238" t="str">
            <v>種族なし</v>
          </cell>
          <cell r="R1238">
            <v>3</v>
          </cell>
          <cell r="S1238" t="str">
            <v>NULL</v>
          </cell>
          <cell r="T1238" t="str">
            <v>normal</v>
          </cell>
          <cell r="U1238" t="str">
            <v>NULL</v>
          </cell>
          <cell r="V1238" t="str">
            <v>NULL</v>
          </cell>
          <cell r="W1238" t="str">
            <v>NULL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technical</v>
          </cell>
          <cell r="L1239" t="str">
            <v>テクニカルタイプ</v>
          </cell>
          <cell r="M1239" t="str">
            <v>human</v>
          </cell>
          <cell r="N1239" t="str">
            <v>ヒューマン</v>
          </cell>
          <cell r="O1239" t="str">
            <v>unknown</v>
          </cell>
          <cell r="P1239" t="str">
            <v>Unknown</v>
          </cell>
          <cell r="R1239">
            <v>1</v>
          </cell>
          <cell r="S1239" t="str">
            <v>NULL</v>
          </cell>
          <cell r="T1239" t="str">
            <v>normal</v>
          </cell>
          <cell r="U1239" t="str">
            <v>NULL</v>
          </cell>
          <cell r="V1239" t="str">
            <v>NULL</v>
          </cell>
          <cell r="W1239" t="str">
            <v>NULL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technical</v>
          </cell>
          <cell r="L1240" t="str">
            <v>テクニカルタイプ</v>
          </cell>
          <cell r="M1240" t="str">
            <v>human</v>
          </cell>
          <cell r="N1240" t="str">
            <v>ヒューマン</v>
          </cell>
          <cell r="O1240" t="str">
            <v>unknown</v>
          </cell>
          <cell r="P1240" t="str">
            <v>Unknown</v>
          </cell>
          <cell r="R1240">
            <v>1</v>
          </cell>
          <cell r="S1240" t="str">
            <v>NULL</v>
          </cell>
          <cell r="T1240" t="str">
            <v>normal</v>
          </cell>
          <cell r="U1240" t="str">
            <v>NULL</v>
          </cell>
          <cell r="V1240" t="str">
            <v>NULL</v>
          </cell>
          <cell r="W1240" t="str">
            <v>NULL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  <cell r="N1241" t="str">
            <v>ヒューマン</v>
          </cell>
          <cell r="O1241" t="str">
            <v>samurai</v>
          </cell>
          <cell r="P1241" t="str">
            <v>サムライ</v>
          </cell>
          <cell r="R1241">
            <v>3</v>
          </cell>
          <cell r="S1241" t="str">
            <v>NULL</v>
          </cell>
          <cell r="T1241" t="str">
            <v>normal</v>
          </cell>
          <cell r="U1241" t="str">
            <v>NULL</v>
          </cell>
          <cell r="V1241" t="str">
            <v>NULL</v>
          </cell>
          <cell r="W1241" t="str">
            <v>NULL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  <cell r="N1242" t="str">
            <v>ヒューマン</v>
          </cell>
          <cell r="O1242" t="str">
            <v>samurai</v>
          </cell>
          <cell r="P1242" t="str">
            <v>サムライ</v>
          </cell>
          <cell r="R1242">
            <v>3</v>
          </cell>
          <cell r="S1242" t="str">
            <v>NULL</v>
          </cell>
          <cell r="T1242" t="str">
            <v>normal</v>
          </cell>
          <cell r="U1242" t="str">
            <v>NULL</v>
          </cell>
          <cell r="V1242" t="str">
            <v>NULL</v>
          </cell>
          <cell r="W1242" t="str">
            <v>NULL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  <cell r="N1243" t="str">
            <v>ヒューマン</v>
          </cell>
          <cell r="O1243" t="str">
            <v>samurai</v>
          </cell>
          <cell r="P1243" t="str">
            <v>サムライ</v>
          </cell>
          <cell r="R1243">
            <v>3</v>
          </cell>
          <cell r="S1243" t="str">
            <v>NULL</v>
          </cell>
          <cell r="T1243" t="str">
            <v>normal</v>
          </cell>
          <cell r="U1243" t="str">
            <v>NULL</v>
          </cell>
          <cell r="V1243" t="str">
            <v>NULL</v>
          </cell>
          <cell r="W1243" t="str">
            <v>NULL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  <cell r="N1244" t="str">
            <v>ヒューマン</v>
          </cell>
          <cell r="O1244" t="str">
            <v>samurai</v>
          </cell>
          <cell r="P1244" t="str">
            <v>サムライ</v>
          </cell>
          <cell r="R1244">
            <v>3</v>
          </cell>
          <cell r="S1244" t="str">
            <v>NULL</v>
          </cell>
          <cell r="T1244" t="str">
            <v>normal</v>
          </cell>
          <cell r="U1244" t="str">
            <v>NULL</v>
          </cell>
          <cell r="V1244" t="str">
            <v>NULL</v>
          </cell>
          <cell r="W1244" t="str">
            <v>NULL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  <cell r="N1245" t="str">
            <v>ヒューマン</v>
          </cell>
          <cell r="O1245" t="str">
            <v>none</v>
          </cell>
          <cell r="P1245" t="str">
            <v>種族なし</v>
          </cell>
          <cell r="R1245">
            <v>3</v>
          </cell>
          <cell r="S1245" t="str">
            <v>NULL</v>
          </cell>
          <cell r="T1245" t="str">
            <v>normal</v>
          </cell>
          <cell r="U1245" t="str">
            <v>NULL</v>
          </cell>
          <cell r="V1245" t="str">
            <v>NULL</v>
          </cell>
          <cell r="W1245" t="str">
            <v>NULL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  <cell r="N1246" t="str">
            <v>ヒューマン</v>
          </cell>
          <cell r="O1246" t="str">
            <v>none</v>
          </cell>
          <cell r="P1246" t="str">
            <v>種族なし</v>
          </cell>
          <cell r="R1246">
            <v>3</v>
          </cell>
          <cell r="S1246" t="str">
            <v>NULL</v>
          </cell>
          <cell r="T1246" t="str">
            <v>normal</v>
          </cell>
          <cell r="U1246" t="str">
            <v>NULL</v>
          </cell>
          <cell r="V1246" t="str">
            <v>NULL</v>
          </cell>
          <cell r="W1246" t="str">
            <v>NULL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  <cell r="N1247" t="str">
            <v>ヒューマン</v>
          </cell>
          <cell r="O1247" t="str">
            <v>none</v>
          </cell>
          <cell r="P1247" t="str">
            <v>種族なし</v>
          </cell>
          <cell r="R1247">
            <v>3</v>
          </cell>
          <cell r="S1247" t="str">
            <v>NULL</v>
          </cell>
          <cell r="T1247" t="str">
            <v>normal</v>
          </cell>
          <cell r="U1247" t="str">
            <v>NULL</v>
          </cell>
          <cell r="V1247" t="str">
            <v>NULL</v>
          </cell>
          <cell r="W1247" t="str">
            <v>NULL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  <cell r="N1248" t="str">
            <v>ヒューマン</v>
          </cell>
          <cell r="O1248" t="str">
            <v>none</v>
          </cell>
          <cell r="P1248" t="str">
            <v>種族なし</v>
          </cell>
          <cell r="R1248">
            <v>3</v>
          </cell>
          <cell r="S1248" t="str">
            <v>NULL</v>
          </cell>
          <cell r="T1248" t="str">
            <v>normal</v>
          </cell>
          <cell r="U1248" t="str">
            <v>NULL</v>
          </cell>
          <cell r="V1248" t="str">
            <v>NULL</v>
          </cell>
          <cell r="W1248" t="str">
            <v>NULL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  <cell r="N1249" t="str">
            <v>ヒューマン</v>
          </cell>
          <cell r="O1249" t="str">
            <v>none</v>
          </cell>
          <cell r="P1249" t="str">
            <v>種族なし</v>
          </cell>
          <cell r="R1249">
            <v>3</v>
          </cell>
          <cell r="S1249" t="str">
            <v>NULL</v>
          </cell>
          <cell r="T1249" t="str">
            <v>normal</v>
          </cell>
          <cell r="U1249" t="str">
            <v>NULL</v>
          </cell>
          <cell r="V1249" t="str">
            <v>NULL</v>
          </cell>
          <cell r="W1249" t="str">
            <v>NULL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  <cell r="N1250" t="str">
            <v>ヒューマン</v>
          </cell>
          <cell r="O1250" t="str">
            <v>none</v>
          </cell>
          <cell r="P1250" t="str">
            <v>種族なし</v>
          </cell>
          <cell r="R1250">
            <v>3</v>
          </cell>
          <cell r="S1250" t="str">
            <v>NULL</v>
          </cell>
          <cell r="T1250" t="str">
            <v>normal</v>
          </cell>
          <cell r="U1250" t="str">
            <v>NULL</v>
          </cell>
          <cell r="V1250" t="str">
            <v>NULL</v>
          </cell>
          <cell r="W1250" t="str">
            <v>NULL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  <cell r="N1251" t="str">
            <v>ヒューマン</v>
          </cell>
          <cell r="O1251" t="str">
            <v>samurai</v>
          </cell>
          <cell r="P1251" t="str">
            <v>サムライ</v>
          </cell>
          <cell r="R1251">
            <v>3</v>
          </cell>
          <cell r="S1251" t="str">
            <v>NULL</v>
          </cell>
          <cell r="T1251" t="str">
            <v>normal</v>
          </cell>
          <cell r="U1251" t="str">
            <v>NULL</v>
          </cell>
          <cell r="V1251" t="str">
            <v>NULL</v>
          </cell>
          <cell r="W1251" t="str">
            <v>NULL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  <cell r="N1252" t="str">
            <v>ヒューマン</v>
          </cell>
          <cell r="O1252" t="str">
            <v>samurai</v>
          </cell>
          <cell r="P1252" t="str">
            <v>サムライ</v>
          </cell>
          <cell r="R1252">
            <v>3</v>
          </cell>
          <cell r="S1252" t="str">
            <v>NULL</v>
          </cell>
          <cell r="T1252" t="str">
            <v>normal</v>
          </cell>
          <cell r="U1252" t="str">
            <v>NULL</v>
          </cell>
          <cell r="V1252" t="str">
            <v>NULL</v>
          </cell>
          <cell r="W1252" t="str">
            <v>NULL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  <cell r="N1253" t="str">
            <v>ゴッド</v>
          </cell>
          <cell r="O1253" t="str">
            <v>none</v>
          </cell>
          <cell r="P1253" t="str">
            <v>種族なし</v>
          </cell>
          <cell r="R1253">
            <v>3</v>
          </cell>
          <cell r="S1253" t="str">
            <v>NULL</v>
          </cell>
          <cell r="T1253" t="str">
            <v>normal</v>
          </cell>
          <cell r="U1253" t="str">
            <v>NULL</v>
          </cell>
          <cell r="V1253" t="str">
            <v>NULL</v>
          </cell>
          <cell r="W1253" t="str">
            <v>NULL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  <cell r="N1254" t="str">
            <v>ゴッド</v>
          </cell>
          <cell r="O1254" t="str">
            <v>none</v>
          </cell>
          <cell r="P1254" t="str">
            <v>種族なし</v>
          </cell>
          <cell r="R1254">
            <v>3</v>
          </cell>
          <cell r="S1254" t="str">
            <v>NULL</v>
          </cell>
          <cell r="T1254" t="str">
            <v>normal</v>
          </cell>
          <cell r="U1254" t="str">
            <v>NULL</v>
          </cell>
          <cell r="V1254" t="str">
            <v>NULL</v>
          </cell>
          <cell r="W1254" t="str">
            <v>NULL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  <cell r="N1255" t="str">
            <v>Unknown</v>
          </cell>
          <cell r="O1255" t="str">
            <v>demon</v>
          </cell>
          <cell r="P1255" t="str">
            <v>デーモン</v>
          </cell>
          <cell r="R1255">
            <v>1</v>
          </cell>
          <cell r="S1255" t="str">
            <v>NULL</v>
          </cell>
          <cell r="T1255" t="str">
            <v>normal</v>
          </cell>
          <cell r="U1255" t="str">
            <v>NULL</v>
          </cell>
          <cell r="V1255" t="str">
            <v>NULL</v>
          </cell>
          <cell r="W1255" t="str">
            <v>NULL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  <cell r="N1256" t="str">
            <v>Unknown</v>
          </cell>
          <cell r="O1256" t="str">
            <v>demon</v>
          </cell>
          <cell r="P1256" t="str">
            <v>デーモン</v>
          </cell>
          <cell r="R1256">
            <v>1</v>
          </cell>
          <cell r="S1256" t="str">
            <v>NULL</v>
          </cell>
          <cell r="T1256" t="str">
            <v>normal</v>
          </cell>
          <cell r="U1256" t="str">
            <v>NULL</v>
          </cell>
          <cell r="V1256" t="str">
            <v>NULL</v>
          </cell>
          <cell r="W1256" t="str">
            <v>NULL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  <cell r="N1257" t="str">
            <v>ゴッド</v>
          </cell>
          <cell r="O1257" t="str">
            <v>demon</v>
          </cell>
          <cell r="P1257" t="str">
            <v>デーモン</v>
          </cell>
          <cell r="R1257">
            <v>3</v>
          </cell>
          <cell r="S1257" t="str">
            <v>NULL</v>
          </cell>
          <cell r="T1257" t="str">
            <v>normal</v>
          </cell>
          <cell r="U1257" t="str">
            <v>NULL</v>
          </cell>
          <cell r="V1257" t="str">
            <v>NULL</v>
          </cell>
          <cell r="W1257" t="str">
            <v>NULL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  <cell r="N1258" t="str">
            <v>ゴッド</v>
          </cell>
          <cell r="O1258" t="str">
            <v>demon</v>
          </cell>
          <cell r="P1258" t="str">
            <v>デーモン</v>
          </cell>
          <cell r="R1258">
            <v>3</v>
          </cell>
          <cell r="S1258" t="str">
            <v>NULL</v>
          </cell>
          <cell r="T1258" t="str">
            <v>normal</v>
          </cell>
          <cell r="U1258" t="str">
            <v>NULL</v>
          </cell>
          <cell r="V1258" t="str">
            <v>NULL</v>
          </cell>
          <cell r="W1258" t="str">
            <v>NULL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  <cell r="N1259" t="str">
            <v>ゴッド</v>
          </cell>
          <cell r="O1259" t="str">
            <v>demon</v>
          </cell>
          <cell r="P1259" t="str">
            <v>デーモン</v>
          </cell>
          <cell r="R1259">
            <v>3</v>
          </cell>
          <cell r="S1259" t="str">
            <v>NULL</v>
          </cell>
          <cell r="T1259" t="str">
            <v>normal</v>
          </cell>
          <cell r="U1259" t="str">
            <v>NULL</v>
          </cell>
          <cell r="V1259" t="str">
            <v>NULL</v>
          </cell>
          <cell r="W1259" t="str">
            <v>NULL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  <cell r="N1260" t="str">
            <v>ゴッド</v>
          </cell>
          <cell r="O1260" t="str">
            <v>demon</v>
          </cell>
          <cell r="P1260" t="str">
            <v>デーモン</v>
          </cell>
          <cell r="R1260">
            <v>3</v>
          </cell>
          <cell r="S1260" t="str">
            <v>NULL</v>
          </cell>
          <cell r="T1260" t="str">
            <v>normal</v>
          </cell>
          <cell r="U1260" t="str">
            <v>NULL</v>
          </cell>
          <cell r="V1260" t="str">
            <v>NULL</v>
          </cell>
          <cell r="W1260" t="str">
            <v>NULL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  <cell r="N1261" t="str">
            <v>ゴッド</v>
          </cell>
          <cell r="O1261" t="str">
            <v>none</v>
          </cell>
          <cell r="P1261" t="str">
            <v>種族なし</v>
          </cell>
          <cell r="R1261">
            <v>3</v>
          </cell>
          <cell r="S1261" t="str">
            <v>NULL</v>
          </cell>
          <cell r="T1261" t="str">
            <v>normal</v>
          </cell>
          <cell r="U1261" t="str">
            <v>NULL</v>
          </cell>
          <cell r="V1261" t="str">
            <v>NULL</v>
          </cell>
          <cell r="W1261" t="str">
            <v>NULL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  <cell r="N1262" t="str">
            <v>ゴッド</v>
          </cell>
          <cell r="O1262" t="str">
            <v>none</v>
          </cell>
          <cell r="P1262" t="str">
            <v>種族なし</v>
          </cell>
          <cell r="R1262">
            <v>3</v>
          </cell>
          <cell r="S1262" t="str">
            <v>NULL</v>
          </cell>
          <cell r="T1262" t="str">
            <v>normal</v>
          </cell>
          <cell r="U1262" t="str">
            <v>NULL</v>
          </cell>
          <cell r="V1262" t="str">
            <v>NULL</v>
          </cell>
          <cell r="W1262" t="str">
            <v>NULL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  <cell r="N1263" t="str">
            <v>ゴッド</v>
          </cell>
          <cell r="O1263" t="str">
            <v>none</v>
          </cell>
          <cell r="P1263" t="str">
            <v>種族なし</v>
          </cell>
          <cell r="R1263">
            <v>3</v>
          </cell>
          <cell r="S1263" t="str">
            <v>NULL</v>
          </cell>
          <cell r="T1263" t="str">
            <v>normal</v>
          </cell>
          <cell r="U1263" t="str">
            <v>NULL</v>
          </cell>
          <cell r="V1263" t="str">
            <v>NULL</v>
          </cell>
          <cell r="W1263" t="str">
            <v>NULL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  <cell r="N1264" t="str">
            <v>ゴッド</v>
          </cell>
          <cell r="O1264" t="str">
            <v>none</v>
          </cell>
          <cell r="P1264" t="str">
            <v>種族なし</v>
          </cell>
          <cell r="R1264">
            <v>3</v>
          </cell>
          <cell r="S1264" t="str">
            <v>NULL</v>
          </cell>
          <cell r="T1264" t="str">
            <v>normal</v>
          </cell>
          <cell r="U1264" t="str">
            <v>NULL</v>
          </cell>
          <cell r="V1264" t="str">
            <v>NULL</v>
          </cell>
          <cell r="W1264" t="str">
            <v>NULL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  <cell r="N1265" t="str">
            <v>ゴッド</v>
          </cell>
          <cell r="O1265" t="str">
            <v>demon</v>
          </cell>
          <cell r="P1265" t="str">
            <v>デーモン</v>
          </cell>
          <cell r="R1265">
            <v>3</v>
          </cell>
          <cell r="S1265" t="str">
            <v>NULL</v>
          </cell>
          <cell r="T1265" t="str">
            <v>normal</v>
          </cell>
          <cell r="U1265" t="str">
            <v>NULL</v>
          </cell>
          <cell r="V1265" t="str">
            <v>NULL</v>
          </cell>
          <cell r="W1265" t="str">
            <v>NULL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  <cell r="N1266" t="str">
            <v>ゴッド</v>
          </cell>
          <cell r="O1266" t="str">
            <v>demon</v>
          </cell>
          <cell r="P1266" t="str">
            <v>デーモン</v>
          </cell>
          <cell r="R1266">
            <v>3</v>
          </cell>
          <cell r="S1266" t="str">
            <v>NULL</v>
          </cell>
          <cell r="T1266" t="str">
            <v>normal</v>
          </cell>
          <cell r="U1266" t="str">
            <v>NULL</v>
          </cell>
          <cell r="V1266" t="str">
            <v>NULL</v>
          </cell>
          <cell r="W1266" t="str">
            <v>NULL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  <cell r="N1267" t="str">
            <v>ゴッド</v>
          </cell>
          <cell r="O1267" t="str">
            <v>animal</v>
          </cell>
          <cell r="P1267" t="str">
            <v>アニマル</v>
          </cell>
          <cell r="R1267">
            <v>3</v>
          </cell>
          <cell r="S1267" t="str">
            <v>NULL</v>
          </cell>
          <cell r="T1267" t="str">
            <v>normal</v>
          </cell>
          <cell r="U1267" t="str">
            <v>NULL</v>
          </cell>
          <cell r="V1267" t="str">
            <v>NULL</v>
          </cell>
          <cell r="W1267" t="str">
            <v>NULL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  <cell r="N1268" t="str">
            <v>ゴッド</v>
          </cell>
          <cell r="O1268" t="str">
            <v>animal</v>
          </cell>
          <cell r="P1268" t="str">
            <v>アニマル</v>
          </cell>
          <cell r="R1268">
            <v>3</v>
          </cell>
          <cell r="S1268" t="str">
            <v>NULL</v>
          </cell>
          <cell r="T1268" t="str">
            <v>normal</v>
          </cell>
          <cell r="U1268" t="str">
            <v>NULL</v>
          </cell>
          <cell r="V1268" t="str">
            <v>NULL</v>
          </cell>
          <cell r="W1268" t="str">
            <v>NULL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  <cell r="N1269" t="str">
            <v>QUEEN</v>
          </cell>
          <cell r="O1269" t="str">
            <v>none</v>
          </cell>
          <cell r="P1269" t="str">
            <v>種族なし</v>
          </cell>
          <cell r="R1269">
            <v>1</v>
          </cell>
          <cell r="S1269" t="str">
            <v>NULL</v>
          </cell>
          <cell r="T1269" t="str">
            <v>normal</v>
          </cell>
          <cell r="U1269" t="str">
            <v>NULL</v>
          </cell>
          <cell r="V1269" t="str">
            <v>NULL</v>
          </cell>
          <cell r="W1269" t="str">
            <v>NULL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  <cell r="N1270" t="str">
            <v>QUEEN</v>
          </cell>
          <cell r="O1270" t="str">
            <v>none</v>
          </cell>
          <cell r="P1270" t="str">
            <v>種族なし</v>
          </cell>
          <cell r="R1270">
            <v>1</v>
          </cell>
          <cell r="S1270" t="str">
            <v>NULL</v>
          </cell>
          <cell r="T1270" t="str">
            <v>normal</v>
          </cell>
          <cell r="U1270" t="str">
            <v>NULL</v>
          </cell>
          <cell r="V1270" t="str">
            <v>NULL</v>
          </cell>
          <cell r="W1270" t="str">
            <v>NULL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  <cell r="N1271" t="str">
            <v>QUEEN</v>
          </cell>
          <cell r="O1271" t="str">
            <v>none</v>
          </cell>
          <cell r="P1271" t="str">
            <v>種族なし</v>
          </cell>
          <cell r="R1271">
            <v>1</v>
          </cell>
          <cell r="S1271" t="str">
            <v>NULL</v>
          </cell>
          <cell r="T1271" t="str">
            <v>super</v>
          </cell>
          <cell r="U1271" t="str">
            <v>NULL</v>
          </cell>
          <cell r="V1271" t="str">
            <v>NULL</v>
          </cell>
          <cell r="W1271" t="str">
            <v>NULL</v>
          </cell>
        </row>
        <row r="1272">
          <cell r="A1272">
            <v>1271</v>
          </cell>
          <cell r="B1272" t="str">
            <v>ja</v>
          </cell>
          <cell r="C1272" t="str">
            <v>ローズR5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technical</v>
          </cell>
          <cell r="L1272" t="str">
            <v>テクニカルタイプ</v>
          </cell>
          <cell r="M1272" t="str">
            <v>queen</v>
          </cell>
          <cell r="N1272" t="str">
            <v>QUEEN</v>
          </cell>
          <cell r="O1272" t="str">
            <v>machine</v>
          </cell>
          <cell r="P1272" t="str">
            <v>マシン</v>
          </cell>
          <cell r="R1272">
            <v>1</v>
          </cell>
          <cell r="S1272" t="str">
            <v>NULL</v>
          </cell>
          <cell r="T1272" t="str">
            <v>normal</v>
          </cell>
          <cell r="U1272" t="str">
            <v>NULL</v>
          </cell>
          <cell r="V1272" t="str">
            <v>NULL</v>
          </cell>
          <cell r="W1272" t="str">
            <v>NULL</v>
          </cell>
        </row>
        <row r="1273">
          <cell r="A1273">
            <v>1272</v>
          </cell>
          <cell r="B1273" t="str">
            <v>ja</v>
          </cell>
          <cell r="C1273" t="str">
            <v>ローズR6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technical</v>
          </cell>
          <cell r="L1273" t="str">
            <v>テクニカルタイプ</v>
          </cell>
          <cell r="M1273" t="str">
            <v>queen</v>
          </cell>
          <cell r="N1273" t="str">
            <v>QUEEN</v>
          </cell>
          <cell r="O1273" t="str">
            <v>machine</v>
          </cell>
          <cell r="P1273" t="str">
            <v>マシン</v>
          </cell>
          <cell r="R1273">
            <v>1</v>
          </cell>
          <cell r="S1273" t="str">
            <v>NULL</v>
          </cell>
          <cell r="T1273" t="str">
            <v>normal</v>
          </cell>
          <cell r="U1273" t="str">
            <v>NULL</v>
          </cell>
          <cell r="V1273" t="str">
            <v>NULL</v>
          </cell>
          <cell r="W1273" t="str">
            <v>NULL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  <cell r="N1274" t="str">
            <v>ヒューマン</v>
          </cell>
          <cell r="O1274" t="str">
            <v>samurai</v>
          </cell>
          <cell r="P1274" t="str">
            <v>サムライ</v>
          </cell>
          <cell r="R1274">
            <v>3</v>
          </cell>
          <cell r="S1274" t="str">
            <v>NULL</v>
          </cell>
          <cell r="T1274" t="str">
            <v>super</v>
          </cell>
          <cell r="U1274" t="str">
            <v>NULL</v>
          </cell>
          <cell r="V1274" t="str">
            <v>NULL</v>
          </cell>
          <cell r="W1274" t="str">
            <v>NULL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  <cell r="N1275" t="str">
            <v>ヒューマン</v>
          </cell>
          <cell r="O1275" t="str">
            <v>none</v>
          </cell>
          <cell r="P1275" t="str">
            <v>種族なし</v>
          </cell>
          <cell r="R1275">
            <v>3</v>
          </cell>
          <cell r="S1275" t="str">
            <v>NULL</v>
          </cell>
          <cell r="T1275" t="str">
            <v>normal</v>
          </cell>
          <cell r="U1275" t="str">
            <v>NULL</v>
          </cell>
          <cell r="V1275" t="str">
            <v>NULL</v>
          </cell>
          <cell r="W1275" t="str">
            <v>NULL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  <cell r="N1276" t="str">
            <v>ゴッド</v>
          </cell>
          <cell r="O1276" t="str">
            <v>none</v>
          </cell>
          <cell r="P1276" t="str">
            <v>種族なし</v>
          </cell>
          <cell r="R1276">
            <v>3</v>
          </cell>
          <cell r="S1276" t="str">
            <v>NULL</v>
          </cell>
          <cell r="T1276" t="str">
            <v>normal</v>
          </cell>
          <cell r="U1276" t="str">
            <v>NULL</v>
          </cell>
          <cell r="V1276" t="str">
            <v>NULL</v>
          </cell>
          <cell r="W1276" t="str">
            <v>NULL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  <cell r="N1277" t="str">
            <v>ゴッド</v>
          </cell>
          <cell r="O1277" t="str">
            <v>none</v>
          </cell>
          <cell r="P1277" t="str">
            <v>種族なし</v>
          </cell>
          <cell r="R1277">
            <v>3</v>
          </cell>
          <cell r="S1277" t="str">
            <v>NULL</v>
          </cell>
          <cell r="T1277" t="str">
            <v>normal</v>
          </cell>
          <cell r="U1277" t="str">
            <v>NULL</v>
          </cell>
          <cell r="V1277" t="str">
            <v>NULL</v>
          </cell>
          <cell r="W1277" t="str">
            <v>NULL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  <cell r="N1278" t="str">
            <v>ゴッド</v>
          </cell>
          <cell r="O1278" t="str">
            <v>machine</v>
          </cell>
          <cell r="P1278" t="str">
            <v>マシン</v>
          </cell>
          <cell r="R1278">
            <v>3</v>
          </cell>
          <cell r="S1278" t="str">
            <v>NULL</v>
          </cell>
          <cell r="T1278" t="str">
            <v>normal</v>
          </cell>
          <cell r="U1278" t="str">
            <v>NULL</v>
          </cell>
          <cell r="V1278" t="str">
            <v>NULL</v>
          </cell>
          <cell r="W1278" t="str">
            <v>NULL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  <cell r="N1279" t="str">
            <v>Unknown</v>
          </cell>
          <cell r="O1279" t="str">
            <v>hero</v>
          </cell>
          <cell r="P1279" t="str">
            <v>ヒーロー</v>
          </cell>
          <cell r="R1279">
            <v>3</v>
          </cell>
          <cell r="S1279" t="str">
            <v>NULL</v>
          </cell>
          <cell r="T1279" t="str">
            <v>normal</v>
          </cell>
          <cell r="U1279" t="str">
            <v>NULL</v>
          </cell>
          <cell r="V1279" t="str">
            <v>NULL</v>
          </cell>
          <cell r="W1279" t="str">
            <v>NULL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  <cell r="N1280" t="str">
            <v>Unknown</v>
          </cell>
          <cell r="O1280" t="str">
            <v>hero</v>
          </cell>
          <cell r="P1280" t="str">
            <v>ヒーロー</v>
          </cell>
          <cell r="R1280">
            <v>3</v>
          </cell>
          <cell r="S1280" t="str">
            <v>NULL</v>
          </cell>
          <cell r="T1280" t="str">
            <v>normal</v>
          </cell>
          <cell r="U1280" t="str">
            <v>NULL</v>
          </cell>
          <cell r="V1280" t="str">
            <v>NULL</v>
          </cell>
          <cell r="W1280" t="str">
            <v>NULL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  <cell r="N1281" t="str">
            <v>ヒューマン</v>
          </cell>
          <cell r="O1281" t="str">
            <v>none</v>
          </cell>
          <cell r="P1281" t="str">
            <v>種族なし</v>
          </cell>
          <cell r="R1281">
            <v>3</v>
          </cell>
          <cell r="S1281" t="str">
            <v>NULL</v>
          </cell>
          <cell r="T1281" t="str">
            <v>normal</v>
          </cell>
          <cell r="U1281" t="str">
            <v>NULL</v>
          </cell>
          <cell r="V1281" t="str">
            <v>NULL</v>
          </cell>
          <cell r="W1281" t="str">
            <v>NULL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  <cell r="N1282" t="str">
            <v>ヒューマン</v>
          </cell>
          <cell r="O1282" t="str">
            <v>animal</v>
          </cell>
          <cell r="P1282" t="str">
            <v>アニマル</v>
          </cell>
          <cell r="R1282">
            <v>3</v>
          </cell>
          <cell r="S1282" t="str">
            <v>NULL</v>
          </cell>
          <cell r="T1282" t="str">
            <v>normal</v>
          </cell>
          <cell r="U1282" t="str">
            <v>NULL</v>
          </cell>
          <cell r="V1282" t="str">
            <v>NULL</v>
          </cell>
          <cell r="W1282" t="str">
            <v>NULL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  <cell r="N1283" t="str">
            <v>Unknown</v>
          </cell>
          <cell r="O1283" t="str">
            <v>none</v>
          </cell>
          <cell r="P1283" t="str">
            <v>種族なし</v>
          </cell>
          <cell r="R1283">
            <v>3</v>
          </cell>
          <cell r="S1283" t="str">
            <v>NULL</v>
          </cell>
          <cell r="T1283" t="str">
            <v>normal</v>
          </cell>
          <cell r="U1283" t="str">
            <v>NULL</v>
          </cell>
          <cell r="V1283" t="str">
            <v>NULL</v>
          </cell>
          <cell r="W1283" t="str">
            <v>NULL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  <cell r="N1284" t="str">
            <v>Unknown</v>
          </cell>
          <cell r="O1284" t="str">
            <v>none</v>
          </cell>
          <cell r="P1284" t="str">
            <v>種族なし</v>
          </cell>
          <cell r="R1284">
            <v>3</v>
          </cell>
          <cell r="S1284" t="str">
            <v>NULL</v>
          </cell>
          <cell r="T1284" t="str">
            <v>normal</v>
          </cell>
          <cell r="U1284" t="str">
            <v>NULL</v>
          </cell>
          <cell r="V1284" t="str">
            <v>NULL</v>
          </cell>
          <cell r="W1284" t="str">
            <v>NULL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  <cell r="N1285" t="str">
            <v>Unknown</v>
          </cell>
          <cell r="O1285" t="str">
            <v>human</v>
          </cell>
          <cell r="P1285" t="str">
            <v>ヒューマン</v>
          </cell>
          <cell r="R1285">
            <v>3</v>
          </cell>
          <cell r="S1285" t="str">
            <v>NULL</v>
          </cell>
          <cell r="T1285" t="str">
            <v>normal</v>
          </cell>
          <cell r="U1285" t="str">
            <v>NULL</v>
          </cell>
          <cell r="V1285" t="str">
            <v>NULL</v>
          </cell>
          <cell r="W1285" t="str">
            <v>NULL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  <cell r="N1286" t="str">
            <v>Unknown</v>
          </cell>
          <cell r="O1286" t="str">
            <v>human</v>
          </cell>
          <cell r="P1286" t="str">
            <v>ヒューマン</v>
          </cell>
          <cell r="R1286">
            <v>3</v>
          </cell>
          <cell r="S1286" t="str">
            <v>NULL</v>
          </cell>
          <cell r="T1286" t="str">
            <v>normal</v>
          </cell>
          <cell r="U1286" t="str">
            <v>NULL</v>
          </cell>
          <cell r="V1286" t="str">
            <v>NULL</v>
          </cell>
          <cell r="W1286" t="str">
            <v>NULL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  <cell r="N1287" t="str">
            <v>ヒューマン</v>
          </cell>
          <cell r="O1287" t="str">
            <v>none</v>
          </cell>
          <cell r="P1287" t="str">
            <v>種族なし</v>
          </cell>
          <cell r="R1287">
            <v>3</v>
          </cell>
          <cell r="S1287" t="str">
            <v>NULL</v>
          </cell>
          <cell r="T1287" t="str">
            <v>normal</v>
          </cell>
          <cell r="U1287" t="str">
            <v>NULL</v>
          </cell>
          <cell r="V1287" t="str">
            <v>NULL</v>
          </cell>
          <cell r="W1287" t="str">
            <v>NULL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  <cell r="N1288" t="str">
            <v>ヒューマン</v>
          </cell>
          <cell r="O1288" t="str">
            <v>none</v>
          </cell>
          <cell r="P1288" t="str">
            <v>種族なし</v>
          </cell>
          <cell r="R1288">
            <v>3</v>
          </cell>
          <cell r="S1288" t="str">
            <v>NULL</v>
          </cell>
          <cell r="T1288" t="str">
            <v>normal</v>
          </cell>
          <cell r="U1288" t="str">
            <v>NULL</v>
          </cell>
          <cell r="V1288" t="str">
            <v>NULL</v>
          </cell>
          <cell r="W1288" t="str">
            <v>NULL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  <cell r="N1289" t="str">
            <v>ヒューマン</v>
          </cell>
          <cell r="O1289" t="str">
            <v>none</v>
          </cell>
          <cell r="P1289" t="str">
            <v>種族なし</v>
          </cell>
          <cell r="R1289">
            <v>3</v>
          </cell>
          <cell r="S1289" t="str">
            <v>NULL</v>
          </cell>
          <cell r="T1289" t="str">
            <v>super</v>
          </cell>
          <cell r="U1289" t="str">
            <v>NULL</v>
          </cell>
          <cell r="V1289" t="str">
            <v>NULL</v>
          </cell>
          <cell r="W1289" t="str">
            <v>NULL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  <cell r="N1290" t="str">
            <v>Unknown</v>
          </cell>
          <cell r="O1290" t="str">
            <v>none</v>
          </cell>
          <cell r="P1290" t="str">
            <v>種族なし</v>
          </cell>
          <cell r="R1290">
            <v>3</v>
          </cell>
          <cell r="S1290" t="str">
            <v>NULL</v>
          </cell>
          <cell r="T1290" t="str">
            <v>normal</v>
          </cell>
          <cell r="U1290" t="str">
            <v>NULL</v>
          </cell>
          <cell r="V1290" t="str">
            <v>NULL</v>
          </cell>
          <cell r="W1290" t="str">
            <v>NULL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  <cell r="N1291" t="str">
            <v>Unknown</v>
          </cell>
          <cell r="O1291" t="str">
            <v>none</v>
          </cell>
          <cell r="P1291" t="str">
            <v>種族なし</v>
          </cell>
          <cell r="R1291">
            <v>3</v>
          </cell>
          <cell r="S1291" t="str">
            <v>NULL</v>
          </cell>
          <cell r="T1291" t="str">
            <v>normal</v>
          </cell>
          <cell r="U1291" t="str">
            <v>NULL</v>
          </cell>
          <cell r="V1291" t="str">
            <v>NULL</v>
          </cell>
          <cell r="W1291" t="str">
            <v>NULL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  <cell r="N1292" t="str">
            <v>アニマル</v>
          </cell>
          <cell r="O1292" t="str">
            <v>none</v>
          </cell>
          <cell r="P1292" t="str">
            <v>種族なし</v>
          </cell>
          <cell r="R1292">
            <v>3</v>
          </cell>
          <cell r="S1292" t="str">
            <v>NULL</v>
          </cell>
          <cell r="T1292" t="str">
            <v>normal</v>
          </cell>
          <cell r="U1292" t="str">
            <v>NULL</v>
          </cell>
          <cell r="V1292" t="str">
            <v>NULL</v>
          </cell>
          <cell r="W1292" t="str">
            <v>NULL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  <cell r="N1293" t="str">
            <v>アニマル</v>
          </cell>
          <cell r="O1293" t="str">
            <v>none</v>
          </cell>
          <cell r="P1293" t="str">
            <v>種族なし</v>
          </cell>
          <cell r="R1293">
            <v>3</v>
          </cell>
          <cell r="S1293" t="str">
            <v>NULL</v>
          </cell>
          <cell r="T1293" t="str">
            <v>normal</v>
          </cell>
          <cell r="U1293" t="str">
            <v>NULL</v>
          </cell>
          <cell r="V1293" t="str">
            <v>NULL</v>
          </cell>
          <cell r="W1293" t="str">
            <v>NULL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  <cell r="N1294" t="str">
            <v>アニマル</v>
          </cell>
          <cell r="O1294" t="str">
            <v>god</v>
          </cell>
          <cell r="P1294" t="str">
            <v>ゴッド</v>
          </cell>
          <cell r="R1294">
            <v>3</v>
          </cell>
          <cell r="S1294" t="str">
            <v>NULL</v>
          </cell>
          <cell r="T1294" t="str">
            <v>normal</v>
          </cell>
          <cell r="U1294" t="str">
            <v>NULL</v>
          </cell>
          <cell r="V1294" t="str">
            <v>NULL</v>
          </cell>
          <cell r="W1294" t="str">
            <v>NULL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  <cell r="N1295" t="str">
            <v>アニマル</v>
          </cell>
          <cell r="O1295" t="str">
            <v>god</v>
          </cell>
          <cell r="P1295" t="str">
            <v>ゴッド</v>
          </cell>
          <cell r="R1295">
            <v>3</v>
          </cell>
          <cell r="S1295" t="str">
            <v>NULL</v>
          </cell>
          <cell r="T1295" t="str">
            <v>normal</v>
          </cell>
          <cell r="U1295" t="str">
            <v>NULL</v>
          </cell>
          <cell r="V1295" t="str">
            <v>NULL</v>
          </cell>
          <cell r="W1295" t="str">
            <v>NULL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  <cell r="N1296" t="str">
            <v>Unknown</v>
          </cell>
          <cell r="O1296" t="str">
            <v>none</v>
          </cell>
          <cell r="P1296" t="str">
            <v>種族なし</v>
          </cell>
          <cell r="R1296">
            <v>3</v>
          </cell>
          <cell r="S1296" t="str">
            <v>NULL</v>
          </cell>
          <cell r="T1296" t="str">
            <v>normal</v>
          </cell>
          <cell r="U1296" t="str">
            <v>NULL</v>
          </cell>
          <cell r="V1296" t="str">
            <v>NULL</v>
          </cell>
          <cell r="W1296" t="str">
            <v>NULL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  <cell r="N1297" t="str">
            <v>Unknown</v>
          </cell>
          <cell r="O1297" t="str">
            <v>none</v>
          </cell>
          <cell r="P1297" t="str">
            <v>種族なし</v>
          </cell>
          <cell r="R1297">
            <v>3</v>
          </cell>
          <cell r="S1297" t="str">
            <v>NULL</v>
          </cell>
          <cell r="T1297" t="str">
            <v>normal</v>
          </cell>
          <cell r="U1297" t="str">
            <v>NULL</v>
          </cell>
          <cell r="V1297" t="str">
            <v>NULL</v>
          </cell>
          <cell r="W1297" t="str">
            <v>NULL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  <cell r="N1298" t="str">
            <v>Unknown</v>
          </cell>
          <cell r="O1298" t="str">
            <v>none</v>
          </cell>
          <cell r="P1298" t="str">
            <v>種族なし</v>
          </cell>
          <cell r="R1298">
            <v>3</v>
          </cell>
          <cell r="S1298" t="str">
            <v>NULL</v>
          </cell>
          <cell r="T1298" t="str">
            <v>normal</v>
          </cell>
          <cell r="U1298" t="str">
            <v>NULL</v>
          </cell>
          <cell r="V1298" t="str">
            <v>NULL</v>
          </cell>
          <cell r="W1298" t="str">
            <v>NULL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  <cell r="N1299" t="str">
            <v>Unknown</v>
          </cell>
          <cell r="O1299" t="str">
            <v>none</v>
          </cell>
          <cell r="P1299" t="str">
            <v>種族なし</v>
          </cell>
          <cell r="R1299">
            <v>3</v>
          </cell>
          <cell r="S1299" t="str">
            <v>NULL</v>
          </cell>
          <cell r="T1299" t="str">
            <v>normal</v>
          </cell>
          <cell r="U1299" t="str">
            <v>NULL</v>
          </cell>
          <cell r="V1299" t="str">
            <v>NULL</v>
          </cell>
          <cell r="W1299" t="str">
            <v>NULL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  <cell r="N1300" t="str">
            <v>Unknown</v>
          </cell>
          <cell r="O1300" t="str">
            <v>none</v>
          </cell>
          <cell r="P1300" t="str">
            <v>種族なし</v>
          </cell>
          <cell r="R1300">
            <v>3</v>
          </cell>
          <cell r="S1300" t="str">
            <v>NULL</v>
          </cell>
          <cell r="T1300" t="str">
            <v>normal</v>
          </cell>
          <cell r="U1300" t="str">
            <v>NULL</v>
          </cell>
          <cell r="V1300" t="str">
            <v>NULL</v>
          </cell>
          <cell r="W1300" t="str">
            <v>NULL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  <cell r="N1301" t="str">
            <v>Unknown</v>
          </cell>
          <cell r="O1301" t="str">
            <v>none</v>
          </cell>
          <cell r="P1301" t="str">
            <v>種族なし</v>
          </cell>
          <cell r="R1301">
            <v>3</v>
          </cell>
          <cell r="S1301" t="str">
            <v>NULL</v>
          </cell>
          <cell r="T1301" t="str">
            <v>normal</v>
          </cell>
          <cell r="U1301" t="str">
            <v>NULL</v>
          </cell>
          <cell r="V1301" t="str">
            <v>NULL</v>
          </cell>
          <cell r="W1301" t="str">
            <v>NULL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  <cell r="N1302" t="str">
            <v>Unknown</v>
          </cell>
          <cell r="O1302" t="str">
            <v>none</v>
          </cell>
          <cell r="P1302" t="str">
            <v>種族なし</v>
          </cell>
          <cell r="R1302">
            <v>3</v>
          </cell>
          <cell r="S1302" t="str">
            <v>NULL</v>
          </cell>
          <cell r="T1302" t="str">
            <v>normal</v>
          </cell>
          <cell r="U1302" t="str">
            <v>NULL</v>
          </cell>
          <cell r="V1302" t="str">
            <v>NULL</v>
          </cell>
          <cell r="W1302" t="str">
            <v>NULL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  <cell r="N1303" t="str">
            <v>Unknown</v>
          </cell>
          <cell r="O1303" t="str">
            <v>none</v>
          </cell>
          <cell r="P1303" t="str">
            <v>種族なし</v>
          </cell>
          <cell r="R1303">
            <v>3</v>
          </cell>
          <cell r="S1303" t="str">
            <v>NULL</v>
          </cell>
          <cell r="T1303" t="str">
            <v>normal</v>
          </cell>
          <cell r="U1303" t="str">
            <v>NULL</v>
          </cell>
          <cell r="V1303" t="str">
            <v>NULL</v>
          </cell>
          <cell r="W1303" t="str">
            <v>NULL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  <cell r="N1304" t="str">
            <v>Unknown</v>
          </cell>
          <cell r="O1304" t="str">
            <v>none</v>
          </cell>
          <cell r="P1304" t="str">
            <v>種族なし</v>
          </cell>
          <cell r="R1304">
            <v>3</v>
          </cell>
          <cell r="S1304" t="str">
            <v>NULL</v>
          </cell>
          <cell r="T1304" t="str">
            <v>normal</v>
          </cell>
          <cell r="U1304" t="str">
            <v>NULL</v>
          </cell>
          <cell r="V1304" t="str">
            <v>NULL</v>
          </cell>
          <cell r="W1304" t="str">
            <v>NULL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  <cell r="N1305" t="str">
            <v>Unknown</v>
          </cell>
          <cell r="O1305" t="str">
            <v>none</v>
          </cell>
          <cell r="P1305" t="str">
            <v>種族なし</v>
          </cell>
          <cell r="R1305">
            <v>3</v>
          </cell>
          <cell r="S1305" t="str">
            <v>NULL</v>
          </cell>
          <cell r="T1305" t="str">
            <v>normal</v>
          </cell>
          <cell r="U1305" t="str">
            <v>NULL</v>
          </cell>
          <cell r="V1305" t="str">
            <v>NULL</v>
          </cell>
          <cell r="W1305" t="str">
            <v>NULL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  <cell r="N1306" t="str">
            <v>Unknown</v>
          </cell>
          <cell r="O1306" t="str">
            <v>none</v>
          </cell>
          <cell r="P1306" t="str">
            <v>種族なし</v>
          </cell>
          <cell r="R1306">
            <v>3</v>
          </cell>
          <cell r="S1306" t="str">
            <v>NULL</v>
          </cell>
          <cell r="T1306" t="str">
            <v>normal</v>
          </cell>
          <cell r="U1306" t="str">
            <v>NULL</v>
          </cell>
          <cell r="V1306" t="str">
            <v>NULL</v>
          </cell>
          <cell r="W1306" t="str">
            <v>NULL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  <cell r="N1307" t="str">
            <v>Unknown</v>
          </cell>
          <cell r="O1307" t="str">
            <v>none</v>
          </cell>
          <cell r="P1307" t="str">
            <v>種族なし</v>
          </cell>
          <cell r="R1307">
            <v>3</v>
          </cell>
          <cell r="S1307" t="str">
            <v>NULL</v>
          </cell>
          <cell r="T1307" t="str">
            <v>normal</v>
          </cell>
          <cell r="U1307" t="str">
            <v>NULL</v>
          </cell>
          <cell r="V1307" t="str">
            <v>NULL</v>
          </cell>
          <cell r="W1307" t="str">
            <v>NULL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  <cell r="N1308" t="str">
            <v>Unknown</v>
          </cell>
          <cell r="O1308" t="str">
            <v>none</v>
          </cell>
          <cell r="P1308" t="str">
            <v>種族なし</v>
          </cell>
          <cell r="R1308">
            <v>3</v>
          </cell>
          <cell r="S1308" t="str">
            <v>NULL</v>
          </cell>
          <cell r="T1308" t="str">
            <v>normal</v>
          </cell>
          <cell r="U1308" t="str">
            <v>NULL</v>
          </cell>
          <cell r="V1308" t="str">
            <v>NULL</v>
          </cell>
          <cell r="W1308" t="str">
            <v>NULL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  <cell r="N1309" t="str">
            <v>Unknown</v>
          </cell>
          <cell r="O1309" t="str">
            <v>none</v>
          </cell>
          <cell r="P1309" t="str">
            <v>種族なし</v>
          </cell>
          <cell r="R1309">
            <v>3</v>
          </cell>
          <cell r="S1309" t="str">
            <v>NULL</v>
          </cell>
          <cell r="T1309" t="str">
            <v>normal</v>
          </cell>
          <cell r="U1309" t="str">
            <v>NULL</v>
          </cell>
          <cell r="V1309" t="str">
            <v>NULL</v>
          </cell>
          <cell r="W1309" t="str">
            <v>NULL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  <cell r="N1310" t="str">
            <v>Unknown</v>
          </cell>
          <cell r="O1310" t="str">
            <v>none</v>
          </cell>
          <cell r="P1310" t="str">
            <v>種族なし</v>
          </cell>
          <cell r="R1310">
            <v>3</v>
          </cell>
          <cell r="S1310" t="str">
            <v>NULL</v>
          </cell>
          <cell r="T1310" t="str">
            <v>normal</v>
          </cell>
          <cell r="U1310" t="str">
            <v>NULL</v>
          </cell>
          <cell r="V1310" t="str">
            <v>NULL</v>
          </cell>
          <cell r="W1310" t="str">
            <v>NULL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  <cell r="N1311" t="str">
            <v>Unknown</v>
          </cell>
          <cell r="O1311" t="str">
            <v>none</v>
          </cell>
          <cell r="P1311" t="str">
            <v>種族なし</v>
          </cell>
          <cell r="R1311">
            <v>3</v>
          </cell>
          <cell r="S1311" t="str">
            <v>NULL</v>
          </cell>
          <cell r="T1311" t="str">
            <v>super</v>
          </cell>
          <cell r="U1311" t="str">
            <v>NULL</v>
          </cell>
          <cell r="V1311" t="str">
            <v>NULL</v>
          </cell>
          <cell r="W1311" t="str">
            <v>NULL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  <cell r="N1312" t="str">
            <v>Unknown</v>
          </cell>
          <cell r="O1312" t="str">
            <v>none</v>
          </cell>
          <cell r="P1312" t="str">
            <v>種族なし</v>
          </cell>
          <cell r="R1312">
            <v>3</v>
          </cell>
          <cell r="S1312" t="str">
            <v>NULL</v>
          </cell>
          <cell r="T1312" t="str">
            <v>normal</v>
          </cell>
          <cell r="U1312" t="str">
            <v>NULL</v>
          </cell>
          <cell r="V1312" t="str">
            <v>NULL</v>
          </cell>
          <cell r="W1312" t="str">
            <v>NULL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  <cell r="N1313" t="str">
            <v>Unknown</v>
          </cell>
          <cell r="O1313" t="str">
            <v>none</v>
          </cell>
          <cell r="P1313" t="str">
            <v>種族なし</v>
          </cell>
          <cell r="R1313">
            <v>3</v>
          </cell>
          <cell r="S1313" t="str">
            <v>NULL</v>
          </cell>
          <cell r="T1313" t="str">
            <v>normal</v>
          </cell>
          <cell r="U1313" t="str">
            <v>NULL</v>
          </cell>
          <cell r="V1313" t="str">
            <v>NULL</v>
          </cell>
          <cell r="W1313" t="str">
            <v>NULL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  <cell r="N1314" t="str">
            <v>Unknown</v>
          </cell>
          <cell r="O1314" t="str">
            <v>none</v>
          </cell>
          <cell r="P1314" t="str">
            <v>種族なし</v>
          </cell>
          <cell r="R1314">
            <v>3</v>
          </cell>
          <cell r="S1314" t="str">
            <v>NULL</v>
          </cell>
          <cell r="T1314" t="str">
            <v>normal</v>
          </cell>
          <cell r="U1314" t="str">
            <v>NULL</v>
          </cell>
          <cell r="V1314" t="str">
            <v>NULL</v>
          </cell>
          <cell r="W1314" t="str">
            <v>NULL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  <cell r="N1315" t="str">
            <v>Unknown</v>
          </cell>
          <cell r="O1315" t="str">
            <v>none</v>
          </cell>
          <cell r="P1315" t="str">
            <v>種族なし</v>
          </cell>
          <cell r="R1315">
            <v>3</v>
          </cell>
          <cell r="S1315" t="str">
            <v>NULL</v>
          </cell>
          <cell r="T1315" t="str">
            <v>normal</v>
          </cell>
          <cell r="U1315" t="str">
            <v>NULL</v>
          </cell>
          <cell r="V1315" t="str">
            <v>NULL</v>
          </cell>
          <cell r="W1315" t="str">
            <v>NULL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  <cell r="N1316" t="str">
            <v>Unknown</v>
          </cell>
          <cell r="O1316" t="str">
            <v>none</v>
          </cell>
          <cell r="P1316" t="str">
            <v>種族なし</v>
          </cell>
          <cell r="R1316">
            <v>3</v>
          </cell>
          <cell r="S1316" t="str">
            <v>NULL</v>
          </cell>
          <cell r="T1316" t="str">
            <v>normal</v>
          </cell>
          <cell r="U1316" t="str">
            <v>NULL</v>
          </cell>
          <cell r="V1316" t="str">
            <v>NULL</v>
          </cell>
          <cell r="W1316" t="str">
            <v>NULL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  <cell r="N1317" t="str">
            <v>Unknown</v>
          </cell>
          <cell r="O1317" t="str">
            <v>none</v>
          </cell>
          <cell r="P1317" t="str">
            <v>種族なし</v>
          </cell>
          <cell r="R1317">
            <v>3</v>
          </cell>
          <cell r="S1317" t="str">
            <v>NULL</v>
          </cell>
          <cell r="T1317" t="str">
            <v>normal</v>
          </cell>
          <cell r="U1317" t="str">
            <v>NULL</v>
          </cell>
          <cell r="V1317" t="str">
            <v>NULL</v>
          </cell>
          <cell r="W1317" t="str">
            <v>NULL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  <cell r="N1318" t="str">
            <v>Unknown</v>
          </cell>
          <cell r="O1318" t="str">
            <v>none</v>
          </cell>
          <cell r="P1318" t="str">
            <v>種族なし</v>
          </cell>
          <cell r="R1318">
            <v>3</v>
          </cell>
          <cell r="S1318" t="str">
            <v>NULL</v>
          </cell>
          <cell r="T1318" t="str">
            <v>normal</v>
          </cell>
          <cell r="U1318" t="str">
            <v>NULL</v>
          </cell>
          <cell r="V1318" t="str">
            <v>NULL</v>
          </cell>
          <cell r="W1318" t="str">
            <v>NULL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  <cell r="N1319" t="str">
            <v>Unknown</v>
          </cell>
          <cell r="O1319" t="str">
            <v>none</v>
          </cell>
          <cell r="P1319" t="str">
            <v>種族なし</v>
          </cell>
          <cell r="R1319">
            <v>3</v>
          </cell>
          <cell r="S1319" t="str">
            <v>NULL</v>
          </cell>
          <cell r="T1319" t="str">
            <v>normal</v>
          </cell>
          <cell r="U1319" t="str">
            <v>NULL</v>
          </cell>
          <cell r="V1319" t="str">
            <v>NULL</v>
          </cell>
          <cell r="W1319" t="str">
            <v>NULL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  <cell r="N1320" t="str">
            <v>Unknown</v>
          </cell>
          <cell r="O1320" t="str">
            <v>none</v>
          </cell>
          <cell r="P1320" t="str">
            <v>種族なし</v>
          </cell>
          <cell r="R1320">
            <v>3</v>
          </cell>
          <cell r="S1320" t="str">
            <v>NULL</v>
          </cell>
          <cell r="T1320" t="str">
            <v>normal</v>
          </cell>
          <cell r="U1320" t="str">
            <v>NULL</v>
          </cell>
          <cell r="V1320" t="str">
            <v>NULL</v>
          </cell>
          <cell r="W1320" t="str">
            <v>NULL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  <cell r="N1321" t="str">
            <v>Unknown</v>
          </cell>
          <cell r="O1321" t="str">
            <v>none</v>
          </cell>
          <cell r="P1321" t="str">
            <v>種族なし</v>
          </cell>
          <cell r="R1321">
            <v>3</v>
          </cell>
          <cell r="S1321" t="str">
            <v>NULL</v>
          </cell>
          <cell r="T1321" t="str">
            <v>normal</v>
          </cell>
          <cell r="U1321" t="str">
            <v>NULL</v>
          </cell>
          <cell r="V1321" t="str">
            <v>NULL</v>
          </cell>
          <cell r="W1321" t="str">
            <v>NULL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  <cell r="N1322" t="str">
            <v>Unknown</v>
          </cell>
          <cell r="O1322" t="str">
            <v>none</v>
          </cell>
          <cell r="P1322" t="str">
            <v>種族なし</v>
          </cell>
          <cell r="R1322">
            <v>3</v>
          </cell>
          <cell r="S1322" t="str">
            <v>NULL</v>
          </cell>
          <cell r="T1322" t="str">
            <v>normal</v>
          </cell>
          <cell r="U1322" t="str">
            <v>NULL</v>
          </cell>
          <cell r="V1322" t="str">
            <v>NULL</v>
          </cell>
          <cell r="W1322" t="str">
            <v>NULL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  <cell r="N1323" t="str">
            <v>Unknown</v>
          </cell>
          <cell r="O1323" t="str">
            <v>none</v>
          </cell>
          <cell r="P1323" t="str">
            <v>種族なし</v>
          </cell>
          <cell r="R1323">
            <v>3</v>
          </cell>
          <cell r="S1323" t="str">
            <v>NULL</v>
          </cell>
          <cell r="T1323" t="str">
            <v>normal</v>
          </cell>
          <cell r="U1323" t="str">
            <v>NULL</v>
          </cell>
          <cell r="V1323" t="str">
            <v>NULL</v>
          </cell>
          <cell r="W1323" t="str">
            <v>NULL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  <cell r="N1324" t="str">
            <v>Unknown</v>
          </cell>
          <cell r="O1324" t="str">
            <v>none</v>
          </cell>
          <cell r="P1324" t="str">
            <v>種族なし</v>
          </cell>
          <cell r="R1324">
            <v>3</v>
          </cell>
          <cell r="S1324" t="str">
            <v>NULL</v>
          </cell>
          <cell r="T1324" t="str">
            <v>normal</v>
          </cell>
          <cell r="U1324" t="str">
            <v>NULL</v>
          </cell>
          <cell r="V1324" t="str">
            <v>NULL</v>
          </cell>
          <cell r="W1324" t="str">
            <v>NULL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  <cell r="N1325" t="str">
            <v>アニマル</v>
          </cell>
          <cell r="O1325" t="str">
            <v>unknown</v>
          </cell>
          <cell r="P1325" t="str">
            <v>Unknown</v>
          </cell>
          <cell r="R1325">
            <v>3</v>
          </cell>
          <cell r="S1325" t="str">
            <v>NULL</v>
          </cell>
          <cell r="T1325" t="str">
            <v>normal</v>
          </cell>
          <cell r="U1325" t="str">
            <v>NULL</v>
          </cell>
          <cell r="V1325" t="str">
            <v>NULL</v>
          </cell>
          <cell r="W1325" t="str">
            <v>NULL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  <cell r="N1326" t="str">
            <v>アニマル</v>
          </cell>
          <cell r="O1326" t="str">
            <v>unknown</v>
          </cell>
          <cell r="P1326" t="str">
            <v>Unknown</v>
          </cell>
          <cell r="R1326">
            <v>3</v>
          </cell>
          <cell r="S1326" t="str">
            <v>NULL</v>
          </cell>
          <cell r="T1326" t="str">
            <v>normal</v>
          </cell>
          <cell r="U1326" t="str">
            <v>NULL</v>
          </cell>
          <cell r="V1326" t="str">
            <v>NULL</v>
          </cell>
          <cell r="W1326" t="str">
            <v>NULL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  <cell r="N1327" t="str">
            <v>ゴッド</v>
          </cell>
          <cell r="O1327" t="str">
            <v>none</v>
          </cell>
          <cell r="P1327" t="str">
            <v>種族なし</v>
          </cell>
          <cell r="R1327">
            <v>3</v>
          </cell>
          <cell r="S1327" t="str">
            <v>NULL</v>
          </cell>
          <cell r="T1327" t="str">
            <v>normal</v>
          </cell>
          <cell r="U1327" t="str">
            <v>NULL</v>
          </cell>
          <cell r="V1327" t="str">
            <v>NULL</v>
          </cell>
          <cell r="W1327" t="str">
            <v>NULL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  <cell r="N1328" t="str">
            <v>ゴッド</v>
          </cell>
          <cell r="O1328" t="str">
            <v>none</v>
          </cell>
          <cell r="P1328" t="str">
            <v>種族なし</v>
          </cell>
          <cell r="R1328">
            <v>3</v>
          </cell>
          <cell r="S1328" t="str">
            <v>NULL</v>
          </cell>
          <cell r="T1328" t="str">
            <v>normal</v>
          </cell>
          <cell r="U1328" t="str">
            <v>NULL</v>
          </cell>
          <cell r="V1328" t="str">
            <v>NULL</v>
          </cell>
          <cell r="W1328" t="str">
            <v>NULL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  <cell r="N1329" t="str">
            <v>ゴッド</v>
          </cell>
          <cell r="O1329" t="str">
            <v>none</v>
          </cell>
          <cell r="P1329" t="str">
            <v>種族なし</v>
          </cell>
          <cell r="R1329">
            <v>1</v>
          </cell>
          <cell r="S1329" t="str">
            <v>NULL</v>
          </cell>
          <cell r="T1329" t="str">
            <v>normal</v>
          </cell>
          <cell r="U1329" t="str">
            <v>NULL</v>
          </cell>
          <cell r="V1329" t="str">
            <v>NULL</v>
          </cell>
          <cell r="W1329" t="str">
            <v>NULL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  <cell r="N1330" t="str">
            <v>ゴッド</v>
          </cell>
          <cell r="O1330" t="str">
            <v>none</v>
          </cell>
          <cell r="P1330" t="str">
            <v>種族なし</v>
          </cell>
          <cell r="R1330">
            <v>1</v>
          </cell>
          <cell r="S1330" t="str">
            <v>NULL</v>
          </cell>
          <cell r="T1330" t="str">
            <v>normal</v>
          </cell>
          <cell r="U1330" t="str">
            <v>NULL</v>
          </cell>
          <cell r="V1330" t="str">
            <v>NULL</v>
          </cell>
          <cell r="W1330" t="str">
            <v>NULL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  <cell r="N1331" t="str">
            <v>ヒーロー</v>
          </cell>
          <cell r="O1331" t="str">
            <v>none</v>
          </cell>
          <cell r="P1331" t="str">
            <v>種族なし</v>
          </cell>
          <cell r="R1331">
            <v>3</v>
          </cell>
          <cell r="S1331" t="str">
            <v>NULL</v>
          </cell>
          <cell r="T1331" t="str">
            <v>normal</v>
          </cell>
          <cell r="U1331" t="str">
            <v>NULL</v>
          </cell>
          <cell r="V1331" t="str">
            <v>NULL</v>
          </cell>
          <cell r="W1331" t="str">
            <v>NULL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  <cell r="N1332" t="str">
            <v>ヒーロー</v>
          </cell>
          <cell r="O1332" t="str">
            <v>none</v>
          </cell>
          <cell r="P1332" t="str">
            <v>種族なし</v>
          </cell>
          <cell r="R1332">
            <v>3</v>
          </cell>
          <cell r="S1332" t="str">
            <v>NULL</v>
          </cell>
          <cell r="T1332" t="str">
            <v>normal</v>
          </cell>
          <cell r="U1332" t="str">
            <v>NULL</v>
          </cell>
          <cell r="V1332" t="str">
            <v>NULL</v>
          </cell>
          <cell r="W1332" t="str">
            <v>NULL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  <cell r="N1333" t="str">
            <v>ゴッド</v>
          </cell>
          <cell r="O1333" t="str">
            <v>none</v>
          </cell>
          <cell r="P1333" t="str">
            <v>種族なし</v>
          </cell>
          <cell r="R1333">
            <v>3</v>
          </cell>
          <cell r="S1333" t="str">
            <v>NULL</v>
          </cell>
          <cell r="T1333" t="str">
            <v>normal</v>
          </cell>
          <cell r="U1333" t="str">
            <v>NULL</v>
          </cell>
          <cell r="V1333" t="str">
            <v>NULL</v>
          </cell>
          <cell r="W1333" t="str">
            <v>NULL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  <cell r="N1334" t="str">
            <v>ゴッド</v>
          </cell>
          <cell r="O1334" t="str">
            <v>none</v>
          </cell>
          <cell r="P1334" t="str">
            <v>種族なし</v>
          </cell>
          <cell r="R1334">
            <v>3</v>
          </cell>
          <cell r="S1334" t="str">
            <v>NULL</v>
          </cell>
          <cell r="T1334" t="str">
            <v>normal</v>
          </cell>
          <cell r="U1334" t="str">
            <v>NULL</v>
          </cell>
          <cell r="V1334" t="str">
            <v>NULL</v>
          </cell>
          <cell r="W1334" t="str">
            <v>NULL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  <cell r="N1335" t="str">
            <v>ゴッド</v>
          </cell>
          <cell r="O1335" t="str">
            <v>none</v>
          </cell>
          <cell r="P1335" t="str">
            <v>種族なし</v>
          </cell>
          <cell r="R1335">
            <v>3</v>
          </cell>
          <cell r="S1335" t="str">
            <v>NULL</v>
          </cell>
          <cell r="T1335" t="str">
            <v>normal</v>
          </cell>
          <cell r="U1335" t="str">
            <v>NULL</v>
          </cell>
          <cell r="V1335" t="str">
            <v>NULL</v>
          </cell>
          <cell r="W1335" t="str">
            <v>NULL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  <cell r="N1336" t="str">
            <v>ゴッド</v>
          </cell>
          <cell r="O1336" t="str">
            <v>none</v>
          </cell>
          <cell r="P1336" t="str">
            <v>種族なし</v>
          </cell>
          <cell r="R1336">
            <v>3</v>
          </cell>
          <cell r="S1336" t="str">
            <v>NULL</v>
          </cell>
          <cell r="T1336" t="str">
            <v>normal</v>
          </cell>
          <cell r="U1336" t="str">
            <v>NULL</v>
          </cell>
          <cell r="V1336" t="str">
            <v>NULL</v>
          </cell>
          <cell r="W1336" t="str">
            <v>NULL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  <cell r="N1337" t="str">
            <v>ゴッド</v>
          </cell>
          <cell r="O1337" t="str">
            <v>hero</v>
          </cell>
          <cell r="P1337" t="str">
            <v>ヒーロー</v>
          </cell>
          <cell r="R1337">
            <v>3</v>
          </cell>
          <cell r="S1337" t="str">
            <v>NULL</v>
          </cell>
          <cell r="T1337" t="str">
            <v>normal</v>
          </cell>
          <cell r="U1337" t="str">
            <v>NULL</v>
          </cell>
          <cell r="V1337" t="str">
            <v>NULL</v>
          </cell>
          <cell r="W1337" t="str">
            <v>NULL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  <cell r="N1338" t="str">
            <v>ゴッド</v>
          </cell>
          <cell r="O1338" t="str">
            <v>hero</v>
          </cell>
          <cell r="P1338" t="str">
            <v>ヒーロー</v>
          </cell>
          <cell r="R1338">
            <v>3</v>
          </cell>
          <cell r="S1338" t="str">
            <v>NULL</v>
          </cell>
          <cell r="T1338" t="str">
            <v>normal</v>
          </cell>
          <cell r="U1338" t="str">
            <v>NULL</v>
          </cell>
          <cell r="V1338" t="str">
            <v>NULL</v>
          </cell>
          <cell r="W1338" t="str">
            <v>NULL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  <cell r="N1339" t="str">
            <v>ゴッド</v>
          </cell>
          <cell r="O1339" t="str">
            <v>none</v>
          </cell>
          <cell r="P1339" t="str">
            <v>種族なし</v>
          </cell>
          <cell r="R1339">
            <v>3</v>
          </cell>
          <cell r="S1339" t="str">
            <v>NULL</v>
          </cell>
          <cell r="T1339" t="str">
            <v>normal</v>
          </cell>
          <cell r="U1339" t="str">
            <v>NULL</v>
          </cell>
          <cell r="V1339" t="str">
            <v>NULL</v>
          </cell>
          <cell r="W1339" t="str">
            <v>NULL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  <cell r="N1340" t="str">
            <v>ゴッド</v>
          </cell>
          <cell r="O1340" t="str">
            <v>none</v>
          </cell>
          <cell r="P1340" t="str">
            <v>種族なし</v>
          </cell>
          <cell r="R1340">
            <v>3</v>
          </cell>
          <cell r="S1340" t="str">
            <v>NULL</v>
          </cell>
          <cell r="T1340" t="str">
            <v>normal</v>
          </cell>
          <cell r="U1340" t="str">
            <v>NULL</v>
          </cell>
          <cell r="V1340" t="str">
            <v>NULL</v>
          </cell>
          <cell r="W1340" t="str">
            <v>NULL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  <cell r="N1341" t="str">
            <v>アカデミア</v>
          </cell>
          <cell r="O1341" t="str">
            <v>demon</v>
          </cell>
          <cell r="P1341" t="str">
            <v>デーモン</v>
          </cell>
          <cell r="R1341">
            <v>3</v>
          </cell>
          <cell r="S1341" t="str">
            <v>NULL</v>
          </cell>
          <cell r="T1341" t="str">
            <v>normal</v>
          </cell>
          <cell r="U1341" t="str">
            <v>NULL</v>
          </cell>
          <cell r="V1341" t="str">
            <v>NULL</v>
          </cell>
          <cell r="W1341" t="str">
            <v>NULL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  <cell r="N1342" t="str">
            <v>アカデミア</v>
          </cell>
          <cell r="O1342" t="str">
            <v>demon</v>
          </cell>
          <cell r="P1342" t="str">
            <v>デーモン</v>
          </cell>
          <cell r="R1342">
            <v>3</v>
          </cell>
          <cell r="S1342" t="str">
            <v>NULL</v>
          </cell>
          <cell r="T1342" t="str">
            <v>normal</v>
          </cell>
          <cell r="U1342" t="str">
            <v>NULL</v>
          </cell>
          <cell r="V1342" t="str">
            <v>NULL</v>
          </cell>
          <cell r="W1342" t="str">
            <v>NULL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  <cell r="N1343" t="str">
            <v>ヒューマン</v>
          </cell>
          <cell r="O1343" t="str">
            <v>none</v>
          </cell>
          <cell r="P1343" t="str">
            <v>種族なし</v>
          </cell>
          <cell r="R1343">
            <v>1</v>
          </cell>
          <cell r="S1343" t="str">
            <v>NULL</v>
          </cell>
          <cell r="T1343" t="str">
            <v>normal</v>
          </cell>
          <cell r="U1343" t="str">
            <v>NULL</v>
          </cell>
          <cell r="V1343" t="str">
            <v>NULL</v>
          </cell>
          <cell r="W1343" t="str">
            <v>NULL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  <cell r="N1344" t="str">
            <v>ヒューマン</v>
          </cell>
          <cell r="O1344" t="str">
            <v>none</v>
          </cell>
          <cell r="P1344" t="str">
            <v>種族なし</v>
          </cell>
          <cell r="R1344">
            <v>1</v>
          </cell>
          <cell r="S1344" t="str">
            <v>NULL</v>
          </cell>
          <cell r="T1344" t="str">
            <v>normal</v>
          </cell>
          <cell r="U1344" t="str">
            <v>NULL</v>
          </cell>
          <cell r="V1344" t="str">
            <v>NULL</v>
          </cell>
          <cell r="W1344" t="str">
            <v>NULL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  <cell r="N1345" t="str">
            <v>ヒーロー</v>
          </cell>
          <cell r="O1345" t="str">
            <v>unknown</v>
          </cell>
          <cell r="P1345" t="str">
            <v>Unknown</v>
          </cell>
          <cell r="R1345">
            <v>1</v>
          </cell>
          <cell r="S1345" t="str">
            <v>NULL</v>
          </cell>
          <cell r="T1345" t="str">
            <v>normal</v>
          </cell>
          <cell r="U1345" t="str">
            <v>NULL</v>
          </cell>
          <cell r="V1345" t="str">
            <v>NULL</v>
          </cell>
          <cell r="W1345" t="str">
            <v>NULL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  <cell r="N1346" t="str">
            <v>ヒーロー</v>
          </cell>
          <cell r="O1346" t="str">
            <v>unknown</v>
          </cell>
          <cell r="P1346" t="str">
            <v>Unknown</v>
          </cell>
          <cell r="R1346">
            <v>1</v>
          </cell>
          <cell r="S1346" t="str">
            <v>NULL</v>
          </cell>
          <cell r="T1346" t="str">
            <v>normal</v>
          </cell>
          <cell r="U1346" t="str">
            <v>NULL</v>
          </cell>
          <cell r="V1346" t="str">
            <v>NULL</v>
          </cell>
          <cell r="W1346" t="str">
            <v>NULL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  <cell r="N1347" t="str">
            <v>ヒューマン</v>
          </cell>
          <cell r="O1347" t="str">
            <v>none</v>
          </cell>
          <cell r="P1347" t="str">
            <v>種族なし</v>
          </cell>
          <cell r="R1347">
            <v>1</v>
          </cell>
          <cell r="S1347" t="str">
            <v>NULL</v>
          </cell>
          <cell r="T1347" t="str">
            <v>normal</v>
          </cell>
          <cell r="U1347" t="str">
            <v>NULL</v>
          </cell>
          <cell r="V1347" t="str">
            <v>NULL</v>
          </cell>
          <cell r="W1347" t="str">
            <v>NULL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  <cell r="N1348" t="str">
            <v>ヒューマン</v>
          </cell>
          <cell r="O1348" t="str">
            <v>none</v>
          </cell>
          <cell r="P1348" t="str">
            <v>種族なし</v>
          </cell>
          <cell r="R1348">
            <v>1</v>
          </cell>
          <cell r="S1348" t="str">
            <v>NULL</v>
          </cell>
          <cell r="T1348" t="str">
            <v>normal</v>
          </cell>
          <cell r="U1348" t="str">
            <v>NULL</v>
          </cell>
          <cell r="V1348" t="str">
            <v>NULL</v>
          </cell>
          <cell r="W1348" t="str">
            <v>NULL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  <cell r="N1349" t="str">
            <v>アカデミア</v>
          </cell>
          <cell r="O1349" t="str">
            <v>unknown</v>
          </cell>
          <cell r="P1349" t="str">
            <v>Unknown</v>
          </cell>
          <cell r="R1349">
            <v>3</v>
          </cell>
          <cell r="S1349" t="str">
            <v>NULL</v>
          </cell>
          <cell r="T1349" t="str">
            <v>normal</v>
          </cell>
          <cell r="U1349" t="str">
            <v>NULL</v>
          </cell>
          <cell r="V1349" t="str">
            <v>NULL</v>
          </cell>
          <cell r="W1349" t="str">
            <v>NULL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  <cell r="N1350" t="str">
            <v>アカデミア</v>
          </cell>
          <cell r="O1350" t="str">
            <v>unknown</v>
          </cell>
          <cell r="P1350" t="str">
            <v>Unknown</v>
          </cell>
          <cell r="R1350">
            <v>3</v>
          </cell>
          <cell r="S1350" t="str">
            <v>NULL</v>
          </cell>
          <cell r="T1350" t="str">
            <v>normal</v>
          </cell>
          <cell r="U1350" t="str">
            <v>NULL</v>
          </cell>
          <cell r="V1350" t="str">
            <v>NULL</v>
          </cell>
          <cell r="W1350" t="str">
            <v>NULL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  <cell r="N1351" t="str">
            <v>ヒューマン</v>
          </cell>
          <cell r="O1351" t="str">
            <v>none</v>
          </cell>
          <cell r="P1351" t="str">
            <v>種族なし</v>
          </cell>
          <cell r="R1351">
            <v>1</v>
          </cell>
          <cell r="S1351" t="str">
            <v>NULL</v>
          </cell>
          <cell r="T1351" t="str">
            <v>normal</v>
          </cell>
          <cell r="U1351" t="str">
            <v>NULL</v>
          </cell>
          <cell r="V1351" t="str">
            <v>NULL</v>
          </cell>
          <cell r="W1351" t="str">
            <v>NULL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  <cell r="N1352" t="str">
            <v>ヒューマン</v>
          </cell>
          <cell r="O1352" t="str">
            <v>none</v>
          </cell>
          <cell r="P1352" t="str">
            <v>種族なし</v>
          </cell>
          <cell r="R1352">
            <v>3</v>
          </cell>
          <cell r="S1352" t="str">
            <v>NULL</v>
          </cell>
          <cell r="T1352" t="str">
            <v>normal</v>
          </cell>
          <cell r="U1352" t="str">
            <v>NULL</v>
          </cell>
          <cell r="V1352" t="str">
            <v>NULL</v>
          </cell>
          <cell r="W1352" t="str">
            <v>NULL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  <cell r="N1353" t="str">
            <v>ヒューマン</v>
          </cell>
          <cell r="O1353" t="str">
            <v>none</v>
          </cell>
          <cell r="P1353" t="str">
            <v>種族なし</v>
          </cell>
          <cell r="R1353">
            <v>3</v>
          </cell>
          <cell r="S1353" t="str">
            <v>NULL</v>
          </cell>
          <cell r="T1353" t="str">
            <v>normal</v>
          </cell>
          <cell r="U1353" t="str">
            <v>NULL</v>
          </cell>
          <cell r="V1353" t="str">
            <v>NULL</v>
          </cell>
          <cell r="W1353" t="str">
            <v>NULL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  <cell r="N1354" t="str">
            <v>ヒューマン</v>
          </cell>
          <cell r="O1354" t="str">
            <v>none</v>
          </cell>
          <cell r="P1354" t="str">
            <v>種族なし</v>
          </cell>
          <cell r="R1354">
            <v>3</v>
          </cell>
          <cell r="S1354" t="str">
            <v>NULL</v>
          </cell>
          <cell r="T1354" t="str">
            <v>normal</v>
          </cell>
          <cell r="U1354" t="str">
            <v>NULL</v>
          </cell>
          <cell r="V1354" t="str">
            <v>NULL</v>
          </cell>
          <cell r="W1354" t="str">
            <v>NULL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  <cell r="N1355" t="str">
            <v>アニマル</v>
          </cell>
          <cell r="O1355" t="str">
            <v>none</v>
          </cell>
          <cell r="P1355" t="str">
            <v>種族なし</v>
          </cell>
          <cell r="R1355">
            <v>3</v>
          </cell>
          <cell r="S1355" t="str">
            <v>NULL</v>
          </cell>
          <cell r="T1355" t="str">
            <v>normal</v>
          </cell>
          <cell r="U1355" t="str">
            <v>NULL</v>
          </cell>
          <cell r="V1355" t="str">
            <v>NULL</v>
          </cell>
          <cell r="W1355" t="str">
            <v>NULL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  <cell r="N1356" t="str">
            <v>ゴッド</v>
          </cell>
          <cell r="O1356" t="str">
            <v>machine</v>
          </cell>
          <cell r="P1356" t="str">
            <v>マシン</v>
          </cell>
          <cell r="R1356">
            <v>3</v>
          </cell>
          <cell r="S1356" t="str">
            <v>NULL</v>
          </cell>
          <cell r="T1356" t="str">
            <v>normal</v>
          </cell>
          <cell r="U1356" t="str">
            <v>NULL</v>
          </cell>
          <cell r="V1356" t="str">
            <v>NULL</v>
          </cell>
          <cell r="W1356" t="str">
            <v>NULL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  <cell r="N1357" t="str">
            <v>アニマル</v>
          </cell>
          <cell r="O1357" t="str">
            <v>none</v>
          </cell>
          <cell r="P1357" t="str">
            <v>種族なし</v>
          </cell>
          <cell r="R1357">
            <v>3</v>
          </cell>
          <cell r="S1357" t="str">
            <v>NULL</v>
          </cell>
          <cell r="T1357" t="str">
            <v>normal</v>
          </cell>
          <cell r="U1357" t="str">
            <v>NULL</v>
          </cell>
          <cell r="V1357" t="str">
            <v>NULL</v>
          </cell>
          <cell r="W1357" t="str">
            <v>NULL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  <cell r="N1358" t="str">
            <v>ゴッド</v>
          </cell>
          <cell r="O1358" t="str">
            <v>none</v>
          </cell>
          <cell r="P1358" t="str">
            <v>種族なし</v>
          </cell>
          <cell r="R1358">
            <v>3</v>
          </cell>
          <cell r="S1358" t="str">
            <v>NULL</v>
          </cell>
          <cell r="T1358" t="str">
            <v>normal</v>
          </cell>
          <cell r="U1358" t="str">
            <v>NULL</v>
          </cell>
          <cell r="V1358" t="str">
            <v>NULL</v>
          </cell>
          <cell r="W1358" t="str">
            <v>NULL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  <cell r="N1359" t="str">
            <v>ドラゴン</v>
          </cell>
          <cell r="O1359" t="str">
            <v>none</v>
          </cell>
          <cell r="P1359" t="str">
            <v>種族なし</v>
          </cell>
          <cell r="R1359">
            <v>3</v>
          </cell>
          <cell r="S1359" t="str">
            <v>NULL</v>
          </cell>
          <cell r="T1359" t="str">
            <v>normal</v>
          </cell>
          <cell r="U1359" t="str">
            <v>NULL</v>
          </cell>
          <cell r="V1359" t="str">
            <v>NULL</v>
          </cell>
          <cell r="W1359" t="str">
            <v>NULL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  <cell r="N1360" t="str">
            <v>ヒューマン</v>
          </cell>
          <cell r="O1360" t="str">
            <v>none</v>
          </cell>
          <cell r="P1360" t="str">
            <v>種族なし</v>
          </cell>
          <cell r="R1360">
            <v>3</v>
          </cell>
          <cell r="S1360" t="str">
            <v>NULL</v>
          </cell>
          <cell r="T1360" t="str">
            <v>normal</v>
          </cell>
          <cell r="U1360" t="str">
            <v>NULL</v>
          </cell>
          <cell r="V1360" t="str">
            <v>NULL</v>
          </cell>
          <cell r="W1360" t="str">
            <v>NULL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  <cell r="N1361" t="str">
            <v>ヒューマン</v>
          </cell>
          <cell r="O1361" t="str">
            <v>none</v>
          </cell>
          <cell r="P1361" t="str">
            <v>種族なし</v>
          </cell>
          <cell r="R1361">
            <v>3</v>
          </cell>
          <cell r="S1361" t="str">
            <v>NULL</v>
          </cell>
          <cell r="T1361" t="str">
            <v>normal</v>
          </cell>
          <cell r="U1361" t="str">
            <v>NULL</v>
          </cell>
          <cell r="V1361" t="str">
            <v>NULL</v>
          </cell>
          <cell r="W1361" t="str">
            <v>NULL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  <cell r="N1362" t="str">
            <v>ヒューマン</v>
          </cell>
          <cell r="O1362" t="str">
            <v>none</v>
          </cell>
          <cell r="P1362" t="str">
            <v>種族なし</v>
          </cell>
          <cell r="R1362">
            <v>1</v>
          </cell>
          <cell r="S1362" t="str">
            <v>NULL</v>
          </cell>
          <cell r="T1362" t="str">
            <v>normal</v>
          </cell>
          <cell r="U1362" t="str">
            <v>NULL</v>
          </cell>
          <cell r="V1362" t="str">
            <v>NULL</v>
          </cell>
          <cell r="W1362" t="str">
            <v>NULL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  <cell r="N1363" t="str">
            <v>ヒューマン</v>
          </cell>
          <cell r="O1363" t="str">
            <v>none</v>
          </cell>
          <cell r="P1363" t="str">
            <v>種族なし</v>
          </cell>
          <cell r="R1363">
            <v>3</v>
          </cell>
          <cell r="S1363" t="str">
            <v>NULL</v>
          </cell>
          <cell r="T1363" t="str">
            <v>normal</v>
          </cell>
          <cell r="U1363" t="str">
            <v>NULL</v>
          </cell>
          <cell r="V1363" t="str">
            <v>NULL</v>
          </cell>
          <cell r="W1363" t="str">
            <v>NULL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  <cell r="N1364" t="str">
            <v>ヒューマン</v>
          </cell>
          <cell r="O1364" t="str">
            <v>none</v>
          </cell>
          <cell r="P1364" t="str">
            <v>種族なし</v>
          </cell>
          <cell r="R1364">
            <v>3</v>
          </cell>
          <cell r="S1364" t="str">
            <v>NULL</v>
          </cell>
          <cell r="T1364" t="str">
            <v>normal</v>
          </cell>
          <cell r="U1364" t="str">
            <v>NULL</v>
          </cell>
          <cell r="V1364" t="str">
            <v>NULL</v>
          </cell>
          <cell r="W1364" t="str">
            <v>NULL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  <cell r="N1365" t="str">
            <v>ヒューマン</v>
          </cell>
          <cell r="O1365" t="str">
            <v>none</v>
          </cell>
          <cell r="P1365" t="str">
            <v>種族なし</v>
          </cell>
          <cell r="R1365">
            <v>3</v>
          </cell>
          <cell r="S1365" t="str">
            <v>NULL</v>
          </cell>
          <cell r="T1365" t="str">
            <v>normal</v>
          </cell>
          <cell r="U1365" t="str">
            <v>NULL</v>
          </cell>
          <cell r="V1365" t="str">
            <v>NULL</v>
          </cell>
          <cell r="W1365" t="str">
            <v>NULL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  <cell r="N1366" t="str">
            <v>アカデミア</v>
          </cell>
          <cell r="O1366" t="str">
            <v>none</v>
          </cell>
          <cell r="P1366" t="str">
            <v>種族なし</v>
          </cell>
          <cell r="R1366">
            <v>1</v>
          </cell>
          <cell r="S1366" t="str">
            <v>NULL</v>
          </cell>
          <cell r="T1366" t="str">
            <v>normal</v>
          </cell>
          <cell r="U1366" t="str">
            <v>NULL</v>
          </cell>
          <cell r="V1366" t="str">
            <v>NULL</v>
          </cell>
          <cell r="W1366" t="str">
            <v>NULL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  <cell r="N1367" t="str">
            <v>アカデミア</v>
          </cell>
          <cell r="O1367" t="str">
            <v>none</v>
          </cell>
          <cell r="P1367" t="str">
            <v>種族なし</v>
          </cell>
          <cell r="R1367">
            <v>1</v>
          </cell>
          <cell r="S1367" t="str">
            <v>NULL</v>
          </cell>
          <cell r="T1367" t="str">
            <v>normal</v>
          </cell>
          <cell r="U1367" t="str">
            <v>NULL</v>
          </cell>
          <cell r="V1367" t="str">
            <v>NULL</v>
          </cell>
          <cell r="W1367" t="str">
            <v>NULL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  <cell r="N1368" t="str">
            <v>アカデミア</v>
          </cell>
          <cell r="O1368" t="str">
            <v>human</v>
          </cell>
          <cell r="P1368" t="str">
            <v>ヒューマン</v>
          </cell>
          <cell r="R1368">
            <v>3</v>
          </cell>
          <cell r="S1368" t="str">
            <v>NULL</v>
          </cell>
          <cell r="T1368" t="str">
            <v>normal</v>
          </cell>
          <cell r="U1368" t="str">
            <v>NULL</v>
          </cell>
          <cell r="V1368" t="str">
            <v>NULL</v>
          </cell>
          <cell r="W1368" t="str">
            <v>NULL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  <cell r="N1369" t="str">
            <v>アカデミア</v>
          </cell>
          <cell r="O1369" t="str">
            <v>human</v>
          </cell>
          <cell r="P1369" t="str">
            <v>ヒューマン</v>
          </cell>
          <cell r="R1369">
            <v>3</v>
          </cell>
          <cell r="S1369" t="str">
            <v>NULL</v>
          </cell>
          <cell r="T1369" t="str">
            <v>normal</v>
          </cell>
          <cell r="U1369" t="str">
            <v>NULL</v>
          </cell>
          <cell r="V1369" t="str">
            <v>NULL</v>
          </cell>
          <cell r="W1369" t="str">
            <v>NULL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  <cell r="N1370" t="str">
            <v>デーモン</v>
          </cell>
          <cell r="O1370" t="str">
            <v>unknown</v>
          </cell>
          <cell r="P1370" t="str">
            <v>Unknown</v>
          </cell>
          <cell r="R1370">
            <v>3</v>
          </cell>
          <cell r="S1370" t="str">
            <v>NULL</v>
          </cell>
          <cell r="T1370" t="str">
            <v>normal</v>
          </cell>
          <cell r="U1370" t="str">
            <v>NULL</v>
          </cell>
          <cell r="V1370" t="str">
            <v>NULL</v>
          </cell>
          <cell r="W1370" t="str">
            <v>NULL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  <cell r="N1371" t="str">
            <v>デーモン</v>
          </cell>
          <cell r="O1371" t="str">
            <v>unknown</v>
          </cell>
          <cell r="P1371" t="str">
            <v>Unknown</v>
          </cell>
          <cell r="R1371">
            <v>3</v>
          </cell>
          <cell r="S1371" t="str">
            <v>NULL</v>
          </cell>
          <cell r="T1371" t="str">
            <v>normal</v>
          </cell>
          <cell r="U1371" t="str">
            <v>NULL</v>
          </cell>
          <cell r="V1371" t="str">
            <v>NULL</v>
          </cell>
          <cell r="W1371" t="str">
            <v>NULL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H1372" t="str">
            <v>blue</v>
          </cell>
          <cell r="I1372">
            <v>5</v>
          </cell>
          <cell r="J1372" t="str">
            <v>PremiumSSS</v>
          </cell>
          <cell r="K1372" t="str">
            <v>balance</v>
          </cell>
          <cell r="L1372" t="str">
            <v>バランスタイプ</v>
          </cell>
          <cell r="M1372" t="str">
            <v>academia</v>
          </cell>
          <cell r="N1372" t="str">
            <v>アカデミア</v>
          </cell>
          <cell r="O1372" t="str">
            <v>animal</v>
          </cell>
          <cell r="P1372" t="str">
            <v>アニマル</v>
          </cell>
          <cell r="R1372">
            <v>3</v>
          </cell>
          <cell r="S1372" t="str">
            <v>NULL</v>
          </cell>
          <cell r="T1372" t="str">
            <v>normal</v>
          </cell>
          <cell r="U1372" t="str">
            <v>NULL</v>
          </cell>
          <cell r="V1372" t="str">
            <v>NULL</v>
          </cell>
          <cell r="W1372" t="str">
            <v>NULL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H1373" t="str">
            <v>blue</v>
          </cell>
          <cell r="I1373">
            <v>6</v>
          </cell>
          <cell r="J1373" t="str">
            <v>PremiumSSS</v>
          </cell>
          <cell r="K1373" t="str">
            <v>balance</v>
          </cell>
          <cell r="L1373" t="str">
            <v>バランスタイプ</v>
          </cell>
          <cell r="M1373" t="str">
            <v>academia</v>
          </cell>
          <cell r="N1373" t="str">
            <v>アカデミア</v>
          </cell>
          <cell r="O1373" t="str">
            <v>animal</v>
          </cell>
          <cell r="P1373" t="str">
            <v>アニマル</v>
          </cell>
          <cell r="R1373">
            <v>3</v>
          </cell>
          <cell r="S1373" t="str">
            <v>NULL</v>
          </cell>
          <cell r="T1373" t="str">
            <v>normal</v>
          </cell>
          <cell r="U1373" t="str">
            <v>NULL</v>
          </cell>
          <cell r="V1373" t="str">
            <v>NULL</v>
          </cell>
          <cell r="W1373" t="str">
            <v>NULL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H1374" t="str">
            <v>green</v>
          </cell>
          <cell r="I1374">
            <v>5</v>
          </cell>
          <cell r="J1374" t="str">
            <v>PremiumSSS</v>
          </cell>
          <cell r="K1374" t="str">
            <v>attack</v>
          </cell>
          <cell r="L1374" t="str">
            <v>攻撃タイプ</v>
          </cell>
          <cell r="M1374" t="str">
            <v>god</v>
          </cell>
          <cell r="N1374" t="str">
            <v>ゴッド</v>
          </cell>
          <cell r="O1374" t="str">
            <v>unknown</v>
          </cell>
          <cell r="P1374" t="str">
            <v>Unknown</v>
          </cell>
          <cell r="R1374">
            <v>3</v>
          </cell>
          <cell r="S1374" t="str">
            <v>NULL</v>
          </cell>
          <cell r="T1374" t="str">
            <v>normal</v>
          </cell>
          <cell r="U1374" t="str">
            <v>NULL</v>
          </cell>
          <cell r="V1374" t="str">
            <v>NULL</v>
          </cell>
          <cell r="W1374" t="str">
            <v>NULL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H1375" t="str">
            <v>green</v>
          </cell>
          <cell r="I1375">
            <v>6</v>
          </cell>
          <cell r="J1375" t="str">
            <v>PremiumSSS</v>
          </cell>
          <cell r="K1375" t="str">
            <v>attack</v>
          </cell>
          <cell r="L1375" t="str">
            <v>攻撃タイプ</v>
          </cell>
          <cell r="M1375" t="str">
            <v>god</v>
          </cell>
          <cell r="N1375" t="str">
            <v>ゴッド</v>
          </cell>
          <cell r="O1375" t="str">
            <v>unknown</v>
          </cell>
          <cell r="P1375" t="str">
            <v>Unknown</v>
          </cell>
          <cell r="R1375">
            <v>3</v>
          </cell>
          <cell r="S1375" t="str">
            <v>NULL</v>
          </cell>
          <cell r="T1375" t="str">
            <v>normal</v>
          </cell>
          <cell r="U1375" t="str">
            <v>NULL</v>
          </cell>
          <cell r="V1375" t="str">
            <v>NULL</v>
          </cell>
          <cell r="W1375" t="str">
            <v>NULL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H1376" t="str">
            <v>yellow</v>
          </cell>
          <cell r="I1376">
            <v>5</v>
          </cell>
          <cell r="J1376" t="str">
            <v>PremiumSSw</v>
          </cell>
          <cell r="K1376" t="str">
            <v>hp</v>
          </cell>
          <cell r="L1376" t="str">
            <v>体力タイプ</v>
          </cell>
          <cell r="M1376" t="str">
            <v>hero</v>
          </cell>
          <cell r="N1376" t="str">
            <v>ヒーロー</v>
          </cell>
          <cell r="O1376" t="str">
            <v>unknown</v>
          </cell>
          <cell r="P1376" t="str">
            <v>Unknown</v>
          </cell>
          <cell r="R1376">
            <v>3</v>
          </cell>
          <cell r="S1376" t="str">
            <v>NULL</v>
          </cell>
          <cell r="T1376" t="str">
            <v>normal</v>
          </cell>
          <cell r="U1376" t="str">
            <v>NULL</v>
          </cell>
          <cell r="V1376" t="str">
            <v>NULL</v>
          </cell>
          <cell r="W1376" t="str">
            <v>NULL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H1377" t="str">
            <v>yellow</v>
          </cell>
          <cell r="I1377">
            <v>6</v>
          </cell>
          <cell r="J1377" t="str">
            <v>PremiumSSw</v>
          </cell>
          <cell r="K1377" t="str">
            <v>hp</v>
          </cell>
          <cell r="L1377" t="str">
            <v>体力タイプ</v>
          </cell>
          <cell r="M1377" t="str">
            <v>hero</v>
          </cell>
          <cell r="N1377" t="str">
            <v>ヒーロー</v>
          </cell>
          <cell r="O1377" t="str">
            <v>unknown</v>
          </cell>
          <cell r="P1377" t="str">
            <v>Unknown</v>
          </cell>
          <cell r="R1377">
            <v>3</v>
          </cell>
          <cell r="S1377" t="str">
            <v>NULL</v>
          </cell>
          <cell r="T1377" t="str">
            <v>normal</v>
          </cell>
          <cell r="U1377" t="str">
            <v>NULL</v>
          </cell>
          <cell r="V1377" t="str">
            <v>NULL</v>
          </cell>
          <cell r="W1377" t="str">
            <v>NULL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H1378" t="str">
            <v>red</v>
          </cell>
          <cell r="I1378">
            <v>6</v>
          </cell>
          <cell r="J1378" t="str">
            <v>Drop2N</v>
          </cell>
          <cell r="K1378" t="str">
            <v>heal</v>
          </cell>
          <cell r="L1378" t="str">
            <v>回復タイプ</v>
          </cell>
          <cell r="M1378" t="str">
            <v>animal</v>
          </cell>
          <cell r="N1378" t="str">
            <v>アニマル</v>
          </cell>
          <cell r="O1378" t="str">
            <v>god</v>
          </cell>
          <cell r="P1378" t="str">
            <v>ゴッド</v>
          </cell>
          <cell r="R1378">
            <v>3</v>
          </cell>
          <cell r="S1378" t="str">
            <v>NULL</v>
          </cell>
          <cell r="T1378" t="str">
            <v>normal</v>
          </cell>
          <cell r="U1378" t="str">
            <v>NULL</v>
          </cell>
          <cell r="V1378" t="str">
            <v>NULL</v>
          </cell>
          <cell r="W1378" t="str">
            <v>NULL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H1379" t="str">
            <v>green</v>
          </cell>
          <cell r="I1379">
            <v>6</v>
          </cell>
          <cell r="J1379" t="str">
            <v>Drop2N</v>
          </cell>
          <cell r="K1379" t="str">
            <v>hp</v>
          </cell>
          <cell r="L1379" t="str">
            <v>体力タイプ</v>
          </cell>
          <cell r="M1379" t="str">
            <v>dragon</v>
          </cell>
          <cell r="N1379" t="str">
            <v>ドラゴン</v>
          </cell>
          <cell r="O1379" t="str">
            <v>god</v>
          </cell>
          <cell r="P1379" t="str">
            <v>ゴッド</v>
          </cell>
          <cell r="R1379">
            <v>3</v>
          </cell>
          <cell r="S1379" t="str">
            <v>NULL</v>
          </cell>
          <cell r="T1379" t="str">
            <v>normal</v>
          </cell>
          <cell r="U1379" t="str">
            <v>NULL</v>
          </cell>
          <cell r="V1379" t="str">
            <v>NULL</v>
          </cell>
          <cell r="W1379" t="str">
            <v>NULL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H1380" t="str">
            <v>blue</v>
          </cell>
          <cell r="I1380">
            <v>6</v>
          </cell>
          <cell r="J1380" t="str">
            <v>Drop2N</v>
          </cell>
          <cell r="K1380" t="str">
            <v>balance</v>
          </cell>
          <cell r="L1380" t="str">
            <v>バランスタイプ</v>
          </cell>
          <cell r="M1380" t="str">
            <v>dragon</v>
          </cell>
          <cell r="N1380" t="str">
            <v>ドラゴン</v>
          </cell>
          <cell r="O1380" t="str">
            <v>god</v>
          </cell>
          <cell r="P1380" t="str">
            <v>ゴッド</v>
          </cell>
          <cell r="R1380">
            <v>3</v>
          </cell>
          <cell r="S1380" t="str">
            <v>NULL</v>
          </cell>
          <cell r="T1380" t="str">
            <v>normal</v>
          </cell>
          <cell r="U1380" t="str">
            <v>NULL</v>
          </cell>
          <cell r="V1380" t="str">
            <v>NULL</v>
          </cell>
          <cell r="W1380" t="str">
            <v>NULL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H1381" t="str">
            <v>yellow</v>
          </cell>
          <cell r="I1381">
            <v>6</v>
          </cell>
          <cell r="J1381" t="str">
            <v>Drop2N</v>
          </cell>
          <cell r="K1381" t="str">
            <v>attack</v>
          </cell>
          <cell r="L1381" t="str">
            <v>攻撃タイプ</v>
          </cell>
          <cell r="M1381" t="str">
            <v>animal</v>
          </cell>
          <cell r="N1381" t="str">
            <v>アニマル</v>
          </cell>
          <cell r="O1381" t="str">
            <v>god</v>
          </cell>
          <cell r="P1381" t="str">
            <v>ゴッド</v>
          </cell>
          <cell r="R1381">
            <v>3</v>
          </cell>
          <cell r="S1381" t="str">
            <v>NULL</v>
          </cell>
          <cell r="T1381" t="str">
            <v>normal</v>
          </cell>
          <cell r="U1381" t="str">
            <v>NULL</v>
          </cell>
          <cell r="V1381" t="str">
            <v>NULL</v>
          </cell>
          <cell r="W1381" t="str">
            <v>NULL</v>
          </cell>
        </row>
        <row r="1382">
          <cell r="A1382">
            <v>1407</v>
          </cell>
          <cell r="B1382" t="str">
            <v>ja</v>
          </cell>
          <cell r="C1382" t="str">
            <v>グリム・ザ・ダンディ</v>
          </cell>
          <cell r="H1382" t="str">
            <v>yellow</v>
          </cell>
          <cell r="I1382">
            <v>5</v>
          </cell>
          <cell r="J1382" t="str">
            <v>DropWizS</v>
          </cell>
          <cell r="K1382" t="str">
            <v>balance</v>
          </cell>
          <cell r="L1382" t="str">
            <v>バランスタイプ</v>
          </cell>
          <cell r="M1382" t="str">
            <v>human</v>
          </cell>
          <cell r="N1382" t="str">
            <v>ヒューマン</v>
          </cell>
          <cell r="O1382" t="str">
            <v>unknown</v>
          </cell>
          <cell r="P1382" t="str">
            <v>Unknown</v>
          </cell>
          <cell r="R1382">
            <v>3</v>
          </cell>
          <cell r="S1382" t="str">
            <v>NULL</v>
          </cell>
          <cell r="T1382" t="str">
            <v>normal</v>
          </cell>
          <cell r="U1382" t="str">
            <v>NULL</v>
          </cell>
          <cell r="V1382" t="str">
            <v>NULL</v>
          </cell>
          <cell r="W1382" t="str">
            <v>NULL</v>
          </cell>
        </row>
        <row r="1383">
          <cell r="A1383">
            <v>1408</v>
          </cell>
          <cell r="B1383" t="str">
            <v>ja</v>
          </cell>
          <cell r="C1383" t="str">
            <v>爽愛の求魂 グリム・ザ・ダンディ</v>
          </cell>
          <cell r="H1383" t="str">
            <v>yellow</v>
          </cell>
          <cell r="I1383">
            <v>6</v>
          </cell>
          <cell r="J1383" t="str">
            <v>DropWizS</v>
          </cell>
          <cell r="K1383" t="str">
            <v>balance</v>
          </cell>
          <cell r="L1383" t="str">
            <v>バランスタイプ</v>
          </cell>
          <cell r="M1383" t="str">
            <v>human</v>
          </cell>
          <cell r="N1383" t="str">
            <v>ヒューマン</v>
          </cell>
          <cell r="O1383" t="str">
            <v>unknown</v>
          </cell>
          <cell r="P1383" t="str">
            <v>Unknown</v>
          </cell>
          <cell r="R1383">
            <v>3</v>
          </cell>
          <cell r="S1383" t="str">
            <v>NULL</v>
          </cell>
          <cell r="T1383" t="str">
            <v>normal</v>
          </cell>
          <cell r="U1383" t="str">
            <v>NULL</v>
          </cell>
          <cell r="V1383" t="str">
            <v>NULL</v>
          </cell>
          <cell r="W1383" t="str">
            <v>NULL</v>
          </cell>
        </row>
        <row r="1384">
          <cell r="A1384">
            <v>1409</v>
          </cell>
          <cell r="B1384" t="str">
            <v>ja</v>
          </cell>
          <cell r="C1384" t="str">
            <v>マシロ</v>
          </cell>
          <cell r="H1384" t="str">
            <v>green</v>
          </cell>
          <cell r="I1384">
            <v>5</v>
          </cell>
          <cell r="J1384" t="str">
            <v>PremiumSS</v>
          </cell>
          <cell r="K1384" t="str">
            <v>heal</v>
          </cell>
          <cell r="L1384" t="str">
            <v>回復タイプ</v>
          </cell>
          <cell r="M1384" t="str">
            <v>human</v>
          </cell>
          <cell r="N1384" t="str">
            <v>ヒューマン</v>
          </cell>
          <cell r="O1384" t="str">
            <v>none</v>
          </cell>
          <cell r="P1384" t="str">
            <v>種族なし</v>
          </cell>
          <cell r="R1384">
            <v>3</v>
          </cell>
          <cell r="S1384" t="str">
            <v>NULL</v>
          </cell>
          <cell r="T1384" t="str">
            <v>normal</v>
          </cell>
          <cell r="U1384" t="str">
            <v>NULL</v>
          </cell>
          <cell r="V1384" t="str">
            <v>NULL</v>
          </cell>
          <cell r="W1384" t="str">
            <v>NULL</v>
          </cell>
        </row>
        <row r="1385">
          <cell r="A1385">
            <v>1410</v>
          </cell>
          <cell r="B1385" t="str">
            <v>ja</v>
          </cell>
          <cell r="C1385" t="str">
            <v>浮遊する白恋 マシロ</v>
          </cell>
          <cell r="H1385" t="str">
            <v>green</v>
          </cell>
          <cell r="I1385">
            <v>6</v>
          </cell>
          <cell r="J1385" t="str">
            <v>PremiumSS</v>
          </cell>
          <cell r="K1385" t="str">
            <v>heal</v>
          </cell>
          <cell r="L1385" t="str">
            <v>回復タイプ</v>
          </cell>
          <cell r="M1385" t="str">
            <v>human</v>
          </cell>
          <cell r="N1385" t="str">
            <v>ヒューマン</v>
          </cell>
          <cell r="O1385" t="str">
            <v>none</v>
          </cell>
          <cell r="P1385" t="str">
            <v>種族なし</v>
          </cell>
          <cell r="R1385">
            <v>3</v>
          </cell>
          <cell r="S1385" t="str">
            <v>NULL</v>
          </cell>
          <cell r="T1385" t="str">
            <v>normal</v>
          </cell>
          <cell r="U1385" t="str">
            <v>NULL</v>
          </cell>
          <cell r="V1385" t="str">
            <v>NULL</v>
          </cell>
          <cell r="W1385" t="str">
            <v>NULL</v>
          </cell>
        </row>
        <row r="1386">
          <cell r="A1386">
            <v>1411</v>
          </cell>
          <cell r="B1386" t="str">
            <v>ja</v>
          </cell>
          <cell r="C1386" t="str">
            <v>ピーターパン・イノセンス</v>
          </cell>
          <cell r="H1386" t="str">
            <v>blue</v>
          </cell>
          <cell r="I1386">
            <v>5</v>
          </cell>
          <cell r="J1386" t="str">
            <v>PremiumS</v>
          </cell>
          <cell r="K1386" t="str">
            <v>attack</v>
          </cell>
          <cell r="L1386" t="str">
            <v>攻撃タイプ</v>
          </cell>
          <cell r="M1386" t="str">
            <v>human</v>
          </cell>
          <cell r="N1386" t="str">
            <v>ヒューマン</v>
          </cell>
          <cell r="O1386" t="str">
            <v>machine</v>
          </cell>
          <cell r="P1386" t="str">
            <v>マシン</v>
          </cell>
          <cell r="R1386">
            <v>3</v>
          </cell>
          <cell r="S1386" t="str">
            <v>NULL</v>
          </cell>
          <cell r="T1386" t="str">
            <v>normal</v>
          </cell>
          <cell r="U1386" t="str">
            <v>NULL</v>
          </cell>
          <cell r="V1386" t="str">
            <v>NULL</v>
          </cell>
          <cell r="W1386" t="str">
            <v>NULL</v>
          </cell>
        </row>
        <row r="1387">
          <cell r="A1387">
            <v>1412</v>
          </cell>
          <cell r="B1387" t="str">
            <v>ja</v>
          </cell>
          <cell r="C1387" t="str">
            <v>アレス・パッション</v>
          </cell>
          <cell r="H1387" t="str">
            <v>yellow</v>
          </cell>
          <cell r="I1387">
            <v>5</v>
          </cell>
          <cell r="J1387" t="str">
            <v>PremiumS</v>
          </cell>
          <cell r="K1387" t="str">
            <v>attack</v>
          </cell>
          <cell r="L1387" t="str">
            <v>攻撃タイプ</v>
          </cell>
          <cell r="M1387" t="str">
            <v>god</v>
          </cell>
          <cell r="N1387" t="str">
            <v>ゴッド</v>
          </cell>
          <cell r="O1387" t="str">
            <v>none</v>
          </cell>
          <cell r="P1387" t="str">
            <v>種族なし</v>
          </cell>
          <cell r="R1387">
            <v>3</v>
          </cell>
          <cell r="S1387" t="str">
            <v>NULL</v>
          </cell>
          <cell r="T1387" t="str">
            <v>normal</v>
          </cell>
          <cell r="U1387" t="str">
            <v>NULL</v>
          </cell>
          <cell r="V1387" t="str">
            <v>NULL</v>
          </cell>
          <cell r="W1387" t="str">
            <v>NULL</v>
          </cell>
        </row>
        <row r="1388">
          <cell r="A1388">
            <v>1413</v>
          </cell>
          <cell r="B1388" t="str">
            <v>ja</v>
          </cell>
          <cell r="C1388" t="str">
            <v>クリムト・ペリューシド</v>
          </cell>
          <cell r="H1388" t="str">
            <v>green</v>
          </cell>
          <cell r="I1388">
            <v>5</v>
          </cell>
          <cell r="J1388" t="str">
            <v>PremiumS</v>
          </cell>
          <cell r="K1388" t="str">
            <v>technical</v>
          </cell>
          <cell r="L1388" t="str">
            <v>テクニカルタイプ</v>
          </cell>
          <cell r="M1388" t="str">
            <v>human</v>
          </cell>
          <cell r="N1388" t="str">
            <v>ヒューマン</v>
          </cell>
          <cell r="O1388" t="str">
            <v>unknown</v>
          </cell>
          <cell r="P1388" t="str">
            <v>Unknown</v>
          </cell>
          <cell r="R1388">
            <v>3</v>
          </cell>
          <cell r="S1388" t="str">
            <v>NULL</v>
          </cell>
          <cell r="T1388" t="str">
            <v>normal</v>
          </cell>
          <cell r="U1388" t="str">
            <v>NULL</v>
          </cell>
          <cell r="V1388" t="str">
            <v>NULL</v>
          </cell>
          <cell r="W1388" t="str">
            <v>NULL</v>
          </cell>
        </row>
        <row r="1389">
          <cell r="A1389">
            <v>1414</v>
          </cell>
          <cell r="B1389" t="str">
            <v>ja</v>
          </cell>
          <cell r="C1389" t="str">
            <v>炎のミリオンダック 7</v>
          </cell>
          <cell r="D1389" t="str">
            <v>未定</v>
          </cell>
          <cell r="E1389" t="str">
            <v>執行者</v>
          </cell>
          <cell r="F1389" t="str">
            <v>格好いい</v>
          </cell>
          <cell r="G1389" t="str">
            <v>不明</v>
          </cell>
          <cell r="H1389" t="str">
            <v>red</v>
          </cell>
          <cell r="I1389">
            <v>6</v>
          </cell>
          <cell r="J1389" t="str">
            <v>Material</v>
          </cell>
          <cell r="K1389" t="str">
            <v>exp</v>
          </cell>
          <cell r="L1389" t="str">
            <v>強化素材タイプ</v>
          </cell>
          <cell r="M1389" t="str">
            <v>unknown</v>
          </cell>
          <cell r="N1389" t="str">
            <v>Unknown</v>
          </cell>
          <cell r="O1389" t="str">
            <v>none</v>
          </cell>
          <cell r="P1389" t="str">
            <v>種族なし</v>
          </cell>
          <cell r="Q1389" t="str">
            <v>強化素材</v>
          </cell>
          <cell r="R1389">
            <v>3</v>
          </cell>
          <cell r="S1389" t="str">
            <v>NULL</v>
          </cell>
          <cell r="T1389" t="str">
            <v>normal</v>
          </cell>
          <cell r="U1389" t="str">
            <v>NULL</v>
          </cell>
          <cell r="V1389" t="str">
            <v>NULL</v>
          </cell>
          <cell r="W1389" t="str">
            <v>NULL</v>
          </cell>
        </row>
        <row r="1390">
          <cell r="A1390">
            <v>1415</v>
          </cell>
          <cell r="B1390" t="str">
            <v>ja</v>
          </cell>
          <cell r="C1390" t="str">
            <v>森のミリオンダック 7</v>
          </cell>
          <cell r="D1390" t="str">
            <v>未定</v>
          </cell>
          <cell r="E1390" t="str">
            <v>執行者</v>
          </cell>
          <cell r="F1390" t="str">
            <v>格好いい</v>
          </cell>
          <cell r="G1390" t="str">
            <v>不明</v>
          </cell>
          <cell r="H1390" t="str">
            <v>green</v>
          </cell>
          <cell r="I1390">
            <v>6</v>
          </cell>
          <cell r="J1390" t="str">
            <v>Material</v>
          </cell>
          <cell r="K1390" t="str">
            <v>exp</v>
          </cell>
          <cell r="L1390" t="str">
            <v>強化素材タイプ</v>
          </cell>
          <cell r="M1390" t="str">
            <v>unknown</v>
          </cell>
          <cell r="N1390" t="str">
            <v>Unknown</v>
          </cell>
          <cell r="O1390" t="str">
            <v>none</v>
          </cell>
          <cell r="P1390" t="str">
            <v>種族なし</v>
          </cell>
          <cell r="Q1390" t="str">
            <v>強化素材</v>
          </cell>
          <cell r="R1390">
            <v>3</v>
          </cell>
          <cell r="S1390" t="str">
            <v>NULL</v>
          </cell>
          <cell r="T1390" t="str">
            <v>normal</v>
          </cell>
          <cell r="U1390" t="str">
            <v>NULL</v>
          </cell>
          <cell r="V1390" t="str">
            <v>NULL</v>
          </cell>
          <cell r="W1390" t="str">
            <v>NULL</v>
          </cell>
        </row>
        <row r="1391">
          <cell r="A1391">
            <v>1416</v>
          </cell>
          <cell r="B1391" t="str">
            <v>ja</v>
          </cell>
          <cell r="C1391" t="str">
            <v>水のミリオンダック 7</v>
          </cell>
          <cell r="D1391" t="str">
            <v>未定</v>
          </cell>
          <cell r="E1391" t="str">
            <v>執行者</v>
          </cell>
          <cell r="F1391" t="str">
            <v>格好いい</v>
          </cell>
          <cell r="G1391" t="str">
            <v>不明</v>
          </cell>
          <cell r="H1391" t="str">
            <v>blue</v>
          </cell>
          <cell r="I1391">
            <v>6</v>
          </cell>
          <cell r="J1391" t="str">
            <v>Material</v>
          </cell>
          <cell r="K1391" t="str">
            <v>exp</v>
          </cell>
          <cell r="L1391" t="str">
            <v>強化素材タイプ</v>
          </cell>
          <cell r="M1391" t="str">
            <v>unknown</v>
          </cell>
          <cell r="N1391" t="str">
            <v>Unknown</v>
          </cell>
          <cell r="O1391" t="str">
            <v>none</v>
          </cell>
          <cell r="P1391" t="str">
            <v>種族なし</v>
          </cell>
          <cell r="Q1391" t="str">
            <v>強化素材</v>
          </cell>
          <cell r="R1391">
            <v>3</v>
          </cell>
          <cell r="S1391" t="str">
            <v>NULL</v>
          </cell>
          <cell r="T1391" t="str">
            <v>normal</v>
          </cell>
          <cell r="U1391" t="str">
            <v>NULL</v>
          </cell>
          <cell r="V1391" t="str">
            <v>NULL</v>
          </cell>
          <cell r="W1391" t="str">
            <v>NULL</v>
          </cell>
        </row>
        <row r="1392">
          <cell r="A1392">
            <v>1417</v>
          </cell>
          <cell r="B1392" t="str">
            <v>ja</v>
          </cell>
          <cell r="C1392" t="str">
            <v>雷のミリオンダック 7</v>
          </cell>
          <cell r="D1392" t="str">
            <v>未定</v>
          </cell>
          <cell r="E1392" t="str">
            <v>執行者</v>
          </cell>
          <cell r="F1392" t="str">
            <v>格好いい</v>
          </cell>
          <cell r="G1392" t="str">
            <v>不明</v>
          </cell>
          <cell r="H1392" t="str">
            <v>yellow</v>
          </cell>
          <cell r="I1392">
            <v>6</v>
          </cell>
          <cell r="J1392" t="str">
            <v>Material</v>
          </cell>
          <cell r="K1392" t="str">
            <v>exp</v>
          </cell>
          <cell r="L1392" t="str">
            <v>強化素材タイプ</v>
          </cell>
          <cell r="M1392" t="str">
            <v>unknown</v>
          </cell>
          <cell r="N1392" t="str">
            <v>Unknown</v>
          </cell>
          <cell r="O1392" t="str">
            <v>none</v>
          </cell>
          <cell r="P1392" t="str">
            <v>種族なし</v>
          </cell>
          <cell r="Q1392" t="str">
            <v>強化素材</v>
          </cell>
          <cell r="R1392">
            <v>3</v>
          </cell>
          <cell r="S1392" t="str">
            <v>NULL</v>
          </cell>
          <cell r="T1392" t="str">
            <v>normal</v>
          </cell>
          <cell r="U1392" t="str">
            <v>NULL</v>
          </cell>
          <cell r="V1392" t="str">
            <v>NULL</v>
          </cell>
          <cell r="W1392" t="str">
            <v>NULL</v>
          </cell>
        </row>
        <row r="1393">
          <cell r="A1393">
            <v>1418</v>
          </cell>
          <cell r="B1393" t="str">
            <v>ja</v>
          </cell>
          <cell r="C1393" t="str">
            <v>擬潜送侵型メリッサ2.0</v>
          </cell>
          <cell r="H1393" t="str">
            <v>red</v>
          </cell>
          <cell r="I1393">
            <v>5</v>
          </cell>
          <cell r="J1393" t="str">
            <v>DropWizS</v>
          </cell>
          <cell r="K1393" t="str">
            <v>technical</v>
          </cell>
          <cell r="L1393" t="str">
            <v>テクニカルタイプ</v>
          </cell>
          <cell r="M1393" t="str">
            <v>unknown</v>
          </cell>
          <cell r="N1393" t="str">
            <v>Unknown</v>
          </cell>
          <cell r="O1393" t="str">
            <v>none</v>
          </cell>
          <cell r="P1393" t="str">
            <v>種族なし</v>
          </cell>
          <cell r="R1393">
            <v>1</v>
          </cell>
          <cell r="S1393" t="str">
            <v>NULL</v>
          </cell>
          <cell r="T1393" t="str">
            <v>normal</v>
          </cell>
          <cell r="U1393" t="str">
            <v>NULL</v>
          </cell>
          <cell r="V1393" t="str">
            <v>NULL</v>
          </cell>
          <cell r="W1393" t="str">
            <v>NULL</v>
          </cell>
        </row>
        <row r="1394">
          <cell r="A1394">
            <v>1419</v>
          </cell>
          <cell r="B1394" t="str">
            <v>ja</v>
          </cell>
          <cell r="C1394" t="str">
            <v>感潜する侵感 メリッサ</v>
          </cell>
          <cell r="H1394" t="str">
            <v>red</v>
          </cell>
          <cell r="I1394">
            <v>6</v>
          </cell>
          <cell r="J1394" t="str">
            <v>DropWizS</v>
          </cell>
          <cell r="K1394" t="str">
            <v>technical</v>
          </cell>
          <cell r="L1394" t="str">
            <v>テクニカルタイプ</v>
          </cell>
          <cell r="M1394" t="str">
            <v>unknown</v>
          </cell>
          <cell r="N1394" t="str">
            <v>Unknown</v>
          </cell>
          <cell r="O1394" t="str">
            <v>none</v>
          </cell>
          <cell r="P1394" t="str">
            <v>種族なし</v>
          </cell>
          <cell r="R1394">
            <v>1</v>
          </cell>
          <cell r="S1394" t="str">
            <v>NULL</v>
          </cell>
          <cell r="T1394" t="str">
            <v>normal</v>
          </cell>
          <cell r="U1394" t="str">
            <v>NULL</v>
          </cell>
          <cell r="V1394" t="str">
            <v>NULL</v>
          </cell>
          <cell r="W1394" t="str">
            <v>NULL</v>
          </cell>
        </row>
        <row r="1395">
          <cell r="A1395">
            <v>1420</v>
          </cell>
          <cell r="B1395" t="str">
            <v>ja</v>
          </cell>
          <cell r="C1395" t="str">
            <v>脆侵増殖型G・モリス</v>
          </cell>
          <cell r="H1395" t="str">
            <v>blue</v>
          </cell>
          <cell r="I1395">
            <v>5</v>
          </cell>
          <cell r="J1395" t="str">
            <v>DropWizS</v>
          </cell>
          <cell r="K1395" t="str">
            <v>balance</v>
          </cell>
          <cell r="L1395" t="str">
            <v>バランスタイプ</v>
          </cell>
          <cell r="M1395" t="str">
            <v>unknown</v>
          </cell>
          <cell r="N1395" t="str">
            <v>Unknown</v>
          </cell>
          <cell r="O1395" t="str">
            <v>none</v>
          </cell>
          <cell r="P1395" t="str">
            <v>種族なし</v>
          </cell>
          <cell r="R1395">
            <v>1</v>
          </cell>
          <cell r="S1395" t="str">
            <v>NULL</v>
          </cell>
          <cell r="T1395" t="str">
            <v>normal</v>
          </cell>
          <cell r="U1395" t="str">
            <v>NULL</v>
          </cell>
          <cell r="V1395" t="str">
            <v>NULL</v>
          </cell>
          <cell r="W1395" t="str">
            <v>NULL</v>
          </cell>
        </row>
        <row r="1396">
          <cell r="A1396">
            <v>1421</v>
          </cell>
          <cell r="B1396" t="str">
            <v>ja</v>
          </cell>
          <cell r="C1396" t="str">
            <v>拡勢する偽増 モリス</v>
          </cell>
          <cell r="H1396" t="str">
            <v>blue</v>
          </cell>
          <cell r="I1396">
            <v>6</v>
          </cell>
          <cell r="J1396" t="str">
            <v>DropWizS</v>
          </cell>
          <cell r="K1396" t="str">
            <v>balance</v>
          </cell>
          <cell r="L1396" t="str">
            <v>バランスタイプ</v>
          </cell>
          <cell r="M1396" t="str">
            <v>unknown</v>
          </cell>
          <cell r="N1396" t="str">
            <v>Unknown</v>
          </cell>
          <cell r="O1396" t="str">
            <v>none</v>
          </cell>
          <cell r="P1396" t="str">
            <v>種族なし</v>
          </cell>
          <cell r="R1396">
            <v>1</v>
          </cell>
          <cell r="S1396" t="str">
            <v>NULL</v>
          </cell>
          <cell r="T1396" t="str">
            <v>normal</v>
          </cell>
          <cell r="U1396" t="str">
            <v>NULL</v>
          </cell>
          <cell r="V1396" t="str">
            <v>NULL</v>
          </cell>
          <cell r="W1396" t="str">
            <v>NULL</v>
          </cell>
        </row>
        <row r="1397">
          <cell r="A1397">
            <v>1422</v>
          </cell>
          <cell r="B1397" t="str">
            <v>ja</v>
          </cell>
          <cell r="C1397" t="str">
            <v>解錠放散性ニムダE</v>
          </cell>
          <cell r="H1397" t="str">
            <v>yellow</v>
          </cell>
          <cell r="I1397">
            <v>5</v>
          </cell>
          <cell r="J1397" t="str">
            <v>DropWizS</v>
          </cell>
          <cell r="K1397" t="str">
            <v>hp</v>
          </cell>
          <cell r="L1397" t="str">
            <v>体力タイプ</v>
          </cell>
          <cell r="M1397" t="str">
            <v>unknown</v>
          </cell>
          <cell r="N1397" t="str">
            <v>Unknown</v>
          </cell>
          <cell r="O1397" t="str">
            <v>none</v>
          </cell>
          <cell r="P1397" t="str">
            <v>種族なし</v>
          </cell>
          <cell r="R1397">
            <v>3</v>
          </cell>
          <cell r="S1397" t="str">
            <v>NULL</v>
          </cell>
          <cell r="T1397" t="str">
            <v>normal</v>
          </cell>
          <cell r="U1397" t="str">
            <v>NULL</v>
          </cell>
          <cell r="V1397" t="str">
            <v>NULL</v>
          </cell>
          <cell r="W1397" t="str">
            <v>NULL</v>
          </cell>
        </row>
        <row r="1398">
          <cell r="A1398">
            <v>1423</v>
          </cell>
          <cell r="B1398" t="str">
            <v>ja</v>
          </cell>
          <cell r="C1398" t="str">
            <v>電播する環染 ニムダ</v>
          </cell>
          <cell r="H1398" t="str">
            <v>yellow</v>
          </cell>
          <cell r="I1398">
            <v>6</v>
          </cell>
          <cell r="J1398" t="str">
            <v>DropWizS</v>
          </cell>
          <cell r="K1398" t="str">
            <v>hp</v>
          </cell>
          <cell r="L1398" t="str">
            <v>体力タイプ</v>
          </cell>
          <cell r="M1398" t="str">
            <v>unknown</v>
          </cell>
          <cell r="N1398" t="str">
            <v>Unknown</v>
          </cell>
          <cell r="O1398" t="str">
            <v>none</v>
          </cell>
          <cell r="P1398" t="str">
            <v>種族なし</v>
          </cell>
          <cell r="R1398">
            <v>3</v>
          </cell>
          <cell r="S1398" t="str">
            <v>NULL</v>
          </cell>
          <cell r="T1398" t="str">
            <v>normal</v>
          </cell>
          <cell r="U1398" t="str">
            <v>NULL</v>
          </cell>
          <cell r="V1398" t="str">
            <v>NULL</v>
          </cell>
          <cell r="W1398" t="str">
            <v>NULL</v>
          </cell>
        </row>
        <row r="1399">
          <cell r="A1399">
            <v>1424</v>
          </cell>
          <cell r="B1399" t="str">
            <v>ja</v>
          </cell>
          <cell r="C1399" t="str">
            <v>波打際の宴麗 フロイト</v>
          </cell>
          <cell r="H1399" t="str">
            <v>blue</v>
          </cell>
          <cell r="I1399">
            <v>6</v>
          </cell>
          <cell r="J1399" t="str">
            <v>PremiumSSS</v>
          </cell>
          <cell r="K1399" t="str">
            <v>balance</v>
          </cell>
          <cell r="L1399" t="str">
            <v>バランスタイプ</v>
          </cell>
          <cell r="M1399" t="str">
            <v>academia</v>
          </cell>
          <cell r="N1399" t="str">
            <v>アカデミア</v>
          </cell>
          <cell r="O1399" t="str">
            <v>machine</v>
          </cell>
          <cell r="P1399" t="str">
            <v>マシン</v>
          </cell>
          <cell r="R1399">
            <v>3</v>
          </cell>
          <cell r="S1399" t="str">
            <v>NULL</v>
          </cell>
          <cell r="T1399" t="str">
            <v>normal</v>
          </cell>
          <cell r="U1399" t="str">
            <v>NULL</v>
          </cell>
          <cell r="V1399" t="str">
            <v>NULL</v>
          </cell>
          <cell r="W1399" t="str">
            <v>NULL</v>
          </cell>
        </row>
        <row r="1400">
          <cell r="A1400">
            <v>1425</v>
          </cell>
          <cell r="B1400" t="str">
            <v>ja</v>
          </cell>
          <cell r="C1400" t="str">
            <v>ヴォルタ</v>
          </cell>
          <cell r="D1400" t="str">
            <v>未定</v>
          </cell>
          <cell r="E1400" t="str">
            <v>アリス</v>
          </cell>
          <cell r="F1400" t="str">
            <v>世界観</v>
          </cell>
          <cell r="G1400" t="str">
            <v>不明</v>
          </cell>
          <cell r="H1400" t="str">
            <v>red</v>
          </cell>
          <cell r="I1400">
            <v>5</v>
          </cell>
          <cell r="J1400" t="str">
            <v>PremiumSSS</v>
          </cell>
          <cell r="K1400" t="str">
            <v>attack</v>
          </cell>
          <cell r="L1400" t="str">
            <v>攻撃タイプ</v>
          </cell>
          <cell r="M1400" t="str">
            <v>academia</v>
          </cell>
          <cell r="N1400" t="str">
            <v>アカデミア</v>
          </cell>
          <cell r="O1400" t="str">
            <v>human</v>
          </cell>
          <cell r="P1400" t="str">
            <v>ヒューマン</v>
          </cell>
          <cell r="Q1400" t="str">
            <v>アタッカー</v>
          </cell>
          <cell r="R1400">
            <v>3</v>
          </cell>
          <cell r="S1400" t="str">
            <v>NULL</v>
          </cell>
          <cell r="T1400" t="str">
            <v>normal</v>
          </cell>
          <cell r="U1400" t="str">
            <v>NULL</v>
          </cell>
          <cell r="V1400" t="str">
            <v>NULL</v>
          </cell>
          <cell r="W1400" t="str">
            <v>NULL</v>
          </cell>
        </row>
        <row r="1401">
          <cell r="A1401">
            <v>1426</v>
          </cell>
          <cell r="B1401" t="str">
            <v>ja</v>
          </cell>
          <cell r="C1401" t="str">
            <v>灼々たる電花 ヴォルタ</v>
          </cell>
          <cell r="D1401" t="str">
            <v>未定</v>
          </cell>
          <cell r="E1401" t="str">
            <v>アリス</v>
          </cell>
          <cell r="F1401" t="str">
            <v>世界観</v>
          </cell>
          <cell r="G1401" t="str">
            <v>不明</v>
          </cell>
          <cell r="H1401" t="str">
            <v>red</v>
          </cell>
          <cell r="I1401">
            <v>6</v>
          </cell>
          <cell r="J1401" t="str">
            <v>PremiumSSS</v>
          </cell>
          <cell r="K1401" t="str">
            <v>attack</v>
          </cell>
          <cell r="L1401" t="str">
            <v>攻撃タイプ</v>
          </cell>
          <cell r="M1401" t="str">
            <v>academia</v>
          </cell>
          <cell r="N1401" t="str">
            <v>アカデミア</v>
          </cell>
          <cell r="O1401" t="str">
            <v>human</v>
          </cell>
          <cell r="P1401" t="str">
            <v>ヒューマン</v>
          </cell>
          <cell r="Q1401" t="str">
            <v>アタッカー</v>
          </cell>
          <cell r="R1401">
            <v>3</v>
          </cell>
          <cell r="S1401" t="str">
            <v>NULL</v>
          </cell>
          <cell r="T1401" t="str">
            <v>normal</v>
          </cell>
          <cell r="U1401" t="str">
            <v>NULL</v>
          </cell>
          <cell r="V1401" t="str">
            <v>NULL</v>
          </cell>
          <cell r="W1401" t="str">
            <v>NULL</v>
          </cell>
        </row>
        <row r="1402">
          <cell r="A1402">
            <v>1431</v>
          </cell>
          <cell r="B1402" t="str">
            <v>ja</v>
          </cell>
          <cell r="C1402" t="str">
            <v>センコR5</v>
          </cell>
          <cell r="D1402" t="str">
            <v>未定</v>
          </cell>
          <cell r="E1402" t="str">
            <v>アリス</v>
          </cell>
          <cell r="F1402" t="str">
            <v>世界観</v>
          </cell>
          <cell r="G1402" t="str">
            <v>不明</v>
          </cell>
          <cell r="H1402" t="str">
            <v>yellow</v>
          </cell>
          <cell r="I1402">
            <v>5</v>
          </cell>
          <cell r="J1402" t="str">
            <v>PremiumSS</v>
          </cell>
          <cell r="K1402" t="str">
            <v>technical</v>
          </cell>
          <cell r="L1402" t="str">
            <v>テクニカルタイプ</v>
          </cell>
          <cell r="M1402" t="str">
            <v>god</v>
          </cell>
          <cell r="N1402" t="str">
            <v>ゴッド</v>
          </cell>
          <cell r="O1402" t="str">
            <v>animal</v>
          </cell>
          <cell r="P1402" t="str">
            <v>アニマル</v>
          </cell>
          <cell r="Q1402" t="str">
            <v>アタッカー</v>
          </cell>
          <cell r="R1402">
            <v>1</v>
          </cell>
          <cell r="S1402" t="str">
            <v>NULL</v>
          </cell>
          <cell r="T1402" t="str">
            <v>normal</v>
          </cell>
          <cell r="U1402" t="str">
            <v>NULL</v>
          </cell>
          <cell r="V1402" t="str">
            <v>NULL</v>
          </cell>
          <cell r="W1402" t="str">
            <v>NULL</v>
          </cell>
        </row>
        <row r="1403">
          <cell r="A1403">
            <v>1432</v>
          </cell>
          <cell r="B1403" t="str">
            <v>ja</v>
          </cell>
          <cell r="C1403" t="str">
            <v>センコR6</v>
          </cell>
          <cell r="D1403" t="str">
            <v>未定</v>
          </cell>
          <cell r="E1403" t="str">
            <v>アリス</v>
          </cell>
          <cell r="F1403" t="str">
            <v>世界観</v>
          </cell>
          <cell r="G1403" t="str">
            <v>不明</v>
          </cell>
          <cell r="H1403" t="str">
            <v>yellow</v>
          </cell>
          <cell r="I1403">
            <v>6</v>
          </cell>
          <cell r="J1403" t="str">
            <v>PremiumSS</v>
          </cell>
          <cell r="K1403" t="str">
            <v>technical</v>
          </cell>
          <cell r="L1403" t="str">
            <v>テクニカルタイプ</v>
          </cell>
          <cell r="M1403" t="str">
            <v>god</v>
          </cell>
          <cell r="N1403" t="str">
            <v>ゴッド</v>
          </cell>
          <cell r="O1403" t="str">
            <v>none</v>
          </cell>
          <cell r="P1403" t="str">
            <v>種族なし</v>
          </cell>
          <cell r="Q1403" t="str">
            <v>アタッカー</v>
          </cell>
          <cell r="R1403">
            <v>1</v>
          </cell>
          <cell r="S1403" t="str">
            <v>NULL</v>
          </cell>
          <cell r="T1403" t="str">
            <v>normal</v>
          </cell>
          <cell r="U1403" t="str">
            <v>NULL</v>
          </cell>
          <cell r="V1403" t="str">
            <v>NULL</v>
          </cell>
          <cell r="W1403" t="str">
            <v>NULL</v>
          </cell>
        </row>
        <row r="1404">
          <cell r="A1404">
            <v>1433</v>
          </cell>
          <cell r="B1404" t="str">
            <v>ja</v>
          </cell>
          <cell r="C1404" t="str">
            <v>超越の果実</v>
          </cell>
          <cell r="D1404" t="str">
            <v>スキル進化素材</v>
          </cell>
          <cell r="E1404" t="str">
            <v>アリス</v>
          </cell>
          <cell r="F1404" t="str">
            <v>世界観</v>
          </cell>
          <cell r="G1404" t="str">
            <v>不明</v>
          </cell>
          <cell r="H1404" t="str">
            <v>yellow</v>
          </cell>
          <cell r="I1404">
            <v>3</v>
          </cell>
          <cell r="J1404" t="str">
            <v>Material</v>
          </cell>
          <cell r="K1404" t="str">
            <v>limitbreak</v>
          </cell>
          <cell r="L1404" t="str">
            <v>限界突破素材</v>
          </cell>
          <cell r="M1404" t="str">
            <v>unknown</v>
          </cell>
          <cell r="N1404" t="str">
            <v>Unknown</v>
          </cell>
          <cell r="O1404" t="str">
            <v>none</v>
          </cell>
          <cell r="P1404" t="str">
            <v>種族なし</v>
          </cell>
          <cell r="Q1404" t="str">
            <v>限界突破素材</v>
          </cell>
          <cell r="R1404">
            <v>3</v>
          </cell>
          <cell r="S1404" t="str">
            <v>NULL</v>
          </cell>
          <cell r="T1404" t="str">
            <v>normal</v>
          </cell>
          <cell r="U1404" t="str">
            <v>NULL</v>
          </cell>
          <cell r="V1404" t="str">
            <v>NULL</v>
          </cell>
          <cell r="W1404" t="str">
            <v>NULL</v>
          </cell>
        </row>
        <row r="1405">
          <cell r="A1405">
            <v>1434</v>
          </cell>
          <cell r="B1405" t="str">
            <v>ja</v>
          </cell>
          <cell r="C1405" t="str">
            <v>メガ超越の果実</v>
          </cell>
          <cell r="D1405" t="str">
            <v>スキル進化素材</v>
          </cell>
          <cell r="E1405" t="str">
            <v>アリス</v>
          </cell>
          <cell r="F1405" t="str">
            <v>世界観</v>
          </cell>
          <cell r="G1405" t="str">
            <v>不明</v>
          </cell>
          <cell r="H1405" t="str">
            <v>yellow</v>
          </cell>
          <cell r="I1405">
            <v>4</v>
          </cell>
          <cell r="J1405" t="str">
            <v>Material</v>
          </cell>
          <cell r="K1405" t="str">
            <v>limitbreak</v>
          </cell>
          <cell r="L1405" t="str">
            <v>限界突破素材</v>
          </cell>
          <cell r="M1405" t="str">
            <v>unknown</v>
          </cell>
          <cell r="N1405" t="str">
            <v>Unknown</v>
          </cell>
          <cell r="O1405" t="str">
            <v>none</v>
          </cell>
          <cell r="P1405" t="str">
            <v>種族なし</v>
          </cell>
          <cell r="Q1405" t="str">
            <v>限界突破素材</v>
          </cell>
          <cell r="R1405">
            <v>3</v>
          </cell>
          <cell r="S1405" t="str">
            <v>NULL</v>
          </cell>
          <cell r="T1405" t="str">
            <v>normal</v>
          </cell>
          <cell r="U1405" t="str">
            <v>NULL</v>
          </cell>
          <cell r="V1405" t="str">
            <v>NULL</v>
          </cell>
          <cell r="W1405" t="str">
            <v>NULL</v>
          </cell>
        </row>
        <row r="1406">
          <cell r="A1406">
            <v>1435</v>
          </cell>
          <cell r="B1406" t="str">
            <v>ja</v>
          </cell>
          <cell r="C1406" t="str">
            <v>ギガ超越の果実</v>
          </cell>
          <cell r="D1406" t="str">
            <v>スキル進化素材</v>
          </cell>
          <cell r="E1406" t="str">
            <v>アリス</v>
          </cell>
          <cell r="F1406" t="str">
            <v>世界観</v>
          </cell>
          <cell r="G1406" t="str">
            <v>不明</v>
          </cell>
          <cell r="H1406" t="str">
            <v>yellow</v>
          </cell>
          <cell r="I1406">
            <v>5</v>
          </cell>
          <cell r="J1406" t="str">
            <v>Material</v>
          </cell>
          <cell r="K1406" t="str">
            <v>limitbreak</v>
          </cell>
          <cell r="L1406" t="str">
            <v>限界突破素材</v>
          </cell>
          <cell r="M1406" t="str">
            <v>unknown</v>
          </cell>
          <cell r="N1406" t="str">
            <v>Unknown</v>
          </cell>
          <cell r="O1406" t="str">
            <v>none</v>
          </cell>
          <cell r="P1406" t="str">
            <v>種族なし</v>
          </cell>
          <cell r="Q1406" t="str">
            <v>限界突破素材</v>
          </cell>
          <cell r="R1406">
            <v>3</v>
          </cell>
          <cell r="S1406" t="str">
            <v>NULL</v>
          </cell>
          <cell r="T1406" t="str">
            <v>normal</v>
          </cell>
          <cell r="U1406" t="str">
            <v>NULL</v>
          </cell>
          <cell r="V1406" t="str">
            <v>NULL</v>
          </cell>
          <cell r="W1406" t="str">
            <v>NULL</v>
          </cell>
        </row>
        <row r="1407">
          <cell r="A1407">
            <v>1452</v>
          </cell>
          <cell r="B1407" t="str">
            <v>ja</v>
          </cell>
          <cell r="C1407" t="str">
            <v>メルセンヌ</v>
          </cell>
          <cell r="D1407" t="str">
            <v>未定</v>
          </cell>
          <cell r="E1407" t="str">
            <v>アリス</v>
          </cell>
          <cell r="F1407" t="str">
            <v>世界観</v>
          </cell>
          <cell r="G1407" t="str">
            <v>不明</v>
          </cell>
          <cell r="H1407" t="str">
            <v>yellow</v>
          </cell>
          <cell r="I1407">
            <v>5</v>
          </cell>
          <cell r="J1407" t="str">
            <v>PremiumSSS</v>
          </cell>
          <cell r="K1407" t="str">
            <v>hp</v>
          </cell>
          <cell r="L1407" t="str">
            <v>体力タイプ</v>
          </cell>
          <cell r="M1407" t="str">
            <v>academia</v>
          </cell>
          <cell r="N1407" t="str">
            <v>アカデミア</v>
          </cell>
          <cell r="O1407" t="str">
            <v>human</v>
          </cell>
          <cell r="P1407" t="str">
            <v>ヒューマン</v>
          </cell>
          <cell r="Q1407" t="str">
            <v>アタッカー</v>
          </cell>
          <cell r="R1407">
            <v>1</v>
          </cell>
          <cell r="S1407" t="str">
            <v>NULL</v>
          </cell>
          <cell r="T1407" t="str">
            <v>normal</v>
          </cell>
          <cell r="U1407" t="str">
            <v>NULL</v>
          </cell>
          <cell r="V1407" t="str">
            <v>NULL</v>
          </cell>
          <cell r="W1407" t="str">
            <v>NULL</v>
          </cell>
        </row>
        <row r="1408">
          <cell r="A1408">
            <v>1453</v>
          </cell>
          <cell r="B1408" t="str">
            <v>ja</v>
          </cell>
          <cell r="C1408" t="str">
            <v>数解の自鳴琴 メルセンヌ</v>
          </cell>
          <cell r="D1408" t="str">
            <v>未定</v>
          </cell>
          <cell r="E1408" t="str">
            <v>アリス</v>
          </cell>
          <cell r="F1408" t="str">
            <v>世界観</v>
          </cell>
          <cell r="G1408" t="str">
            <v>不明</v>
          </cell>
          <cell r="H1408" t="str">
            <v>yellow</v>
          </cell>
          <cell r="I1408">
            <v>6</v>
          </cell>
          <cell r="J1408" t="str">
            <v>PremiumSSS</v>
          </cell>
          <cell r="K1408" t="str">
            <v>hp</v>
          </cell>
          <cell r="L1408" t="str">
            <v>体力タイプ</v>
          </cell>
          <cell r="M1408" t="str">
            <v>academia</v>
          </cell>
          <cell r="N1408" t="str">
            <v>アカデミア</v>
          </cell>
          <cell r="O1408" t="str">
            <v>human</v>
          </cell>
          <cell r="P1408" t="str">
            <v>ヒューマン</v>
          </cell>
          <cell r="Q1408" t="str">
            <v>アタッカー</v>
          </cell>
          <cell r="R1408">
            <v>1</v>
          </cell>
          <cell r="S1408" t="str">
            <v>NULL</v>
          </cell>
          <cell r="T1408" t="str">
            <v>normal</v>
          </cell>
          <cell r="U1408" t="str">
            <v>NULL</v>
          </cell>
          <cell r="V1408" t="str">
            <v>NULL</v>
          </cell>
          <cell r="W1408" t="str">
            <v>NULL</v>
          </cell>
        </row>
        <row r="1409">
          <cell r="A1409">
            <v>1454</v>
          </cell>
          <cell r="B1409" t="str">
            <v>ja</v>
          </cell>
          <cell r="C1409" t="str">
            <v>ストレングス</v>
          </cell>
          <cell r="D1409" t="str">
            <v>未定</v>
          </cell>
          <cell r="E1409" t="str">
            <v>アリス</v>
          </cell>
          <cell r="F1409" t="str">
            <v>世界観</v>
          </cell>
          <cell r="G1409" t="str">
            <v>不明</v>
          </cell>
          <cell r="H1409" t="str">
            <v>red</v>
          </cell>
          <cell r="I1409">
            <v>5</v>
          </cell>
          <cell r="J1409" t="str">
            <v>PremiumSSS</v>
          </cell>
          <cell r="K1409" t="str">
            <v>balance</v>
          </cell>
          <cell r="L1409" t="str">
            <v>バランスタイプ</v>
          </cell>
          <cell r="M1409" t="str">
            <v>god</v>
          </cell>
          <cell r="N1409" t="str">
            <v>ゴッド</v>
          </cell>
          <cell r="O1409" t="str">
            <v>animal</v>
          </cell>
          <cell r="P1409" t="str">
            <v>アニマル</v>
          </cell>
          <cell r="Q1409" t="str">
            <v>アタッカー</v>
          </cell>
          <cell r="R1409">
            <v>3</v>
          </cell>
          <cell r="S1409" t="str">
            <v>NULL</v>
          </cell>
          <cell r="T1409" t="str">
            <v>normal</v>
          </cell>
          <cell r="U1409" t="str">
            <v>NULL</v>
          </cell>
          <cell r="V1409" t="str">
            <v>NULL</v>
          </cell>
          <cell r="W1409" t="str">
            <v>NULL</v>
          </cell>
        </row>
        <row r="1410">
          <cell r="A1410">
            <v>1455</v>
          </cell>
          <cell r="B1410" t="str">
            <v>ja</v>
          </cell>
          <cell r="C1410" t="str">
            <v>豪毅なる征獣師 ストレングス</v>
          </cell>
          <cell r="D1410" t="str">
            <v>未定</v>
          </cell>
          <cell r="E1410" t="str">
            <v>アリス</v>
          </cell>
          <cell r="F1410" t="str">
            <v>世界観</v>
          </cell>
          <cell r="G1410" t="str">
            <v>不明</v>
          </cell>
          <cell r="H1410" t="str">
            <v>red</v>
          </cell>
          <cell r="I1410">
            <v>6</v>
          </cell>
          <cell r="J1410" t="str">
            <v>PremiumSSS</v>
          </cell>
          <cell r="K1410" t="str">
            <v>balance</v>
          </cell>
          <cell r="L1410" t="str">
            <v>バランスタイプ</v>
          </cell>
          <cell r="M1410" t="str">
            <v>god</v>
          </cell>
          <cell r="N1410" t="str">
            <v>ゴッド</v>
          </cell>
          <cell r="O1410" t="str">
            <v>animal</v>
          </cell>
          <cell r="P1410" t="str">
            <v>アニマル</v>
          </cell>
          <cell r="Q1410" t="str">
            <v>アタッカー</v>
          </cell>
          <cell r="R1410">
            <v>3</v>
          </cell>
          <cell r="S1410" t="str">
            <v>NULL</v>
          </cell>
          <cell r="T1410" t="str">
            <v>normal</v>
          </cell>
          <cell r="U1410" t="str">
            <v>NULL</v>
          </cell>
          <cell r="V1410" t="str">
            <v>NULL</v>
          </cell>
          <cell r="W1410" t="str">
            <v>NULL</v>
          </cell>
        </row>
        <row r="1411">
          <cell r="A1411">
            <v>1456</v>
          </cell>
          <cell r="B1411" t="str">
            <v>ja</v>
          </cell>
          <cell r="C1411" t="str">
            <v>ネセバル</v>
          </cell>
          <cell r="H1411" t="str">
            <v>blue</v>
          </cell>
          <cell r="I1411">
            <v>5</v>
          </cell>
          <cell r="J1411" t="str">
            <v>PremiumSSw</v>
          </cell>
          <cell r="K1411" t="str">
            <v>attack</v>
          </cell>
          <cell r="L1411" t="str">
            <v>攻撃タイプ</v>
          </cell>
          <cell r="M1411" t="str">
            <v>hero</v>
          </cell>
          <cell r="N1411" t="str">
            <v>ヒーロー</v>
          </cell>
          <cell r="O1411" t="str">
            <v>unknown</v>
          </cell>
          <cell r="P1411" t="str">
            <v>Unknown</v>
          </cell>
          <cell r="R1411">
            <v>3</v>
          </cell>
          <cell r="S1411" t="str">
            <v>NULL</v>
          </cell>
          <cell r="T1411" t="str">
            <v>normal</v>
          </cell>
          <cell r="U1411" t="str">
            <v>NULL</v>
          </cell>
          <cell r="V1411" t="str">
            <v>NULL</v>
          </cell>
          <cell r="W1411" t="str">
            <v>NULL</v>
          </cell>
        </row>
        <row r="1412">
          <cell r="A1412">
            <v>1457</v>
          </cell>
          <cell r="B1412" t="str">
            <v>ja</v>
          </cell>
          <cell r="C1412" t="str">
            <v>碧影の聖跡 ネセバル</v>
          </cell>
          <cell r="H1412" t="str">
            <v>blue</v>
          </cell>
          <cell r="I1412">
            <v>6</v>
          </cell>
          <cell r="J1412" t="str">
            <v>PremiumSSw</v>
          </cell>
          <cell r="K1412" t="str">
            <v>attack</v>
          </cell>
          <cell r="L1412" t="str">
            <v>攻撃タイプ</v>
          </cell>
          <cell r="M1412" t="str">
            <v>hero</v>
          </cell>
          <cell r="N1412" t="str">
            <v>ヒーロー</v>
          </cell>
          <cell r="O1412" t="str">
            <v>unknown</v>
          </cell>
          <cell r="P1412" t="str">
            <v>Unknown</v>
          </cell>
          <cell r="R1412">
            <v>3</v>
          </cell>
          <cell r="S1412" t="str">
            <v>NULL</v>
          </cell>
          <cell r="T1412" t="str">
            <v>normal</v>
          </cell>
          <cell r="U1412" t="str">
            <v>NULL</v>
          </cell>
          <cell r="V1412" t="str">
            <v>NULL</v>
          </cell>
          <cell r="W1412" t="str">
            <v>NULL</v>
          </cell>
        </row>
        <row r="1413">
          <cell r="A1413">
            <v>1458</v>
          </cell>
          <cell r="B1413" t="str">
            <v>ja</v>
          </cell>
          <cell r="C1413" t="str">
            <v>diamond01</v>
          </cell>
          <cell r="H1413" t="str">
            <v>red</v>
          </cell>
          <cell r="I1413">
            <v>5</v>
          </cell>
          <cell r="J1413" t="str">
            <v>PremiumSS</v>
          </cell>
          <cell r="K1413" t="str">
            <v>attack</v>
          </cell>
          <cell r="L1413" t="str">
            <v>攻撃タイプ</v>
          </cell>
          <cell r="M1413" t="str">
            <v>human</v>
          </cell>
          <cell r="N1413" t="str">
            <v>ヒューマン</v>
          </cell>
          <cell r="O1413" t="str">
            <v>hero</v>
          </cell>
          <cell r="P1413" t="str">
            <v>ヒーロー</v>
          </cell>
          <cell r="R1413">
            <v>1</v>
          </cell>
          <cell r="S1413" t="str">
            <v>NULL</v>
          </cell>
          <cell r="T1413" t="str">
            <v>normal</v>
          </cell>
          <cell r="U1413" t="str">
            <v>NULL</v>
          </cell>
          <cell r="V1413" t="str">
            <v>NULL</v>
          </cell>
          <cell r="W1413" t="str">
            <v>NULL</v>
          </cell>
        </row>
        <row r="1414">
          <cell r="A1414">
            <v>1459</v>
          </cell>
          <cell r="B1414" t="str">
            <v>ja</v>
          </cell>
          <cell r="C1414" t="str">
            <v>diamond02</v>
          </cell>
          <cell r="H1414" t="str">
            <v>red</v>
          </cell>
          <cell r="I1414">
            <v>6</v>
          </cell>
          <cell r="J1414" t="str">
            <v>PremiumSS</v>
          </cell>
          <cell r="K1414" t="str">
            <v>attack</v>
          </cell>
          <cell r="L1414" t="str">
            <v>攻撃タイプ</v>
          </cell>
          <cell r="M1414" t="str">
            <v>human</v>
          </cell>
          <cell r="N1414" t="str">
            <v>ヒューマン</v>
          </cell>
          <cell r="O1414" t="str">
            <v>hero</v>
          </cell>
          <cell r="P1414" t="str">
            <v>ヒーロー</v>
          </cell>
          <cell r="R1414">
            <v>1</v>
          </cell>
          <cell r="S1414" t="str">
            <v>NULL</v>
          </cell>
          <cell r="T1414" t="str">
            <v>normal</v>
          </cell>
          <cell r="U1414" t="str">
            <v>NULL</v>
          </cell>
          <cell r="V1414" t="str">
            <v>NULL</v>
          </cell>
          <cell r="W1414" t="str">
            <v>NULL</v>
          </cell>
        </row>
        <row r="1415">
          <cell r="A1415">
            <v>1460</v>
          </cell>
          <cell r="B1415" t="str">
            <v>ja</v>
          </cell>
          <cell r="C1415" t="str">
            <v>opal01</v>
          </cell>
          <cell r="H1415" t="str">
            <v>blue</v>
          </cell>
          <cell r="I1415">
            <v>4</v>
          </cell>
          <cell r="J1415" t="str">
            <v>PremiumS</v>
          </cell>
          <cell r="K1415" t="str">
            <v>balance</v>
          </cell>
          <cell r="L1415" t="str">
            <v>バランスタイプ</v>
          </cell>
          <cell r="M1415" t="str">
            <v>human</v>
          </cell>
          <cell r="N1415" t="str">
            <v>ヒューマン</v>
          </cell>
          <cell r="O1415" t="str">
            <v>none</v>
          </cell>
          <cell r="P1415" t="str">
            <v>種族なし</v>
          </cell>
          <cell r="R1415">
            <v>1</v>
          </cell>
          <cell r="S1415" t="str">
            <v>NULL</v>
          </cell>
          <cell r="T1415" t="str">
            <v>normal</v>
          </cell>
          <cell r="U1415" t="str">
            <v>NULL</v>
          </cell>
          <cell r="V1415" t="str">
            <v>NULL</v>
          </cell>
          <cell r="W1415" t="str">
            <v>NULL</v>
          </cell>
        </row>
        <row r="1416">
          <cell r="A1416">
            <v>1461</v>
          </cell>
          <cell r="B1416" t="str">
            <v>ja</v>
          </cell>
          <cell r="C1416" t="str">
            <v>opal02</v>
          </cell>
          <cell r="H1416" t="str">
            <v>blue</v>
          </cell>
          <cell r="I1416">
            <v>5</v>
          </cell>
          <cell r="J1416" t="str">
            <v>PremiumS</v>
          </cell>
          <cell r="K1416" t="str">
            <v>balance</v>
          </cell>
          <cell r="L1416" t="str">
            <v>バランスタイプ</v>
          </cell>
          <cell r="M1416" t="str">
            <v>human</v>
          </cell>
          <cell r="N1416" t="str">
            <v>ヒューマン</v>
          </cell>
          <cell r="O1416" t="str">
            <v>none</v>
          </cell>
          <cell r="P1416" t="str">
            <v>種族なし</v>
          </cell>
          <cell r="R1416">
            <v>1</v>
          </cell>
          <cell r="S1416" t="str">
            <v>NULL</v>
          </cell>
          <cell r="T1416" t="str">
            <v>normal</v>
          </cell>
          <cell r="U1416" t="str">
            <v>NULL</v>
          </cell>
          <cell r="V1416" t="str">
            <v>NULL</v>
          </cell>
          <cell r="W1416" t="str">
            <v>NULL</v>
          </cell>
        </row>
        <row r="1417">
          <cell r="A1417">
            <v>1462</v>
          </cell>
          <cell r="B1417" t="str">
            <v>ja</v>
          </cell>
          <cell r="C1417" t="str">
            <v>ruby01</v>
          </cell>
          <cell r="H1417" t="str">
            <v>yellow</v>
          </cell>
          <cell r="I1417">
            <v>5</v>
          </cell>
          <cell r="J1417" t="str">
            <v>PremiumSS</v>
          </cell>
          <cell r="K1417" t="str">
            <v>technical</v>
          </cell>
          <cell r="L1417" t="str">
            <v>テクニカルタイプ</v>
          </cell>
          <cell r="M1417" t="str">
            <v>human</v>
          </cell>
          <cell r="N1417" t="str">
            <v>ヒューマン</v>
          </cell>
          <cell r="O1417" t="str">
            <v>machine</v>
          </cell>
          <cell r="P1417" t="str">
            <v>マシン</v>
          </cell>
          <cell r="R1417">
            <v>1</v>
          </cell>
          <cell r="S1417" t="str">
            <v>NULL</v>
          </cell>
          <cell r="T1417" t="str">
            <v>normal</v>
          </cell>
          <cell r="U1417" t="str">
            <v>NULL</v>
          </cell>
          <cell r="V1417" t="str">
            <v>NULL</v>
          </cell>
          <cell r="W1417" t="str">
            <v>NULL</v>
          </cell>
        </row>
        <row r="1418">
          <cell r="A1418">
            <v>1463</v>
          </cell>
          <cell r="B1418" t="str">
            <v>ja</v>
          </cell>
          <cell r="C1418" t="str">
            <v>ruby02</v>
          </cell>
          <cell r="H1418" t="str">
            <v>yellow</v>
          </cell>
          <cell r="I1418">
            <v>6</v>
          </cell>
          <cell r="J1418" t="str">
            <v>PremiumSS</v>
          </cell>
          <cell r="K1418" t="str">
            <v>technical</v>
          </cell>
          <cell r="L1418" t="str">
            <v>テクニカルタイプ</v>
          </cell>
          <cell r="M1418" t="str">
            <v>human</v>
          </cell>
          <cell r="N1418" t="str">
            <v>ヒューマン</v>
          </cell>
          <cell r="O1418" t="str">
            <v>machine</v>
          </cell>
          <cell r="P1418" t="str">
            <v>マシン</v>
          </cell>
          <cell r="R1418">
            <v>1</v>
          </cell>
          <cell r="S1418" t="str">
            <v>NULL</v>
          </cell>
          <cell r="T1418" t="str">
            <v>normal</v>
          </cell>
          <cell r="U1418" t="str">
            <v>NULL</v>
          </cell>
          <cell r="V1418" t="str">
            <v>NULL</v>
          </cell>
          <cell r="W1418" t="str">
            <v>NULL</v>
          </cell>
        </row>
        <row r="1419">
          <cell r="A1419">
            <v>1464</v>
          </cell>
          <cell r="B1419" t="str">
            <v>ja</v>
          </cell>
          <cell r="C1419" t="str">
            <v>garnet01</v>
          </cell>
          <cell r="H1419" t="str">
            <v>yellow</v>
          </cell>
          <cell r="I1419">
            <v>5</v>
          </cell>
          <cell r="J1419" t="str">
            <v>PremiumSS</v>
          </cell>
          <cell r="K1419" t="str">
            <v>hp</v>
          </cell>
          <cell r="L1419" t="str">
            <v>体力タイプ</v>
          </cell>
          <cell r="M1419" t="str">
            <v>human</v>
          </cell>
          <cell r="N1419" t="str">
            <v>ヒューマン</v>
          </cell>
          <cell r="O1419" t="str">
            <v>unknown</v>
          </cell>
          <cell r="P1419" t="str">
            <v>Unknown</v>
          </cell>
          <cell r="R1419">
            <v>1</v>
          </cell>
          <cell r="S1419" t="str">
            <v>NULL</v>
          </cell>
          <cell r="T1419" t="str">
            <v>normal</v>
          </cell>
          <cell r="U1419" t="str">
            <v>NULL</v>
          </cell>
          <cell r="V1419" t="str">
            <v>NULL</v>
          </cell>
          <cell r="W1419" t="str">
            <v>NULL</v>
          </cell>
        </row>
        <row r="1420">
          <cell r="A1420">
            <v>1465</v>
          </cell>
          <cell r="B1420" t="str">
            <v>ja</v>
          </cell>
          <cell r="C1420" t="str">
            <v>garnet02</v>
          </cell>
          <cell r="H1420" t="str">
            <v>yellow</v>
          </cell>
          <cell r="I1420">
            <v>6</v>
          </cell>
          <cell r="J1420" t="str">
            <v>PremiumSS</v>
          </cell>
          <cell r="K1420" t="str">
            <v>hp</v>
          </cell>
          <cell r="L1420" t="str">
            <v>体力タイプ</v>
          </cell>
          <cell r="M1420" t="str">
            <v>human</v>
          </cell>
          <cell r="N1420" t="str">
            <v>ヒューマン</v>
          </cell>
          <cell r="O1420" t="str">
            <v>unknown</v>
          </cell>
          <cell r="P1420" t="str">
            <v>Unknown</v>
          </cell>
          <cell r="R1420">
            <v>1</v>
          </cell>
          <cell r="S1420" t="str">
            <v>NULL</v>
          </cell>
          <cell r="T1420" t="str">
            <v>normal</v>
          </cell>
          <cell r="U1420" t="str">
            <v>NULL</v>
          </cell>
          <cell r="V1420" t="str">
            <v>NULL</v>
          </cell>
          <cell r="W1420" t="str">
            <v>NULL</v>
          </cell>
        </row>
        <row r="1421">
          <cell r="A1421">
            <v>1466</v>
          </cell>
          <cell r="B1421" t="str">
            <v>ja</v>
          </cell>
          <cell r="C1421" t="str">
            <v>sapphire01</v>
          </cell>
          <cell r="H1421" t="str">
            <v>blue</v>
          </cell>
          <cell r="I1421">
            <v>5</v>
          </cell>
          <cell r="J1421" t="str">
            <v>DropWizS</v>
          </cell>
          <cell r="K1421" t="str">
            <v>attack</v>
          </cell>
          <cell r="L1421" t="str">
            <v>攻撃タイプ</v>
          </cell>
          <cell r="M1421" t="str">
            <v>human</v>
          </cell>
          <cell r="N1421" t="str">
            <v>ヒューマン</v>
          </cell>
          <cell r="O1421" t="str">
            <v>none</v>
          </cell>
          <cell r="P1421" t="str">
            <v>種族なし</v>
          </cell>
          <cell r="R1421">
            <v>1</v>
          </cell>
          <cell r="S1421" t="str">
            <v>NULL</v>
          </cell>
          <cell r="T1421" t="str">
            <v>normal</v>
          </cell>
          <cell r="U1421" t="str">
            <v>NULL</v>
          </cell>
          <cell r="V1421" t="str">
            <v>NULL</v>
          </cell>
          <cell r="W1421" t="str">
            <v>NULL</v>
          </cell>
        </row>
        <row r="1422">
          <cell r="A1422">
            <v>1467</v>
          </cell>
          <cell r="B1422" t="str">
            <v>ja</v>
          </cell>
          <cell r="C1422" t="str">
            <v>sapphire02</v>
          </cell>
          <cell r="H1422" t="str">
            <v>blue</v>
          </cell>
          <cell r="I1422">
            <v>6</v>
          </cell>
          <cell r="J1422" t="str">
            <v>DropWizS</v>
          </cell>
          <cell r="K1422" t="str">
            <v>attack</v>
          </cell>
          <cell r="L1422" t="str">
            <v>攻撃タイプ</v>
          </cell>
          <cell r="M1422" t="str">
            <v>human</v>
          </cell>
          <cell r="N1422" t="str">
            <v>ヒューマン</v>
          </cell>
          <cell r="O1422" t="str">
            <v>none</v>
          </cell>
          <cell r="P1422" t="str">
            <v>種族なし</v>
          </cell>
          <cell r="R1422">
            <v>1</v>
          </cell>
          <cell r="S1422" t="str">
            <v>NULL</v>
          </cell>
          <cell r="T1422" t="str">
            <v>normal</v>
          </cell>
          <cell r="U1422" t="str">
            <v>NULL</v>
          </cell>
          <cell r="V1422" t="str">
            <v>NULL</v>
          </cell>
          <cell r="W1422" t="str">
            <v>NULL</v>
          </cell>
        </row>
        <row r="1423">
          <cell r="A1423">
            <v>1468</v>
          </cell>
          <cell r="B1423" t="str">
            <v>ja</v>
          </cell>
          <cell r="C1423" t="str">
            <v>emerald01</v>
          </cell>
          <cell r="H1423" t="str">
            <v>green</v>
          </cell>
          <cell r="I1423">
            <v>5</v>
          </cell>
          <cell r="J1423" t="str">
            <v>Drop2N</v>
          </cell>
          <cell r="K1423" t="str">
            <v>attack</v>
          </cell>
          <cell r="L1423" t="str">
            <v>攻撃タイプ</v>
          </cell>
          <cell r="M1423" t="str">
            <v>unknown</v>
          </cell>
          <cell r="N1423" t="str">
            <v>Unknown</v>
          </cell>
          <cell r="O1423" t="str">
            <v>none</v>
          </cell>
          <cell r="P1423" t="str">
            <v>種族なし</v>
          </cell>
          <cell r="R1423">
            <v>1</v>
          </cell>
          <cell r="S1423" t="str">
            <v>NULL</v>
          </cell>
          <cell r="T1423" t="str">
            <v>normal</v>
          </cell>
          <cell r="U1423" t="str">
            <v>NULL</v>
          </cell>
          <cell r="V1423" t="str">
            <v>NULL</v>
          </cell>
          <cell r="W1423" t="str">
            <v>NULL</v>
          </cell>
        </row>
        <row r="1424">
          <cell r="A1424">
            <v>1469</v>
          </cell>
          <cell r="B1424" t="str">
            <v>ja</v>
          </cell>
          <cell r="C1424" t="str">
            <v>aquamarine01</v>
          </cell>
          <cell r="H1424" t="str">
            <v>yellow</v>
          </cell>
          <cell r="I1424">
            <v>5</v>
          </cell>
          <cell r="J1424" t="str">
            <v>Drop2N</v>
          </cell>
          <cell r="K1424" t="str">
            <v>technical</v>
          </cell>
          <cell r="L1424" t="str">
            <v>テクニカルタイプ</v>
          </cell>
          <cell r="M1424" t="str">
            <v>unknown</v>
          </cell>
          <cell r="N1424" t="str">
            <v>Unknown</v>
          </cell>
          <cell r="O1424" t="str">
            <v>hero</v>
          </cell>
          <cell r="P1424" t="str">
            <v>ヒーロー</v>
          </cell>
          <cell r="R1424">
            <v>1</v>
          </cell>
          <cell r="S1424" t="str">
            <v>NULL</v>
          </cell>
          <cell r="T1424" t="str">
            <v>normal</v>
          </cell>
          <cell r="U1424" t="str">
            <v>NULL</v>
          </cell>
          <cell r="V1424" t="str">
            <v>NULL</v>
          </cell>
          <cell r="W1424" t="str">
            <v>NULL</v>
          </cell>
        </row>
        <row r="1425">
          <cell r="A1425">
            <v>1470</v>
          </cell>
          <cell r="B1425" t="str">
            <v>ja</v>
          </cell>
          <cell r="C1425" t="str">
            <v>amethyst01</v>
          </cell>
          <cell r="H1425" t="str">
            <v>red</v>
          </cell>
          <cell r="I1425">
            <v>5</v>
          </cell>
          <cell r="J1425" t="str">
            <v>Drop2N</v>
          </cell>
          <cell r="K1425" t="str">
            <v>balance</v>
          </cell>
          <cell r="L1425" t="str">
            <v>バランスタイプ</v>
          </cell>
          <cell r="M1425" t="str">
            <v>unknown</v>
          </cell>
          <cell r="N1425" t="str">
            <v>Unknown</v>
          </cell>
          <cell r="O1425" t="str">
            <v>human</v>
          </cell>
          <cell r="P1425" t="str">
            <v>ヒューマン</v>
          </cell>
          <cell r="R1425">
            <v>1</v>
          </cell>
          <cell r="S1425" t="str">
            <v>NULL</v>
          </cell>
          <cell r="T1425" t="str">
            <v>normal</v>
          </cell>
          <cell r="U1425" t="str">
            <v>NULL</v>
          </cell>
          <cell r="V1425" t="str">
            <v>NULL</v>
          </cell>
          <cell r="W1425" t="str">
            <v>NULL</v>
          </cell>
        </row>
        <row r="1426">
          <cell r="A1426">
            <v>1488</v>
          </cell>
          <cell r="B1426" t="str">
            <v>ja</v>
          </cell>
          <cell r="C1426" t="str">
            <v>バクR5</v>
          </cell>
          <cell r="D1426" t="str">
            <v>未定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green</v>
          </cell>
          <cell r="I1426">
            <v>5</v>
          </cell>
          <cell r="J1426" t="str">
            <v>PremiumSSS</v>
          </cell>
          <cell r="K1426" t="str">
            <v>attack</v>
          </cell>
          <cell r="L1426" t="str">
            <v>攻撃タイプ</v>
          </cell>
          <cell r="M1426" t="str">
            <v>academia</v>
          </cell>
          <cell r="N1426" t="str">
            <v>アカデミア</v>
          </cell>
          <cell r="O1426" t="str">
            <v>animal</v>
          </cell>
          <cell r="P1426" t="str">
            <v>アニマル</v>
          </cell>
          <cell r="Q1426" t="str">
            <v>アタッカー</v>
          </cell>
          <cell r="R1426">
            <v>1</v>
          </cell>
          <cell r="S1426" t="str">
            <v>NULL</v>
          </cell>
          <cell r="T1426" t="str">
            <v>normal</v>
          </cell>
          <cell r="U1426" t="str">
            <v>NULL</v>
          </cell>
          <cell r="V1426" t="str">
            <v>NULL</v>
          </cell>
          <cell r="W1426" t="str">
            <v>NULL</v>
          </cell>
        </row>
        <row r="1427">
          <cell r="A1427">
            <v>1489</v>
          </cell>
          <cell r="B1427" t="str">
            <v>ja</v>
          </cell>
          <cell r="C1427" t="str">
            <v>バクR6</v>
          </cell>
          <cell r="D1427" t="str">
            <v>未定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green</v>
          </cell>
          <cell r="I1427">
            <v>6</v>
          </cell>
          <cell r="J1427" t="str">
            <v>PremiumSSS</v>
          </cell>
          <cell r="K1427" t="str">
            <v>attack</v>
          </cell>
          <cell r="L1427" t="str">
            <v>攻撃タイプ</v>
          </cell>
          <cell r="M1427" t="str">
            <v>academia</v>
          </cell>
          <cell r="N1427" t="str">
            <v>アカデミア</v>
          </cell>
          <cell r="O1427" t="str">
            <v>animal</v>
          </cell>
          <cell r="P1427" t="str">
            <v>アニマル</v>
          </cell>
          <cell r="Q1427" t="str">
            <v>アタッカー</v>
          </cell>
          <cell r="R1427">
            <v>1</v>
          </cell>
          <cell r="S1427" t="str">
            <v>NULL</v>
          </cell>
          <cell r="T1427" t="str">
            <v>normal</v>
          </cell>
          <cell r="U1427" t="str">
            <v>NULL</v>
          </cell>
          <cell r="V1427" t="str">
            <v>NULL</v>
          </cell>
          <cell r="W1427" t="str">
            <v>NULL</v>
          </cell>
        </row>
        <row r="1428">
          <cell r="A1428">
            <v>1497</v>
          </cell>
          <cell r="B1428" t="str">
            <v>ja</v>
          </cell>
          <cell r="C1428" t="str">
            <v>ヨシノ</v>
          </cell>
          <cell r="H1428" t="str">
            <v>yellow</v>
          </cell>
          <cell r="I1428">
            <v>5</v>
          </cell>
          <cell r="J1428" t="str">
            <v>PremiumSS</v>
          </cell>
          <cell r="K1428" t="str">
            <v>technical</v>
          </cell>
          <cell r="L1428" t="str">
            <v>テクニカルタイプ</v>
          </cell>
          <cell r="M1428" t="str">
            <v>human</v>
          </cell>
          <cell r="N1428" t="str">
            <v>ヒューマン</v>
          </cell>
          <cell r="O1428" t="str">
            <v>none</v>
          </cell>
          <cell r="P1428" t="str">
            <v>種族なし</v>
          </cell>
          <cell r="R1428">
            <v>1</v>
          </cell>
          <cell r="S1428" t="str">
            <v>NULL</v>
          </cell>
          <cell r="T1428" t="str">
            <v>normal</v>
          </cell>
          <cell r="U1428" t="str">
            <v>NULL</v>
          </cell>
          <cell r="V1428" t="str">
            <v>NULL</v>
          </cell>
          <cell r="W1428" t="str">
            <v>NULL</v>
          </cell>
        </row>
        <row r="1429">
          <cell r="A1429">
            <v>1498</v>
          </cell>
          <cell r="B1429" t="str">
            <v>ja</v>
          </cell>
          <cell r="C1429" t="str">
            <v>咲誇る夢見草 ヨシノ</v>
          </cell>
          <cell r="H1429" t="str">
            <v>yellow</v>
          </cell>
          <cell r="I1429">
            <v>6</v>
          </cell>
          <cell r="J1429" t="str">
            <v>PremiumSS</v>
          </cell>
          <cell r="K1429" t="str">
            <v>technical</v>
          </cell>
          <cell r="L1429" t="str">
            <v>テクニカルタイプ</v>
          </cell>
          <cell r="M1429" t="str">
            <v>human</v>
          </cell>
          <cell r="N1429" t="str">
            <v>ヒューマン</v>
          </cell>
          <cell r="O1429" t="str">
            <v>none</v>
          </cell>
          <cell r="P1429" t="str">
            <v>種族なし</v>
          </cell>
          <cell r="R1429">
            <v>1</v>
          </cell>
          <cell r="S1429" t="str">
            <v>NULL</v>
          </cell>
          <cell r="T1429" t="str">
            <v>normal</v>
          </cell>
          <cell r="U1429" t="str">
            <v>NULL</v>
          </cell>
          <cell r="V1429" t="str">
            <v>NULL</v>
          </cell>
          <cell r="W1429" t="str">
            <v>NULL</v>
          </cell>
        </row>
        <row r="1430">
          <cell r="A1430">
            <v>1499</v>
          </cell>
          <cell r="B1430" t="str">
            <v>ja</v>
          </cell>
          <cell r="C1430" t="str">
            <v>コノハナサクヤ</v>
          </cell>
          <cell r="D1430" t="str">
            <v>未定</v>
          </cell>
          <cell r="E1430" t="str">
            <v>アリス</v>
          </cell>
          <cell r="F1430" t="str">
            <v>世界観</v>
          </cell>
          <cell r="G1430" t="str">
            <v>不明</v>
          </cell>
          <cell r="H1430" t="str">
            <v>yellow</v>
          </cell>
          <cell r="I1430">
            <v>5</v>
          </cell>
          <cell r="J1430" t="str">
            <v>PremiumSS</v>
          </cell>
          <cell r="K1430" t="str">
            <v>heal</v>
          </cell>
          <cell r="L1430" t="str">
            <v>回復タイプ</v>
          </cell>
          <cell r="M1430" t="str">
            <v>god</v>
          </cell>
          <cell r="N1430" t="str">
            <v>ゴッド</v>
          </cell>
          <cell r="O1430" t="str">
            <v>samurai</v>
          </cell>
          <cell r="P1430" t="str">
            <v>サムライ</v>
          </cell>
          <cell r="Q1430" t="str">
            <v>アタッカー</v>
          </cell>
          <cell r="R1430">
            <v>1</v>
          </cell>
          <cell r="S1430" t="str">
            <v>NULL</v>
          </cell>
          <cell r="T1430" t="str">
            <v>normal</v>
          </cell>
          <cell r="U1430" t="str">
            <v>NULL</v>
          </cell>
          <cell r="V1430" t="str">
            <v>NULL</v>
          </cell>
          <cell r="W1430" t="str">
            <v>NULL</v>
          </cell>
        </row>
        <row r="1431">
          <cell r="A1431">
            <v>1500</v>
          </cell>
          <cell r="B1431" t="str">
            <v>ja</v>
          </cell>
          <cell r="C1431" t="str">
            <v>櫻歌する開華 コノハナサクヤ</v>
          </cell>
          <cell r="D1431" t="str">
            <v>未定</v>
          </cell>
          <cell r="E1431" t="str">
            <v>アリス</v>
          </cell>
          <cell r="F1431" t="str">
            <v>世界観</v>
          </cell>
          <cell r="G1431" t="str">
            <v>不明</v>
          </cell>
          <cell r="H1431" t="str">
            <v>yellow</v>
          </cell>
          <cell r="I1431">
            <v>6</v>
          </cell>
          <cell r="J1431" t="str">
            <v>PremiumSS</v>
          </cell>
          <cell r="K1431" t="str">
            <v>heal</v>
          </cell>
          <cell r="L1431" t="str">
            <v>回復タイプ</v>
          </cell>
          <cell r="M1431" t="str">
            <v>god</v>
          </cell>
          <cell r="N1431" t="str">
            <v>ゴッド</v>
          </cell>
          <cell r="O1431" t="str">
            <v>samurai</v>
          </cell>
          <cell r="P1431" t="str">
            <v>サムライ</v>
          </cell>
          <cell r="Q1431" t="str">
            <v>アタッカー</v>
          </cell>
          <cell r="R1431">
            <v>1</v>
          </cell>
          <cell r="S1431" t="str">
            <v>NULL</v>
          </cell>
          <cell r="T1431" t="str">
            <v>normal</v>
          </cell>
          <cell r="U1431" t="str">
            <v>NULL</v>
          </cell>
          <cell r="V1431" t="str">
            <v>NULL</v>
          </cell>
          <cell r="W1431" t="str">
            <v>NULL</v>
          </cell>
        </row>
        <row r="1432">
          <cell r="A1432">
            <v>1504</v>
          </cell>
          <cell r="B1432" t="str">
            <v>ja</v>
          </cell>
          <cell r="C1432" t="str">
            <v>ネコ</v>
          </cell>
          <cell r="H1432" t="str">
            <v>red</v>
          </cell>
          <cell r="I1432">
            <v>1</v>
          </cell>
          <cell r="J1432" t="str">
            <v>Drop1T</v>
          </cell>
          <cell r="K1432" t="str">
            <v>balance</v>
          </cell>
          <cell r="L1432" t="str">
            <v>バランスタイプ</v>
          </cell>
          <cell r="M1432" t="str">
            <v>unknown</v>
          </cell>
          <cell r="N1432" t="str">
            <v>Unknown</v>
          </cell>
          <cell r="O1432" t="str">
            <v>animal</v>
          </cell>
          <cell r="P1432" t="str">
            <v>アニマル</v>
          </cell>
          <cell r="R1432">
            <v>3</v>
          </cell>
          <cell r="S1432" t="str">
            <v>NULL</v>
          </cell>
          <cell r="T1432" t="str">
            <v>normal</v>
          </cell>
          <cell r="U1432" t="str">
            <v>NULL</v>
          </cell>
          <cell r="V1432" t="str">
            <v>NULL</v>
          </cell>
          <cell r="W1432" t="str">
            <v>NULL</v>
          </cell>
        </row>
        <row r="1433">
          <cell r="A1433">
            <v>1505</v>
          </cell>
          <cell r="B1433" t="str">
            <v>ja</v>
          </cell>
          <cell r="C1433" t="str">
            <v>タンクネコ</v>
          </cell>
          <cell r="H1433" t="str">
            <v>green</v>
          </cell>
          <cell r="I1433">
            <v>1</v>
          </cell>
          <cell r="J1433" t="str">
            <v>Drop1T</v>
          </cell>
          <cell r="K1433" t="str">
            <v>hp</v>
          </cell>
          <cell r="L1433" t="str">
            <v>体力タイプ</v>
          </cell>
          <cell r="M1433" t="str">
            <v>unknown</v>
          </cell>
          <cell r="N1433" t="str">
            <v>Unknown</v>
          </cell>
          <cell r="O1433" t="str">
            <v>animal</v>
          </cell>
          <cell r="P1433" t="str">
            <v>アニマル</v>
          </cell>
          <cell r="R1433">
            <v>3</v>
          </cell>
          <cell r="S1433" t="str">
            <v>NULL</v>
          </cell>
          <cell r="T1433" t="str">
            <v>normal</v>
          </cell>
          <cell r="U1433" t="str">
            <v>NULL</v>
          </cell>
          <cell r="V1433" t="str">
            <v>NULL</v>
          </cell>
          <cell r="W1433" t="str">
            <v>NULL</v>
          </cell>
        </row>
        <row r="1434">
          <cell r="A1434">
            <v>1506</v>
          </cell>
          <cell r="B1434" t="str">
            <v>ja</v>
          </cell>
          <cell r="C1434" t="str">
            <v>バトルネコ</v>
          </cell>
          <cell r="H1434" t="str">
            <v>yellow</v>
          </cell>
          <cell r="I1434">
            <v>2</v>
          </cell>
          <cell r="J1434" t="str">
            <v>Drop1S</v>
          </cell>
          <cell r="K1434" t="str">
            <v>attack</v>
          </cell>
          <cell r="L1434" t="str">
            <v>攻撃タイプ</v>
          </cell>
          <cell r="M1434" t="str">
            <v>unknown</v>
          </cell>
          <cell r="N1434" t="str">
            <v>Unknown</v>
          </cell>
          <cell r="O1434" t="str">
            <v>animal</v>
          </cell>
          <cell r="P1434" t="str">
            <v>アニマル</v>
          </cell>
          <cell r="R1434">
            <v>3</v>
          </cell>
          <cell r="S1434" t="str">
            <v>NULL</v>
          </cell>
          <cell r="T1434" t="str">
            <v>normal</v>
          </cell>
          <cell r="U1434" t="str">
            <v>NULL</v>
          </cell>
          <cell r="V1434" t="str">
            <v>NULL</v>
          </cell>
          <cell r="W1434" t="str">
            <v>NULL</v>
          </cell>
        </row>
        <row r="1435">
          <cell r="A1435">
            <v>1507</v>
          </cell>
          <cell r="B1435" t="str">
            <v>ja</v>
          </cell>
          <cell r="C1435" t="str">
            <v>キモネコ</v>
          </cell>
          <cell r="H1435" t="str">
            <v>blue</v>
          </cell>
          <cell r="I1435">
            <v>3</v>
          </cell>
          <cell r="J1435" t="str">
            <v>Drop2N</v>
          </cell>
          <cell r="K1435" t="str">
            <v>technical</v>
          </cell>
          <cell r="L1435" t="str">
            <v>テクニカルタイプ</v>
          </cell>
          <cell r="M1435" t="str">
            <v>unknown</v>
          </cell>
          <cell r="N1435" t="str">
            <v>Unknown</v>
          </cell>
          <cell r="O1435" t="str">
            <v>animal</v>
          </cell>
          <cell r="P1435" t="str">
            <v>アニマル</v>
          </cell>
          <cell r="R1435">
            <v>3</v>
          </cell>
          <cell r="S1435" t="str">
            <v>NULL</v>
          </cell>
          <cell r="T1435" t="str">
            <v>normal</v>
          </cell>
          <cell r="U1435" t="str">
            <v>NULL</v>
          </cell>
          <cell r="V1435" t="str">
            <v>NULL</v>
          </cell>
          <cell r="W1435" t="str">
            <v>NULL</v>
          </cell>
        </row>
        <row r="1436">
          <cell r="A1436">
            <v>1508</v>
          </cell>
          <cell r="B1436" t="str">
            <v>ja</v>
          </cell>
          <cell r="C1436" t="str">
            <v>ネコノトリ</v>
          </cell>
          <cell r="H1436" t="str">
            <v>red</v>
          </cell>
          <cell r="I1436">
            <v>4</v>
          </cell>
          <cell r="J1436" t="str">
            <v>Drop2N</v>
          </cell>
          <cell r="K1436" t="str">
            <v>balance</v>
          </cell>
          <cell r="L1436" t="str">
            <v>バランスタイプ</v>
          </cell>
          <cell r="M1436" t="str">
            <v>unknown</v>
          </cell>
          <cell r="N1436" t="str">
            <v>Unknown</v>
          </cell>
          <cell r="O1436" t="str">
            <v>animal</v>
          </cell>
          <cell r="P1436" t="str">
            <v>アニマル</v>
          </cell>
          <cell r="R1436">
            <v>3</v>
          </cell>
          <cell r="S1436" t="str">
            <v>NULL</v>
          </cell>
          <cell r="T1436" t="str">
            <v>normal</v>
          </cell>
          <cell r="U1436" t="str">
            <v>NULL</v>
          </cell>
          <cell r="V1436" t="str">
            <v>NULL</v>
          </cell>
          <cell r="W1436" t="str">
            <v>NULL</v>
          </cell>
        </row>
        <row r="1437">
          <cell r="A1437">
            <v>1509</v>
          </cell>
          <cell r="B1437" t="str">
            <v>ja</v>
          </cell>
          <cell r="C1437" t="str">
            <v>巨神ネコ</v>
          </cell>
          <cell r="H1437" t="str">
            <v>green</v>
          </cell>
          <cell r="I1437">
            <v>5</v>
          </cell>
          <cell r="J1437" t="str">
            <v>Drop2N</v>
          </cell>
          <cell r="K1437" t="str">
            <v>hp</v>
          </cell>
          <cell r="L1437" t="str">
            <v>体力タイプ</v>
          </cell>
          <cell r="M1437" t="str">
            <v>god</v>
          </cell>
          <cell r="N1437" t="str">
            <v>ゴッド</v>
          </cell>
          <cell r="O1437" t="str">
            <v>animal</v>
          </cell>
          <cell r="P1437" t="str">
            <v>アニマル</v>
          </cell>
          <cell r="R1437">
            <v>3</v>
          </cell>
          <cell r="S1437" t="str">
            <v>NULL</v>
          </cell>
          <cell r="T1437" t="str">
            <v>normal</v>
          </cell>
          <cell r="U1437" t="str">
            <v>NULL</v>
          </cell>
          <cell r="V1437" t="str">
            <v>NULL</v>
          </cell>
          <cell r="W1437" t="str">
            <v>NULL</v>
          </cell>
        </row>
        <row r="1438">
          <cell r="A1438">
            <v>1510</v>
          </cell>
          <cell r="B1438" t="str">
            <v>ja</v>
          </cell>
          <cell r="C1438" t="str">
            <v>ネコヴァルキリー</v>
          </cell>
          <cell r="H1438" t="str">
            <v>yellow</v>
          </cell>
          <cell r="I1438">
            <v>4</v>
          </cell>
          <cell r="J1438" t="str">
            <v>DropWizS</v>
          </cell>
          <cell r="K1438" t="str">
            <v>balance</v>
          </cell>
          <cell r="L1438" t="str">
            <v>バランスタイプ</v>
          </cell>
          <cell r="M1438" t="str">
            <v>god</v>
          </cell>
          <cell r="N1438" t="str">
            <v>ゴッド</v>
          </cell>
          <cell r="O1438" t="str">
            <v>animal</v>
          </cell>
          <cell r="P1438" t="str">
            <v>アニマル</v>
          </cell>
          <cell r="R1438">
            <v>3</v>
          </cell>
          <cell r="S1438" t="str">
            <v>NULL</v>
          </cell>
          <cell r="T1438" t="str">
            <v>normal</v>
          </cell>
          <cell r="U1438" t="str">
            <v>NULL</v>
          </cell>
          <cell r="V1438" t="str">
            <v>NULL</v>
          </cell>
          <cell r="W1438" t="str">
            <v>NULL</v>
          </cell>
        </row>
        <row r="1439">
          <cell r="A1439">
            <v>1511</v>
          </cell>
          <cell r="B1439" t="str">
            <v>ja</v>
          </cell>
          <cell r="C1439" t="str">
            <v>ネコヴァルキリー･真</v>
          </cell>
          <cell r="H1439" t="str">
            <v>yellow</v>
          </cell>
          <cell r="I1439">
            <v>5</v>
          </cell>
          <cell r="J1439" t="str">
            <v>DropWizS</v>
          </cell>
          <cell r="K1439" t="str">
            <v>balance</v>
          </cell>
          <cell r="L1439" t="str">
            <v>バランスタイプ</v>
          </cell>
          <cell r="M1439" t="str">
            <v>god</v>
          </cell>
          <cell r="N1439" t="str">
            <v>ゴッド</v>
          </cell>
          <cell r="O1439" t="str">
            <v>animal</v>
          </cell>
          <cell r="P1439" t="str">
            <v>アニマル</v>
          </cell>
          <cell r="R1439">
            <v>3</v>
          </cell>
          <cell r="S1439" t="str">
            <v>NULL</v>
          </cell>
          <cell r="T1439" t="str">
            <v>normal</v>
          </cell>
          <cell r="U1439" t="str">
            <v>NULL</v>
          </cell>
          <cell r="V1439" t="str">
            <v>NULL</v>
          </cell>
          <cell r="W1439" t="str">
            <v>NULL</v>
          </cell>
        </row>
        <row r="1440">
          <cell r="A1440">
            <v>1512</v>
          </cell>
          <cell r="B1440" t="str">
            <v>ja</v>
          </cell>
          <cell r="C1440" t="str">
            <v>ネコヴァルキリー･聖</v>
          </cell>
          <cell r="H1440" t="str">
            <v>yellow</v>
          </cell>
          <cell r="I1440">
            <v>6</v>
          </cell>
          <cell r="J1440" t="str">
            <v>DropWizS</v>
          </cell>
          <cell r="K1440" t="str">
            <v>balance</v>
          </cell>
          <cell r="L1440" t="str">
            <v>バランスタイプ</v>
          </cell>
          <cell r="M1440" t="str">
            <v>god</v>
          </cell>
          <cell r="N1440" t="str">
            <v>ゴッド</v>
          </cell>
          <cell r="O1440" t="str">
            <v>animal</v>
          </cell>
          <cell r="P1440" t="str">
            <v>アニマル</v>
          </cell>
          <cell r="R1440">
            <v>3</v>
          </cell>
          <cell r="S1440" t="str">
            <v>NULL</v>
          </cell>
          <cell r="T1440" t="str">
            <v>normal</v>
          </cell>
          <cell r="U1440" t="str">
            <v>NULL</v>
          </cell>
          <cell r="V1440" t="str">
            <v>NULL</v>
          </cell>
          <cell r="W1440" t="str">
            <v>NULL</v>
          </cell>
        </row>
        <row r="1441">
          <cell r="A1441">
            <v>1513</v>
          </cell>
          <cell r="B1441" t="str">
            <v>ja</v>
          </cell>
          <cell r="C1441" t="str">
            <v>金ネコ</v>
          </cell>
          <cell r="H1441" t="str">
            <v>yellow</v>
          </cell>
          <cell r="I1441">
            <v>4</v>
          </cell>
          <cell r="J1441" t="str">
            <v>Material</v>
          </cell>
          <cell r="K1441" t="str">
            <v>coin</v>
          </cell>
          <cell r="L1441" t="str">
            <v>コインタイプ</v>
          </cell>
          <cell r="M1441" t="str">
            <v>unknown</v>
          </cell>
          <cell r="N1441" t="str">
            <v>Unknown</v>
          </cell>
          <cell r="O1441" t="str">
            <v>animal</v>
          </cell>
          <cell r="P1441" t="str">
            <v>アニマル</v>
          </cell>
          <cell r="R1441">
            <v>3</v>
          </cell>
          <cell r="S1441" t="str">
            <v>NULL</v>
          </cell>
          <cell r="T1441" t="str">
            <v>normal</v>
          </cell>
          <cell r="U1441" t="str">
            <v>NULL</v>
          </cell>
          <cell r="V1441" t="str">
            <v>NULL</v>
          </cell>
          <cell r="W1441" t="str">
            <v>NULL</v>
          </cell>
        </row>
        <row r="1442">
          <cell r="A1442">
            <v>1514</v>
          </cell>
          <cell r="B1442" t="str">
            <v>ja</v>
          </cell>
          <cell r="C1442" t="str">
            <v>金ネコビルダー</v>
          </cell>
          <cell r="H1442" t="str">
            <v>yellow</v>
          </cell>
          <cell r="I1442">
            <v>5</v>
          </cell>
          <cell r="J1442" t="str">
            <v>Material</v>
          </cell>
          <cell r="K1442" t="str">
            <v>coin</v>
          </cell>
          <cell r="L1442" t="str">
            <v>コインタイプ</v>
          </cell>
          <cell r="M1442" t="str">
            <v>unknown</v>
          </cell>
          <cell r="N1442" t="str">
            <v>Unknown</v>
          </cell>
          <cell r="O1442" t="str">
            <v>animal</v>
          </cell>
          <cell r="P1442" t="str">
            <v>アニマル</v>
          </cell>
          <cell r="R1442">
            <v>3</v>
          </cell>
          <cell r="S1442" t="str">
            <v>NULL</v>
          </cell>
          <cell r="T1442" t="str">
            <v>normal</v>
          </cell>
          <cell r="U1442" t="str">
            <v>NULL</v>
          </cell>
          <cell r="V1442" t="str">
            <v>NULL</v>
          </cell>
          <cell r="W1442" t="str">
            <v>NULL</v>
          </cell>
        </row>
        <row r="1443">
          <cell r="A1443">
            <v>1515</v>
          </cell>
          <cell r="B1443" t="str">
            <v>ja</v>
          </cell>
          <cell r="C1443" t="str">
            <v>赤メタルネコ</v>
          </cell>
          <cell r="H1443" t="str">
            <v>red</v>
          </cell>
          <cell r="I1443">
            <v>4</v>
          </cell>
          <cell r="J1443" t="str">
            <v>Material</v>
          </cell>
          <cell r="K1443" t="str">
            <v>exp</v>
          </cell>
          <cell r="L1443" t="str">
            <v>強化素材タイプ</v>
          </cell>
          <cell r="M1443" t="str">
            <v>unknown</v>
          </cell>
          <cell r="N1443" t="str">
            <v>Unknown</v>
          </cell>
          <cell r="O1443" t="str">
            <v>animal</v>
          </cell>
          <cell r="P1443" t="str">
            <v>アニマル</v>
          </cell>
          <cell r="R1443">
            <v>3</v>
          </cell>
          <cell r="S1443" t="str">
            <v>NULL</v>
          </cell>
          <cell r="T1443" t="str">
            <v>normal</v>
          </cell>
          <cell r="U1443" t="str">
            <v>NULL</v>
          </cell>
          <cell r="V1443" t="str">
            <v>NULL</v>
          </cell>
          <cell r="W1443" t="str">
            <v>NULL</v>
          </cell>
        </row>
        <row r="1444">
          <cell r="A1444">
            <v>1516</v>
          </cell>
          <cell r="B1444" t="str">
            <v>ja</v>
          </cell>
          <cell r="C1444" t="str">
            <v>赤メタルネコビルダー</v>
          </cell>
          <cell r="H1444" t="str">
            <v>red</v>
          </cell>
          <cell r="I1444">
            <v>5</v>
          </cell>
          <cell r="J1444" t="str">
            <v>Material</v>
          </cell>
          <cell r="K1444" t="str">
            <v>exp</v>
          </cell>
          <cell r="L1444" t="str">
            <v>強化素材タイプ</v>
          </cell>
          <cell r="M1444" t="str">
            <v>unknown</v>
          </cell>
          <cell r="N1444" t="str">
            <v>Unknown</v>
          </cell>
          <cell r="O1444" t="str">
            <v>animal</v>
          </cell>
          <cell r="P1444" t="str">
            <v>アニマル</v>
          </cell>
          <cell r="R1444">
            <v>3</v>
          </cell>
          <cell r="S1444" t="str">
            <v>NULL</v>
          </cell>
          <cell r="T1444" t="str">
            <v>normal</v>
          </cell>
          <cell r="U1444" t="str">
            <v>NULL</v>
          </cell>
          <cell r="V1444" t="str">
            <v>NULL</v>
          </cell>
          <cell r="W1444" t="str">
            <v>NULL</v>
          </cell>
        </row>
        <row r="1445">
          <cell r="A1445">
            <v>1517</v>
          </cell>
          <cell r="B1445" t="str">
            <v>ja</v>
          </cell>
          <cell r="C1445" t="str">
            <v>青メタルネコ</v>
          </cell>
          <cell r="H1445" t="str">
            <v>blue</v>
          </cell>
          <cell r="I1445">
            <v>4</v>
          </cell>
          <cell r="J1445" t="str">
            <v>Material</v>
          </cell>
          <cell r="K1445" t="str">
            <v>exp</v>
          </cell>
          <cell r="L1445" t="str">
            <v>強化素材タイプ</v>
          </cell>
          <cell r="M1445" t="str">
            <v>unknown</v>
          </cell>
          <cell r="N1445" t="str">
            <v>Unknown</v>
          </cell>
          <cell r="O1445" t="str">
            <v>animal</v>
          </cell>
          <cell r="P1445" t="str">
            <v>アニマル</v>
          </cell>
          <cell r="R1445">
            <v>3</v>
          </cell>
          <cell r="S1445" t="str">
            <v>NULL</v>
          </cell>
          <cell r="T1445" t="str">
            <v>normal</v>
          </cell>
          <cell r="U1445" t="str">
            <v>NULL</v>
          </cell>
          <cell r="V1445" t="str">
            <v>NULL</v>
          </cell>
          <cell r="W1445" t="str">
            <v>NULL</v>
          </cell>
        </row>
        <row r="1446">
          <cell r="A1446">
            <v>1518</v>
          </cell>
          <cell r="B1446" t="str">
            <v>ja</v>
          </cell>
          <cell r="C1446" t="str">
            <v>青メタルネコビルダー</v>
          </cell>
          <cell r="H1446" t="str">
            <v>blue</v>
          </cell>
          <cell r="I1446">
            <v>5</v>
          </cell>
          <cell r="J1446" t="str">
            <v>Material</v>
          </cell>
          <cell r="K1446" t="str">
            <v>exp</v>
          </cell>
          <cell r="L1446" t="str">
            <v>強化素材タイプ</v>
          </cell>
          <cell r="M1446" t="str">
            <v>unknown</v>
          </cell>
          <cell r="N1446" t="str">
            <v>Unknown</v>
          </cell>
          <cell r="O1446" t="str">
            <v>animal</v>
          </cell>
          <cell r="P1446" t="str">
            <v>アニマル</v>
          </cell>
          <cell r="R1446">
            <v>3</v>
          </cell>
          <cell r="S1446" t="str">
            <v>NULL</v>
          </cell>
          <cell r="T1446" t="str">
            <v>normal</v>
          </cell>
          <cell r="U1446" t="str">
            <v>NULL</v>
          </cell>
          <cell r="V1446" t="str">
            <v>NULL</v>
          </cell>
          <cell r="W1446" t="str">
            <v>NULL</v>
          </cell>
        </row>
        <row r="1447">
          <cell r="A1447">
            <v>1519</v>
          </cell>
          <cell r="B1447" t="str">
            <v>ja</v>
          </cell>
          <cell r="C1447" t="str">
            <v>緑メタルネコ</v>
          </cell>
          <cell r="H1447" t="str">
            <v>green</v>
          </cell>
          <cell r="I1447">
            <v>4</v>
          </cell>
          <cell r="J1447" t="str">
            <v>Material</v>
          </cell>
          <cell r="K1447" t="str">
            <v>exp</v>
          </cell>
          <cell r="L1447" t="str">
            <v>強化素材タイプ</v>
          </cell>
          <cell r="M1447" t="str">
            <v>unknown</v>
          </cell>
          <cell r="N1447" t="str">
            <v>Unknown</v>
          </cell>
          <cell r="O1447" t="str">
            <v>animal</v>
          </cell>
          <cell r="P1447" t="str">
            <v>アニマル</v>
          </cell>
          <cell r="R1447">
            <v>3</v>
          </cell>
          <cell r="S1447" t="str">
            <v>NULL</v>
          </cell>
          <cell r="T1447" t="str">
            <v>normal</v>
          </cell>
          <cell r="U1447" t="str">
            <v>NULL</v>
          </cell>
          <cell r="V1447" t="str">
            <v>NULL</v>
          </cell>
          <cell r="W1447" t="str">
            <v>NULL</v>
          </cell>
        </row>
        <row r="1448">
          <cell r="A1448">
            <v>1520</v>
          </cell>
          <cell r="B1448" t="str">
            <v>ja</v>
          </cell>
          <cell r="C1448" t="str">
            <v>緑メタルネコビルダー</v>
          </cell>
          <cell r="H1448" t="str">
            <v>green</v>
          </cell>
          <cell r="I1448">
            <v>5</v>
          </cell>
          <cell r="J1448" t="str">
            <v>Material</v>
          </cell>
          <cell r="K1448" t="str">
            <v>exp</v>
          </cell>
          <cell r="L1448" t="str">
            <v>強化素材タイプ</v>
          </cell>
          <cell r="M1448" t="str">
            <v>unknown</v>
          </cell>
          <cell r="N1448" t="str">
            <v>Unknown</v>
          </cell>
          <cell r="O1448" t="str">
            <v>animal</v>
          </cell>
          <cell r="P1448" t="str">
            <v>アニマル</v>
          </cell>
          <cell r="R1448">
            <v>3</v>
          </cell>
          <cell r="S1448" t="str">
            <v>NULL</v>
          </cell>
          <cell r="T1448" t="str">
            <v>normal</v>
          </cell>
          <cell r="U1448" t="str">
            <v>NULL</v>
          </cell>
          <cell r="V1448" t="str">
            <v>NULL</v>
          </cell>
          <cell r="W1448" t="str">
            <v>NULL</v>
          </cell>
        </row>
        <row r="1449">
          <cell r="A1449">
            <v>1521</v>
          </cell>
          <cell r="B1449" t="str">
            <v>ja</v>
          </cell>
          <cell r="C1449" t="str">
            <v>黄メタルネコ</v>
          </cell>
          <cell r="H1449" t="str">
            <v>yellow</v>
          </cell>
          <cell r="I1449">
            <v>4</v>
          </cell>
          <cell r="J1449" t="str">
            <v>Material</v>
          </cell>
          <cell r="K1449" t="str">
            <v>exp</v>
          </cell>
          <cell r="L1449" t="str">
            <v>強化素材タイプ</v>
          </cell>
          <cell r="M1449" t="str">
            <v>unknown</v>
          </cell>
          <cell r="N1449" t="str">
            <v>Unknown</v>
          </cell>
          <cell r="O1449" t="str">
            <v>animal</v>
          </cell>
          <cell r="P1449" t="str">
            <v>アニマル</v>
          </cell>
          <cell r="R1449">
            <v>3</v>
          </cell>
          <cell r="S1449" t="str">
            <v>NULL</v>
          </cell>
          <cell r="T1449" t="str">
            <v>normal</v>
          </cell>
          <cell r="U1449" t="str">
            <v>NULL</v>
          </cell>
          <cell r="V1449" t="str">
            <v>NULL</v>
          </cell>
          <cell r="W1449" t="str">
            <v>NULL</v>
          </cell>
        </row>
        <row r="1450">
          <cell r="A1450">
            <v>1522</v>
          </cell>
          <cell r="B1450" t="str">
            <v>ja</v>
          </cell>
          <cell r="C1450" t="str">
            <v>黄メタルネコビルダー</v>
          </cell>
          <cell r="H1450" t="str">
            <v>yellow</v>
          </cell>
          <cell r="I1450">
            <v>5</v>
          </cell>
          <cell r="J1450" t="str">
            <v>Material</v>
          </cell>
          <cell r="K1450" t="str">
            <v>exp</v>
          </cell>
          <cell r="L1450" t="str">
            <v>強化素材タイプ</v>
          </cell>
          <cell r="M1450" t="str">
            <v>unknown</v>
          </cell>
          <cell r="N1450" t="str">
            <v>Unknown</v>
          </cell>
          <cell r="O1450" t="str">
            <v>animal</v>
          </cell>
          <cell r="P1450" t="str">
            <v>アニマル</v>
          </cell>
          <cell r="R1450">
            <v>3</v>
          </cell>
          <cell r="S1450" t="str">
            <v>NULL</v>
          </cell>
          <cell r="T1450" t="str">
            <v>normal</v>
          </cell>
          <cell r="U1450" t="str">
            <v>NULL</v>
          </cell>
          <cell r="V1450" t="str">
            <v>NULL</v>
          </cell>
          <cell r="W1450" t="str">
            <v>NULL</v>
          </cell>
        </row>
        <row r="1451">
          <cell r="A1451">
            <v>1523</v>
          </cell>
          <cell r="B1451" t="str">
            <v>ja</v>
          </cell>
          <cell r="C1451" t="str">
            <v>ネコムート</v>
          </cell>
          <cell r="H1451" t="str">
            <v>blue</v>
          </cell>
          <cell r="I1451">
            <v>5</v>
          </cell>
          <cell r="J1451" t="str">
            <v>DropWizS</v>
          </cell>
          <cell r="K1451" t="str">
            <v>technical</v>
          </cell>
          <cell r="L1451" t="str">
            <v>テクニカルタイプ</v>
          </cell>
          <cell r="M1451" t="str">
            <v>animal</v>
          </cell>
          <cell r="N1451" t="str">
            <v>アニマル</v>
          </cell>
          <cell r="O1451" t="str">
            <v>dragon</v>
          </cell>
          <cell r="P1451" t="str">
            <v>ドラゴン</v>
          </cell>
          <cell r="R1451">
            <v>3</v>
          </cell>
          <cell r="S1451" t="str">
            <v>NULL</v>
          </cell>
          <cell r="T1451" t="str">
            <v>normal</v>
          </cell>
          <cell r="U1451" t="str">
            <v>NULL</v>
          </cell>
          <cell r="V1451" t="str">
            <v>NULL</v>
          </cell>
          <cell r="W1451" t="str">
            <v>NULL</v>
          </cell>
        </row>
        <row r="1452">
          <cell r="A1452">
            <v>1524</v>
          </cell>
          <cell r="B1452" t="str">
            <v>ja</v>
          </cell>
          <cell r="C1452" t="str">
            <v>狂乱のネコムート</v>
          </cell>
          <cell r="H1452" t="str">
            <v>blue</v>
          </cell>
          <cell r="I1452">
            <v>6</v>
          </cell>
          <cell r="J1452" t="str">
            <v>DropWizS</v>
          </cell>
          <cell r="K1452" t="str">
            <v>technical</v>
          </cell>
          <cell r="L1452" t="str">
            <v>テクニカルタイプ</v>
          </cell>
          <cell r="M1452" t="str">
            <v>animal</v>
          </cell>
          <cell r="N1452" t="str">
            <v>アニマル</v>
          </cell>
          <cell r="O1452" t="str">
            <v>dragon</v>
          </cell>
          <cell r="P1452" t="str">
            <v>ドラゴン</v>
          </cell>
          <cell r="R1452">
            <v>3</v>
          </cell>
          <cell r="S1452" t="str">
            <v>NULL</v>
          </cell>
          <cell r="T1452" t="str">
            <v>normal</v>
          </cell>
          <cell r="U1452" t="str">
            <v>NULL</v>
          </cell>
          <cell r="V1452" t="str">
            <v>NULL</v>
          </cell>
          <cell r="W1452" t="str">
            <v>NULL</v>
          </cell>
        </row>
        <row r="1453">
          <cell r="A1453">
            <v>1525</v>
          </cell>
          <cell r="B1453" t="str">
            <v>ja</v>
          </cell>
          <cell r="C1453" t="str">
            <v>狂乱のネコ</v>
          </cell>
          <cell r="H1453" t="str">
            <v>red</v>
          </cell>
          <cell r="I1453">
            <v>5</v>
          </cell>
          <cell r="J1453" t="str">
            <v>DropWizSS</v>
          </cell>
          <cell r="K1453" t="str">
            <v>attack</v>
          </cell>
          <cell r="L1453" t="str">
            <v>攻撃タイプ</v>
          </cell>
          <cell r="M1453" t="str">
            <v>animal</v>
          </cell>
          <cell r="N1453" t="str">
            <v>アニマル</v>
          </cell>
          <cell r="O1453" t="str">
            <v>demon</v>
          </cell>
          <cell r="P1453" t="str">
            <v>デーモン</v>
          </cell>
          <cell r="R1453">
            <v>3</v>
          </cell>
          <cell r="S1453" t="str">
            <v>NULL</v>
          </cell>
          <cell r="T1453" t="str">
            <v>normal</v>
          </cell>
          <cell r="U1453" t="str">
            <v>NULL</v>
          </cell>
          <cell r="V1453" t="str">
            <v>NULL</v>
          </cell>
          <cell r="W1453" t="str">
            <v>NULL</v>
          </cell>
        </row>
        <row r="1454">
          <cell r="A1454">
            <v>1526</v>
          </cell>
          <cell r="B1454" t="str">
            <v>ja</v>
          </cell>
          <cell r="C1454" t="str">
            <v>狂乱のネコビルダー</v>
          </cell>
          <cell r="H1454" t="str">
            <v>red</v>
          </cell>
          <cell r="I1454">
            <v>6</v>
          </cell>
          <cell r="J1454" t="str">
            <v>DropWizSS</v>
          </cell>
          <cell r="K1454" t="str">
            <v>attack</v>
          </cell>
          <cell r="L1454" t="str">
            <v>攻撃タイプ</v>
          </cell>
          <cell r="M1454" t="str">
            <v>animal</v>
          </cell>
          <cell r="N1454" t="str">
            <v>アニマル</v>
          </cell>
          <cell r="O1454" t="str">
            <v>demon</v>
          </cell>
          <cell r="P1454" t="str">
            <v>デーモン</v>
          </cell>
          <cell r="R1454">
            <v>3</v>
          </cell>
          <cell r="S1454" t="str">
            <v>NULL</v>
          </cell>
          <cell r="T1454" t="str">
            <v>normal</v>
          </cell>
          <cell r="U1454" t="str">
            <v>NULL</v>
          </cell>
          <cell r="V1454" t="str">
            <v>NULL</v>
          </cell>
          <cell r="W1454" t="str">
            <v>NULL</v>
          </cell>
        </row>
        <row r="1455">
          <cell r="A1455">
            <v>1527</v>
          </cell>
          <cell r="B1455" t="str">
            <v>ja</v>
          </cell>
          <cell r="C1455" t="str">
            <v>ネコ魔剣士</v>
          </cell>
          <cell r="H1455" t="str">
            <v>red</v>
          </cell>
          <cell r="I1455">
            <v>4</v>
          </cell>
          <cell r="J1455" t="str">
            <v>PremiumS</v>
          </cell>
          <cell r="K1455" t="str">
            <v>attack</v>
          </cell>
          <cell r="L1455" t="str">
            <v>攻撃タイプ</v>
          </cell>
          <cell r="M1455" t="str">
            <v>animal</v>
          </cell>
          <cell r="N1455" t="str">
            <v>アニマル</v>
          </cell>
          <cell r="O1455" t="str">
            <v>hero</v>
          </cell>
          <cell r="P1455" t="str">
            <v>ヒーロー</v>
          </cell>
          <cell r="R1455">
            <v>3</v>
          </cell>
          <cell r="S1455" t="str">
            <v>NULL</v>
          </cell>
          <cell r="T1455" t="str">
            <v>normal</v>
          </cell>
          <cell r="U1455" t="str">
            <v>NULL</v>
          </cell>
          <cell r="V1455" t="str">
            <v>NULL</v>
          </cell>
          <cell r="W1455" t="str">
            <v>NULL</v>
          </cell>
        </row>
        <row r="1456">
          <cell r="A1456">
            <v>1528</v>
          </cell>
          <cell r="B1456" t="str">
            <v>ja</v>
          </cell>
          <cell r="C1456" t="str">
            <v>双剣ネコ魔剣士</v>
          </cell>
          <cell r="H1456" t="str">
            <v>red</v>
          </cell>
          <cell r="I1456">
            <v>5</v>
          </cell>
          <cell r="J1456" t="str">
            <v>PremiumS</v>
          </cell>
          <cell r="K1456" t="str">
            <v>attack</v>
          </cell>
          <cell r="L1456" t="str">
            <v>攻撃タイプ</v>
          </cell>
          <cell r="M1456" t="str">
            <v>animal</v>
          </cell>
          <cell r="N1456" t="str">
            <v>アニマル</v>
          </cell>
          <cell r="O1456" t="str">
            <v>hero</v>
          </cell>
          <cell r="P1456" t="str">
            <v>ヒーロー</v>
          </cell>
          <cell r="R1456">
            <v>3</v>
          </cell>
          <cell r="S1456" t="str">
            <v>NULL</v>
          </cell>
          <cell r="T1456" t="str">
            <v>normal</v>
          </cell>
          <cell r="U1456" t="str">
            <v>NULL</v>
          </cell>
          <cell r="V1456" t="str">
            <v>NULL</v>
          </cell>
          <cell r="W1456" t="str">
            <v>NULL</v>
          </cell>
        </row>
        <row r="1457">
          <cell r="A1457">
            <v>1529</v>
          </cell>
          <cell r="B1457" t="str">
            <v>ja</v>
          </cell>
          <cell r="C1457" t="str">
            <v>ねこ海賊</v>
          </cell>
          <cell r="H1457" t="str">
            <v>blue</v>
          </cell>
          <cell r="I1457">
            <v>4</v>
          </cell>
          <cell r="J1457" t="str">
            <v>PremiumS</v>
          </cell>
          <cell r="K1457" t="str">
            <v>balance</v>
          </cell>
          <cell r="L1457" t="str">
            <v>バランスタイプ</v>
          </cell>
          <cell r="M1457" t="str">
            <v>unknown</v>
          </cell>
          <cell r="N1457" t="str">
            <v>Unknown</v>
          </cell>
          <cell r="O1457" t="str">
            <v>animal</v>
          </cell>
          <cell r="P1457" t="str">
            <v>アニマル</v>
          </cell>
          <cell r="R1457">
            <v>3</v>
          </cell>
          <cell r="S1457" t="str">
            <v>NULL</v>
          </cell>
          <cell r="T1457" t="str">
            <v>normal</v>
          </cell>
          <cell r="U1457" t="str">
            <v>NULL</v>
          </cell>
          <cell r="V1457" t="str">
            <v>NULL</v>
          </cell>
          <cell r="W1457" t="str">
            <v>NULL</v>
          </cell>
        </row>
        <row r="1458">
          <cell r="A1458">
            <v>1530</v>
          </cell>
          <cell r="B1458" t="str">
            <v>ja</v>
          </cell>
          <cell r="C1458" t="str">
            <v>ニャーコック船長</v>
          </cell>
          <cell r="H1458" t="str">
            <v>blue</v>
          </cell>
          <cell r="I1458">
            <v>5</v>
          </cell>
          <cell r="J1458" t="str">
            <v>PremiumS</v>
          </cell>
          <cell r="K1458" t="str">
            <v>balance</v>
          </cell>
          <cell r="L1458" t="str">
            <v>バランスタイプ</v>
          </cell>
          <cell r="M1458" t="str">
            <v>unknown</v>
          </cell>
          <cell r="N1458" t="str">
            <v>Unknown</v>
          </cell>
          <cell r="O1458" t="str">
            <v>animal</v>
          </cell>
          <cell r="P1458" t="str">
            <v>アニマル</v>
          </cell>
          <cell r="R1458">
            <v>3</v>
          </cell>
          <cell r="S1458" t="str">
            <v>NULL</v>
          </cell>
          <cell r="T1458" t="str">
            <v>normal</v>
          </cell>
          <cell r="U1458" t="str">
            <v>NULL</v>
          </cell>
          <cell r="V1458" t="str">
            <v>NULL</v>
          </cell>
          <cell r="W1458" t="str">
            <v>NULL</v>
          </cell>
        </row>
        <row r="1459">
          <cell r="A1459">
            <v>1531</v>
          </cell>
          <cell r="B1459" t="str">
            <v>ja</v>
          </cell>
          <cell r="C1459" t="str">
            <v>ねこジュラ</v>
          </cell>
          <cell r="H1459" t="str">
            <v>green</v>
          </cell>
          <cell r="I1459">
            <v>4</v>
          </cell>
          <cell r="J1459" t="str">
            <v>PremiumS</v>
          </cell>
          <cell r="K1459" t="str">
            <v>technical</v>
          </cell>
          <cell r="L1459" t="str">
            <v>テクニカルタイプ</v>
          </cell>
          <cell r="M1459" t="str">
            <v>animal</v>
          </cell>
          <cell r="N1459" t="str">
            <v>アニマル</v>
          </cell>
          <cell r="O1459" t="str">
            <v>dragon</v>
          </cell>
          <cell r="P1459" t="str">
            <v>ドラゴン</v>
          </cell>
          <cell r="R1459">
            <v>3</v>
          </cell>
          <cell r="S1459" t="str">
            <v>NULL</v>
          </cell>
          <cell r="T1459" t="str">
            <v>normal</v>
          </cell>
          <cell r="U1459" t="str">
            <v>NULL</v>
          </cell>
          <cell r="V1459" t="str">
            <v>NULL</v>
          </cell>
          <cell r="W1459" t="str">
            <v>NULL</v>
          </cell>
        </row>
        <row r="1460">
          <cell r="A1460">
            <v>1532</v>
          </cell>
          <cell r="B1460" t="str">
            <v>ja</v>
          </cell>
          <cell r="C1460" t="str">
            <v>ねこジュラシッター</v>
          </cell>
          <cell r="H1460" t="str">
            <v>green</v>
          </cell>
          <cell r="I1460">
            <v>5</v>
          </cell>
          <cell r="J1460" t="str">
            <v>PremiumS</v>
          </cell>
          <cell r="K1460" t="str">
            <v>technical</v>
          </cell>
          <cell r="L1460" t="str">
            <v>テクニカルタイプ</v>
          </cell>
          <cell r="M1460" t="str">
            <v>animal</v>
          </cell>
          <cell r="N1460" t="str">
            <v>アニマル</v>
          </cell>
          <cell r="O1460" t="str">
            <v>dragon</v>
          </cell>
          <cell r="P1460" t="str">
            <v>ドラゴン</v>
          </cell>
          <cell r="R1460">
            <v>3</v>
          </cell>
          <cell r="S1460" t="str">
            <v>NULL</v>
          </cell>
          <cell r="T1460" t="str">
            <v>normal</v>
          </cell>
          <cell r="U1460" t="str">
            <v>NULL</v>
          </cell>
          <cell r="V1460" t="str">
            <v>NULL</v>
          </cell>
          <cell r="W1460" t="str">
            <v>NULL</v>
          </cell>
        </row>
        <row r="1461">
          <cell r="A1461">
            <v>1533</v>
          </cell>
          <cell r="B1461" t="str">
            <v>ja</v>
          </cell>
          <cell r="C1461" t="str">
            <v>ネコエステ</v>
          </cell>
          <cell r="H1461" t="str">
            <v>yellow</v>
          </cell>
          <cell r="I1461">
            <v>4</v>
          </cell>
          <cell r="J1461" t="str">
            <v>PremiumS</v>
          </cell>
          <cell r="K1461" t="str">
            <v>attack</v>
          </cell>
          <cell r="L1461" t="str">
            <v>攻撃タイプ</v>
          </cell>
          <cell r="M1461" t="str">
            <v>animal</v>
          </cell>
          <cell r="N1461" t="str">
            <v>アニマル</v>
          </cell>
          <cell r="O1461" t="str">
            <v>human</v>
          </cell>
          <cell r="P1461" t="str">
            <v>ヒューマン</v>
          </cell>
          <cell r="R1461">
            <v>3</v>
          </cell>
          <cell r="S1461" t="str">
            <v>NULL</v>
          </cell>
          <cell r="T1461" t="str">
            <v>normal</v>
          </cell>
          <cell r="U1461" t="str">
            <v>NULL</v>
          </cell>
          <cell r="V1461" t="str">
            <v>NULL</v>
          </cell>
          <cell r="W1461" t="str">
            <v>NULL</v>
          </cell>
        </row>
        <row r="1462">
          <cell r="A1462">
            <v>1534</v>
          </cell>
          <cell r="B1462" t="str">
            <v>ja</v>
          </cell>
          <cell r="C1462" t="str">
            <v>ネコジェンヌ</v>
          </cell>
          <cell r="H1462" t="str">
            <v>yellow</v>
          </cell>
          <cell r="I1462">
            <v>5</v>
          </cell>
          <cell r="J1462" t="str">
            <v>PremiumS</v>
          </cell>
          <cell r="K1462" t="str">
            <v>attack</v>
          </cell>
          <cell r="L1462" t="str">
            <v>攻撃タイプ</v>
          </cell>
          <cell r="M1462" t="str">
            <v>animal</v>
          </cell>
          <cell r="N1462" t="str">
            <v>アニマル</v>
          </cell>
          <cell r="O1462" t="str">
            <v>human</v>
          </cell>
          <cell r="P1462" t="str">
            <v>ヒューマン</v>
          </cell>
          <cell r="R1462">
            <v>3</v>
          </cell>
          <cell r="S1462" t="str">
            <v>NULL</v>
          </cell>
          <cell r="T1462" t="str">
            <v>normal</v>
          </cell>
          <cell r="U1462" t="str">
            <v>NULL</v>
          </cell>
          <cell r="V1462" t="str">
            <v>NULL</v>
          </cell>
          <cell r="W1462" t="str">
            <v>NULL</v>
          </cell>
        </row>
        <row r="1463">
          <cell r="A1463">
            <v>1535</v>
          </cell>
          <cell r="B1463" t="str">
            <v>ja</v>
          </cell>
          <cell r="C1463" t="str">
            <v>ねこナース</v>
          </cell>
          <cell r="H1463" t="str">
            <v>red</v>
          </cell>
          <cell r="I1463">
            <v>5</v>
          </cell>
          <cell r="J1463" t="str">
            <v>PremiumSS</v>
          </cell>
          <cell r="K1463" t="str">
            <v>technical</v>
          </cell>
          <cell r="L1463" t="str">
            <v>テクニカルタイプ</v>
          </cell>
          <cell r="M1463" t="str">
            <v>god</v>
          </cell>
          <cell r="N1463" t="str">
            <v>ゴッド</v>
          </cell>
          <cell r="O1463" t="str">
            <v>animal</v>
          </cell>
          <cell r="P1463" t="str">
            <v>アニマル</v>
          </cell>
          <cell r="R1463">
            <v>3</v>
          </cell>
          <cell r="S1463" t="str">
            <v>NULL</v>
          </cell>
          <cell r="T1463" t="str">
            <v>normal</v>
          </cell>
          <cell r="U1463" t="str">
            <v>NULL</v>
          </cell>
          <cell r="V1463" t="str">
            <v>NULL</v>
          </cell>
          <cell r="W1463" t="str">
            <v>NULL</v>
          </cell>
        </row>
        <row r="1464">
          <cell r="A1464">
            <v>1536</v>
          </cell>
          <cell r="B1464" t="str">
            <v>ja</v>
          </cell>
          <cell r="C1464" t="str">
            <v>ハートフルねこナース</v>
          </cell>
          <cell r="H1464" t="str">
            <v>red</v>
          </cell>
          <cell r="I1464">
            <v>6</v>
          </cell>
          <cell r="J1464" t="str">
            <v>PremiumSS</v>
          </cell>
          <cell r="K1464" t="str">
            <v>technical</v>
          </cell>
          <cell r="L1464" t="str">
            <v>テクニカルタイプ</v>
          </cell>
          <cell r="M1464" t="str">
            <v>god</v>
          </cell>
          <cell r="N1464" t="str">
            <v>ゴッド</v>
          </cell>
          <cell r="O1464" t="str">
            <v>animal</v>
          </cell>
          <cell r="P1464" t="str">
            <v>アニマル</v>
          </cell>
          <cell r="R1464">
            <v>3</v>
          </cell>
          <cell r="S1464" t="str">
            <v>NULL</v>
          </cell>
          <cell r="T1464" t="str">
            <v>normal</v>
          </cell>
          <cell r="U1464" t="str">
            <v>NULL</v>
          </cell>
          <cell r="V1464" t="str">
            <v>NULL</v>
          </cell>
          <cell r="W1464" t="str">
            <v>NULL</v>
          </cell>
        </row>
        <row r="1465">
          <cell r="A1465">
            <v>1537</v>
          </cell>
          <cell r="B1465" t="str">
            <v>ja</v>
          </cell>
          <cell r="C1465" t="str">
            <v>キャットマンダディ</v>
          </cell>
          <cell r="H1465" t="str">
            <v>blue</v>
          </cell>
          <cell r="I1465">
            <v>5</v>
          </cell>
          <cell r="J1465" t="str">
            <v>PremiumSSS</v>
          </cell>
          <cell r="K1465" t="str">
            <v>attack</v>
          </cell>
          <cell r="L1465" t="str">
            <v>攻撃タイプ</v>
          </cell>
          <cell r="M1465" t="str">
            <v>unknown</v>
          </cell>
          <cell r="N1465" t="str">
            <v>Unknown</v>
          </cell>
          <cell r="O1465" t="str">
            <v>animal</v>
          </cell>
          <cell r="P1465" t="str">
            <v>アニマル</v>
          </cell>
          <cell r="R1465">
            <v>3</v>
          </cell>
          <cell r="S1465" t="str">
            <v>NULL</v>
          </cell>
          <cell r="T1465" t="str">
            <v>normal</v>
          </cell>
          <cell r="U1465" t="str">
            <v>NULL</v>
          </cell>
          <cell r="V1465" t="str">
            <v>NULL</v>
          </cell>
          <cell r="W1465" t="str">
            <v>NULL</v>
          </cell>
        </row>
        <row r="1466">
          <cell r="A1466">
            <v>1538</v>
          </cell>
          <cell r="B1466" t="str">
            <v>ja</v>
          </cell>
          <cell r="C1466" t="str">
            <v>キャットマンダーク</v>
          </cell>
          <cell r="H1466" t="str">
            <v>blue</v>
          </cell>
          <cell r="I1466">
            <v>6</v>
          </cell>
          <cell r="J1466" t="str">
            <v>PremiumSSS</v>
          </cell>
          <cell r="K1466" t="str">
            <v>attack</v>
          </cell>
          <cell r="L1466" t="str">
            <v>攻撃タイプ</v>
          </cell>
          <cell r="M1466" t="str">
            <v>unknown</v>
          </cell>
          <cell r="N1466" t="str">
            <v>Unknown</v>
          </cell>
          <cell r="O1466" t="str">
            <v>animal</v>
          </cell>
          <cell r="P1466" t="str">
            <v>アニマル</v>
          </cell>
          <cell r="R1466">
            <v>3</v>
          </cell>
          <cell r="S1466" t="str">
            <v>NULL</v>
          </cell>
          <cell r="T1466" t="str">
            <v>normal</v>
          </cell>
          <cell r="U1466" t="str">
            <v>NULL</v>
          </cell>
          <cell r="V1466" t="str">
            <v>NULL</v>
          </cell>
          <cell r="W1466" t="str">
            <v>NULL</v>
          </cell>
        </row>
        <row r="1467">
          <cell r="A1467">
            <v>1539</v>
          </cell>
          <cell r="B1467" t="str">
            <v>ja</v>
          </cell>
          <cell r="C1467" t="str">
            <v>雷神のサンディア</v>
          </cell>
          <cell r="H1467" t="str">
            <v>yellow</v>
          </cell>
          <cell r="I1467">
            <v>5</v>
          </cell>
          <cell r="J1467" t="str">
            <v>PremiumSS</v>
          </cell>
          <cell r="K1467" t="str">
            <v>attack</v>
          </cell>
          <cell r="L1467" t="str">
            <v>攻撃タイプ</v>
          </cell>
          <cell r="M1467" t="str">
            <v>god</v>
          </cell>
          <cell r="N1467" t="str">
            <v>ゴッド</v>
          </cell>
          <cell r="O1467" t="str">
            <v>animal</v>
          </cell>
          <cell r="P1467" t="str">
            <v>アニマル</v>
          </cell>
          <cell r="R1467">
            <v>3</v>
          </cell>
          <cell r="S1467" t="str">
            <v>NULL</v>
          </cell>
          <cell r="T1467" t="str">
            <v>normal</v>
          </cell>
          <cell r="U1467" t="str">
            <v>NULL</v>
          </cell>
          <cell r="V1467" t="str">
            <v>NULL</v>
          </cell>
          <cell r="W1467" t="str">
            <v>NULL</v>
          </cell>
        </row>
        <row r="1468">
          <cell r="A1468">
            <v>1540</v>
          </cell>
          <cell r="B1468" t="str">
            <v>ja</v>
          </cell>
          <cell r="C1468" t="str">
            <v>雷神のサンディアβ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attack</v>
          </cell>
          <cell r="L1468" t="str">
            <v>攻撃タイプ</v>
          </cell>
          <cell r="M1468" t="str">
            <v>god</v>
          </cell>
          <cell r="N1468" t="str">
            <v>ゴッド</v>
          </cell>
          <cell r="O1468" t="str">
            <v>animal</v>
          </cell>
          <cell r="P1468" t="str">
            <v>アニマル</v>
          </cell>
          <cell r="R1468">
            <v>3</v>
          </cell>
          <cell r="S1468" t="str">
            <v>NULL</v>
          </cell>
          <cell r="T1468" t="str">
            <v>normal</v>
          </cell>
          <cell r="U1468" t="str">
            <v>NULL</v>
          </cell>
          <cell r="V1468" t="str">
            <v>NULL</v>
          </cell>
          <cell r="W1468" t="str">
            <v>NULL</v>
          </cell>
        </row>
        <row r="1469">
          <cell r="A1469">
            <v>1541</v>
          </cell>
          <cell r="B1469" t="str">
            <v>ja</v>
          </cell>
          <cell r="C1469" t="str">
            <v>美女神アフロディーテ</v>
          </cell>
          <cell r="H1469" t="str">
            <v>red</v>
          </cell>
          <cell r="I1469">
            <v>5</v>
          </cell>
          <cell r="J1469" t="str">
            <v>PremiumSSS</v>
          </cell>
          <cell r="K1469" t="str">
            <v>technical</v>
          </cell>
          <cell r="L1469" t="str">
            <v>テクニカルタイプ</v>
          </cell>
          <cell r="M1469" t="str">
            <v>god</v>
          </cell>
          <cell r="N1469" t="str">
            <v>ゴッド</v>
          </cell>
          <cell r="O1469" t="str">
            <v>unknown</v>
          </cell>
          <cell r="P1469" t="str">
            <v>Unknown</v>
          </cell>
          <cell r="R1469">
            <v>3</v>
          </cell>
          <cell r="S1469" t="str">
            <v>NULL</v>
          </cell>
          <cell r="T1469" t="str">
            <v>normal</v>
          </cell>
          <cell r="U1469" t="str">
            <v>NULL</v>
          </cell>
          <cell r="V1469" t="str">
            <v>NULL</v>
          </cell>
          <cell r="W1469" t="str">
            <v>NULL</v>
          </cell>
        </row>
        <row r="1470">
          <cell r="A1470">
            <v>1542</v>
          </cell>
          <cell r="B1470" t="str">
            <v>ja</v>
          </cell>
          <cell r="C1470" t="str">
            <v>メガロディーテ</v>
          </cell>
          <cell r="H1470" t="str">
            <v>red</v>
          </cell>
          <cell r="I1470">
            <v>6</v>
          </cell>
          <cell r="J1470" t="str">
            <v>PremiumSSS</v>
          </cell>
          <cell r="K1470" t="str">
            <v>technical</v>
          </cell>
          <cell r="L1470" t="str">
            <v>テクニカルタイプ</v>
          </cell>
          <cell r="M1470" t="str">
            <v>god</v>
          </cell>
          <cell r="N1470" t="str">
            <v>ゴッド</v>
          </cell>
          <cell r="O1470" t="str">
            <v>unknown</v>
          </cell>
          <cell r="P1470" t="str">
            <v>Unknown</v>
          </cell>
          <cell r="R1470">
            <v>3</v>
          </cell>
          <cell r="S1470" t="str">
            <v>NULL</v>
          </cell>
          <cell r="T1470" t="str">
            <v>normal</v>
          </cell>
          <cell r="U1470" t="str">
            <v>NULL</v>
          </cell>
          <cell r="V1470" t="str">
            <v>NULL</v>
          </cell>
          <cell r="W1470" t="str">
            <v>NULL</v>
          </cell>
        </row>
        <row r="1471">
          <cell r="A1471">
            <v>1543</v>
          </cell>
          <cell r="B1471" t="str">
            <v>ja</v>
          </cell>
          <cell r="C1471" t="str">
            <v>ツルの恩返し</v>
          </cell>
          <cell r="H1471" t="str">
            <v>red</v>
          </cell>
          <cell r="I1471">
            <v>5</v>
          </cell>
          <cell r="J1471" t="str">
            <v>PremiumSS</v>
          </cell>
          <cell r="K1471" t="str">
            <v>balance</v>
          </cell>
          <cell r="L1471" t="str">
            <v>バランスタイプ</v>
          </cell>
          <cell r="M1471" t="str">
            <v>hero</v>
          </cell>
          <cell r="N1471" t="str">
            <v>ヒーロー</v>
          </cell>
          <cell r="O1471" t="str">
            <v>unknown</v>
          </cell>
          <cell r="P1471" t="str">
            <v>Unknown</v>
          </cell>
          <cell r="R1471">
            <v>3</v>
          </cell>
          <cell r="S1471" t="str">
            <v>NULL</v>
          </cell>
          <cell r="T1471" t="str">
            <v>normal</v>
          </cell>
          <cell r="U1471" t="str">
            <v>NULL</v>
          </cell>
          <cell r="V1471" t="str">
            <v>NULL</v>
          </cell>
          <cell r="W1471" t="str">
            <v>NULL</v>
          </cell>
        </row>
        <row r="1472">
          <cell r="A1472">
            <v>1544</v>
          </cell>
          <cell r="B1472" t="str">
            <v>ja</v>
          </cell>
          <cell r="C1472" t="str">
            <v>銀河戦士コスモ</v>
          </cell>
          <cell r="H1472" t="str">
            <v>red</v>
          </cell>
          <cell r="I1472">
            <v>6</v>
          </cell>
          <cell r="J1472" t="str">
            <v>PremiumSS</v>
          </cell>
          <cell r="K1472" t="str">
            <v>balance</v>
          </cell>
          <cell r="L1472" t="str">
            <v>バランスタイプ</v>
          </cell>
          <cell r="M1472" t="str">
            <v>hero</v>
          </cell>
          <cell r="N1472" t="str">
            <v>ヒーロー</v>
          </cell>
          <cell r="O1472" t="str">
            <v>unknown</v>
          </cell>
          <cell r="P1472" t="str">
            <v>Unknown</v>
          </cell>
          <cell r="R1472">
            <v>3</v>
          </cell>
          <cell r="S1472" t="str">
            <v>NULL</v>
          </cell>
          <cell r="T1472" t="str">
            <v>normal</v>
          </cell>
          <cell r="U1472" t="str">
            <v>NULL</v>
          </cell>
          <cell r="V1472" t="str">
            <v>NULL</v>
          </cell>
          <cell r="W1472" t="str">
            <v>NULL</v>
          </cell>
        </row>
        <row r="1473">
          <cell r="A1473">
            <v>1545</v>
          </cell>
          <cell r="B1473" t="str">
            <v>ja</v>
          </cell>
          <cell r="C1473" t="str">
            <v>ネコルガ</v>
          </cell>
          <cell r="H1473" t="str">
            <v>green</v>
          </cell>
          <cell r="I1473">
            <v>5</v>
          </cell>
          <cell r="J1473" t="str">
            <v>PremiumSS</v>
          </cell>
          <cell r="K1473" t="str">
            <v>hp</v>
          </cell>
          <cell r="L1473" t="str">
            <v>体力タイプ</v>
          </cell>
          <cell r="M1473" t="str">
            <v>unknown</v>
          </cell>
          <cell r="N1473" t="str">
            <v>Unknown</v>
          </cell>
          <cell r="O1473" t="str">
            <v>demon</v>
          </cell>
          <cell r="P1473" t="str">
            <v>デーモン</v>
          </cell>
          <cell r="R1473">
            <v>3</v>
          </cell>
          <cell r="S1473" t="str">
            <v>NULL</v>
          </cell>
          <cell r="T1473" t="str">
            <v>normal</v>
          </cell>
          <cell r="U1473" t="str">
            <v>NULL</v>
          </cell>
          <cell r="V1473" t="str">
            <v>NULL</v>
          </cell>
          <cell r="W1473" t="str">
            <v>NULL</v>
          </cell>
        </row>
        <row r="1474">
          <cell r="A1474">
            <v>1546</v>
          </cell>
          <cell r="B1474" t="str">
            <v>ja</v>
          </cell>
          <cell r="C1474" t="str">
            <v>ケサランパサラン</v>
          </cell>
          <cell r="H1474" t="str">
            <v>green</v>
          </cell>
          <cell r="I1474">
            <v>6</v>
          </cell>
          <cell r="J1474" t="str">
            <v>PremiumSS</v>
          </cell>
          <cell r="K1474" t="str">
            <v>hp</v>
          </cell>
          <cell r="L1474" t="str">
            <v>体力タイプ</v>
          </cell>
          <cell r="M1474" t="str">
            <v>unknown</v>
          </cell>
          <cell r="N1474" t="str">
            <v>Unknown</v>
          </cell>
          <cell r="O1474" t="str">
            <v>demon</v>
          </cell>
          <cell r="P1474" t="str">
            <v>デーモン</v>
          </cell>
          <cell r="R1474">
            <v>3</v>
          </cell>
          <cell r="S1474" t="str">
            <v>NULL</v>
          </cell>
          <cell r="T1474" t="str">
            <v>normal</v>
          </cell>
          <cell r="U1474" t="str">
            <v>NULL</v>
          </cell>
          <cell r="V1474" t="str">
            <v>NULL</v>
          </cell>
          <cell r="W1474" t="str">
            <v>NULL</v>
          </cell>
        </row>
        <row r="1475">
          <cell r="A1475">
            <v>1547</v>
          </cell>
          <cell r="B1475" t="str">
            <v>ja</v>
          </cell>
          <cell r="C1475" t="str">
            <v>ネコフラワー</v>
          </cell>
          <cell r="H1475" t="str">
            <v>green</v>
          </cell>
          <cell r="I1475">
            <v>4</v>
          </cell>
          <cell r="J1475" t="str">
            <v>Drop2N</v>
          </cell>
          <cell r="K1475" t="str">
            <v>hp</v>
          </cell>
          <cell r="L1475" t="str">
            <v>体力タイプ</v>
          </cell>
          <cell r="M1475" t="str">
            <v>animal</v>
          </cell>
          <cell r="N1475" t="str">
            <v>アニマル</v>
          </cell>
          <cell r="O1475" t="str">
            <v>machine</v>
          </cell>
          <cell r="P1475" t="str">
            <v>マシン</v>
          </cell>
          <cell r="R1475">
            <v>3</v>
          </cell>
          <cell r="S1475" t="str">
            <v>NULL</v>
          </cell>
          <cell r="T1475" t="str">
            <v>normal</v>
          </cell>
          <cell r="U1475" t="str">
            <v>NULL</v>
          </cell>
          <cell r="V1475" t="str">
            <v>NULL</v>
          </cell>
          <cell r="W1475" t="str">
            <v>NULL</v>
          </cell>
        </row>
        <row r="1476">
          <cell r="A1476">
            <v>1548</v>
          </cell>
          <cell r="B1476" t="str">
            <v>ja</v>
          </cell>
          <cell r="C1476" t="str">
            <v>にゃんこ扇風</v>
          </cell>
          <cell r="H1476" t="str">
            <v>green</v>
          </cell>
          <cell r="I1476">
            <v>5</v>
          </cell>
          <cell r="J1476" t="str">
            <v>Drop2N</v>
          </cell>
          <cell r="K1476" t="str">
            <v>hp</v>
          </cell>
          <cell r="L1476" t="str">
            <v>体力タイプ</v>
          </cell>
          <cell r="M1476" t="str">
            <v>animal</v>
          </cell>
          <cell r="N1476" t="str">
            <v>アニマル</v>
          </cell>
          <cell r="O1476" t="str">
            <v>machine</v>
          </cell>
          <cell r="P1476" t="str">
            <v>マシン</v>
          </cell>
          <cell r="R1476">
            <v>3</v>
          </cell>
          <cell r="S1476" t="str">
            <v>NULL</v>
          </cell>
          <cell r="T1476" t="str">
            <v>normal</v>
          </cell>
          <cell r="U1476" t="str">
            <v>NULL</v>
          </cell>
          <cell r="V1476" t="str">
            <v>NULL</v>
          </cell>
          <cell r="W1476" t="str">
            <v>NULL</v>
          </cell>
        </row>
        <row r="1477">
          <cell r="A1477">
            <v>1549</v>
          </cell>
          <cell r="B1477" t="str">
            <v>ja</v>
          </cell>
          <cell r="C1477" t="str">
            <v>ネコリンゴ</v>
          </cell>
          <cell r="H1477" t="str">
            <v>green</v>
          </cell>
          <cell r="I1477">
            <v>5</v>
          </cell>
          <cell r="J1477" t="str">
            <v>DropWizS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  <cell r="N1477" t="str">
            <v>Unknown</v>
          </cell>
          <cell r="O1477" t="str">
            <v>animal</v>
          </cell>
          <cell r="P1477" t="str">
            <v>アニマル</v>
          </cell>
          <cell r="R1477">
            <v>3</v>
          </cell>
          <cell r="S1477" t="str">
            <v>NULL</v>
          </cell>
          <cell r="T1477" t="str">
            <v>normal</v>
          </cell>
          <cell r="U1477" t="str">
            <v>NULL</v>
          </cell>
          <cell r="V1477" t="str">
            <v>NULL</v>
          </cell>
          <cell r="W1477" t="str">
            <v>NULL</v>
          </cell>
        </row>
        <row r="1478">
          <cell r="A1478">
            <v>1550</v>
          </cell>
          <cell r="B1478" t="str">
            <v>ja</v>
          </cell>
          <cell r="C1478" t="str">
            <v>カオルくん</v>
          </cell>
          <cell r="H1478" t="str">
            <v>green</v>
          </cell>
          <cell r="I1478">
            <v>6</v>
          </cell>
          <cell r="J1478" t="str">
            <v>DropWizS</v>
          </cell>
          <cell r="K1478" t="str">
            <v>balance</v>
          </cell>
          <cell r="L1478" t="str">
            <v>バランスタイプ</v>
          </cell>
          <cell r="M1478" t="str">
            <v>unknown</v>
          </cell>
          <cell r="N1478" t="str">
            <v>Unknown</v>
          </cell>
          <cell r="O1478" t="str">
            <v>animal</v>
          </cell>
          <cell r="P1478" t="str">
            <v>アニマル</v>
          </cell>
          <cell r="R1478">
            <v>3</v>
          </cell>
          <cell r="S1478" t="str">
            <v>NULL</v>
          </cell>
          <cell r="T1478" t="str">
            <v>normal</v>
          </cell>
          <cell r="U1478" t="str">
            <v>NULL</v>
          </cell>
          <cell r="V1478" t="str">
            <v>NULL</v>
          </cell>
          <cell r="W1478" t="str">
            <v>NULL</v>
          </cell>
        </row>
        <row r="1479">
          <cell r="A1479">
            <v>5001</v>
          </cell>
          <cell r="B1479" t="str">
            <v>ja</v>
          </cell>
          <cell r="C1479" t="str">
            <v>ガルーダ</v>
          </cell>
          <cell r="D1479" t="str">
            <v>ノーマルクエスト</v>
          </cell>
          <cell r="E1479" t="str">
            <v>QoH</v>
          </cell>
          <cell r="F1479" t="str">
            <v>世界観</v>
          </cell>
          <cell r="G1479" t="str">
            <v>不明</v>
          </cell>
          <cell r="H1479" t="str">
            <v>red</v>
          </cell>
          <cell r="I1479">
            <v>5</v>
          </cell>
          <cell r="J1479" t="str">
            <v>PremiumSSw</v>
          </cell>
          <cell r="K1479" t="str">
            <v>attack</v>
          </cell>
          <cell r="L1479" t="str">
            <v>攻撃タイプ</v>
          </cell>
          <cell r="M1479" t="str">
            <v>god</v>
          </cell>
          <cell r="N1479" t="str">
            <v>ゴッド</v>
          </cell>
          <cell r="O1479" t="str">
            <v>animal</v>
          </cell>
          <cell r="P1479" t="str">
            <v>アニマル</v>
          </cell>
          <cell r="Q1479" t="str">
            <v>アタッカー</v>
          </cell>
          <cell r="R1479">
            <v>1</v>
          </cell>
          <cell r="S1479" t="str">
            <v>NULL</v>
          </cell>
          <cell r="T1479" t="str">
            <v>normal</v>
          </cell>
          <cell r="U1479" t="str">
            <v>NULL</v>
          </cell>
          <cell r="V1479" t="str">
            <v>NULL</v>
          </cell>
          <cell r="W1479" t="str">
            <v>NULL</v>
          </cell>
        </row>
        <row r="1480">
          <cell r="A1480">
            <v>5002</v>
          </cell>
          <cell r="B1480" t="str">
            <v>ja</v>
          </cell>
          <cell r="C1480" t="str">
            <v>ガルーダ★６</v>
          </cell>
          <cell r="D1480" t="str">
            <v>ノーマルクエスト</v>
          </cell>
          <cell r="E1480" t="str">
            <v>アバター</v>
          </cell>
          <cell r="F1480" t="str">
            <v>世界観</v>
          </cell>
          <cell r="G1480" t="str">
            <v>男性</v>
          </cell>
          <cell r="H1480" t="str">
            <v>red</v>
          </cell>
          <cell r="I1480">
            <v>6</v>
          </cell>
          <cell r="J1480" t="str">
            <v>PremiumSSw</v>
          </cell>
          <cell r="K1480" t="str">
            <v>attack</v>
          </cell>
          <cell r="L1480" t="str">
            <v>攻撃タイプ</v>
          </cell>
          <cell r="M1480" t="str">
            <v>god</v>
          </cell>
          <cell r="N1480" t="str">
            <v>ゴッド</v>
          </cell>
          <cell r="O1480" t="str">
            <v>animal</v>
          </cell>
          <cell r="P1480" t="str">
            <v>アニマル</v>
          </cell>
          <cell r="Q1480" t="str">
            <v>アタッカー</v>
          </cell>
          <cell r="R1480">
            <v>1</v>
          </cell>
          <cell r="S1480" t="str">
            <v>NULL</v>
          </cell>
          <cell r="T1480" t="str">
            <v>normal</v>
          </cell>
          <cell r="U1480" t="str">
            <v>NULL</v>
          </cell>
          <cell r="V1480" t="str">
            <v>NULL</v>
          </cell>
          <cell r="W1480" t="str">
            <v>NULL</v>
          </cell>
        </row>
        <row r="1481">
          <cell r="A1481">
            <v>5003</v>
          </cell>
          <cell r="B1481" t="str">
            <v>ja</v>
          </cell>
          <cell r="C1481" t="str">
            <v>ナーガ</v>
          </cell>
          <cell r="D1481" t="str">
            <v>リンクガチャ:4神</v>
          </cell>
          <cell r="E1481" t="str">
            <v>守護神</v>
          </cell>
          <cell r="F1481" t="str">
            <v>格好いい</v>
          </cell>
          <cell r="G1481" t="str">
            <v>不明</v>
          </cell>
          <cell r="H1481" t="str">
            <v>green</v>
          </cell>
          <cell r="I1481">
            <v>5</v>
          </cell>
          <cell r="J1481" t="str">
            <v>DropWizS</v>
          </cell>
          <cell r="K1481" t="str">
            <v>technical</v>
          </cell>
          <cell r="L1481" t="str">
            <v>テクニカルタイプ</v>
          </cell>
          <cell r="M1481" t="str">
            <v>animal</v>
          </cell>
          <cell r="N1481" t="str">
            <v>アニマル</v>
          </cell>
          <cell r="O1481" t="str">
            <v>dragon</v>
          </cell>
          <cell r="P1481" t="str">
            <v>ドラゴン</v>
          </cell>
          <cell r="Q1481" t="str">
            <v>アタッカー</v>
          </cell>
          <cell r="R1481">
            <v>1</v>
          </cell>
          <cell r="S1481" t="str">
            <v>NULL</v>
          </cell>
          <cell r="T1481" t="str">
            <v>normal</v>
          </cell>
          <cell r="U1481" t="str">
            <v>NULL</v>
          </cell>
          <cell r="V1481" t="str">
            <v>NULL</v>
          </cell>
          <cell r="W1481" t="str">
            <v>NULL</v>
          </cell>
        </row>
        <row r="1482">
          <cell r="A1482">
            <v>5004</v>
          </cell>
          <cell r="B1482" t="str">
            <v>ja</v>
          </cell>
          <cell r="C1482" t="str">
            <v>ナーガ★６</v>
          </cell>
          <cell r="D1482" t="str">
            <v>ノーマルクエスト</v>
          </cell>
          <cell r="E1482" t="str">
            <v>アバター</v>
          </cell>
          <cell r="F1482" t="str">
            <v>世界観</v>
          </cell>
          <cell r="G1482" t="str">
            <v>不明</v>
          </cell>
          <cell r="H1482" t="str">
            <v>green</v>
          </cell>
          <cell r="I1482">
            <v>6</v>
          </cell>
          <cell r="J1482" t="str">
            <v>DropWizS</v>
          </cell>
          <cell r="K1482" t="str">
            <v>technical</v>
          </cell>
          <cell r="L1482" t="str">
            <v>テクニカルタイプ</v>
          </cell>
          <cell r="M1482" t="str">
            <v>animal</v>
          </cell>
          <cell r="N1482" t="str">
            <v>アニマル</v>
          </cell>
          <cell r="O1482" t="str">
            <v>dragon</v>
          </cell>
          <cell r="P1482" t="str">
            <v>ドラゴン</v>
          </cell>
          <cell r="Q1482" t="str">
            <v>アタッカー</v>
          </cell>
          <cell r="R1482">
            <v>1</v>
          </cell>
          <cell r="S1482" t="str">
            <v>NULL</v>
          </cell>
          <cell r="T1482" t="str">
            <v>normal</v>
          </cell>
          <cell r="U1482" t="str">
            <v>NULL</v>
          </cell>
          <cell r="V1482" t="str">
            <v>NULL</v>
          </cell>
          <cell r="W1482" t="str">
            <v>NULL</v>
          </cell>
        </row>
        <row r="1483">
          <cell r="A1483">
            <v>5005</v>
          </cell>
          <cell r="B1483" t="str">
            <v>ja</v>
          </cell>
          <cell r="C1483" t="str">
            <v>カーミラ</v>
          </cell>
          <cell r="D1483" t="str">
            <v>ノーマルクエスト</v>
          </cell>
          <cell r="E1483" t="str">
            <v>QoH</v>
          </cell>
          <cell r="F1483" t="str">
            <v>世界観</v>
          </cell>
          <cell r="G1483" t="str">
            <v>不明</v>
          </cell>
          <cell r="H1483" t="str">
            <v>green</v>
          </cell>
          <cell r="I1483">
            <v>5</v>
          </cell>
          <cell r="J1483" t="str">
            <v>PremiumSSw</v>
          </cell>
          <cell r="K1483" t="str">
            <v>balance</v>
          </cell>
          <cell r="L1483" t="str">
            <v>バランスタイプ</v>
          </cell>
          <cell r="M1483" t="str">
            <v>demon</v>
          </cell>
          <cell r="N1483" t="str">
            <v>デーモン</v>
          </cell>
          <cell r="O1483" t="str">
            <v>none</v>
          </cell>
          <cell r="P1483" t="str">
            <v>種族なし</v>
          </cell>
          <cell r="Q1483" t="str">
            <v>アタッカー</v>
          </cell>
          <cell r="R1483">
            <v>1</v>
          </cell>
          <cell r="S1483" t="str">
            <v>NULL</v>
          </cell>
          <cell r="T1483" t="str">
            <v>normal</v>
          </cell>
          <cell r="U1483" t="str">
            <v>NULL</v>
          </cell>
          <cell r="V1483" t="str">
            <v>NULL</v>
          </cell>
          <cell r="W1483" t="str">
            <v>NULL</v>
          </cell>
        </row>
        <row r="1484">
          <cell r="A1484">
            <v>5006</v>
          </cell>
          <cell r="B1484" t="str">
            <v>ja</v>
          </cell>
          <cell r="C1484" t="str">
            <v>カーミラ★６</v>
          </cell>
          <cell r="D1484" t="str">
            <v>ノーマルクエスト</v>
          </cell>
          <cell r="E1484" t="str">
            <v>アバター</v>
          </cell>
          <cell r="F1484" t="str">
            <v>世界観</v>
          </cell>
          <cell r="G1484" t="str">
            <v>男性</v>
          </cell>
          <cell r="H1484" t="str">
            <v>green</v>
          </cell>
          <cell r="I1484">
            <v>6</v>
          </cell>
          <cell r="J1484" t="str">
            <v>PremiumSSw</v>
          </cell>
          <cell r="K1484" t="str">
            <v>balance</v>
          </cell>
          <cell r="L1484" t="str">
            <v>バランスタイプ</v>
          </cell>
          <cell r="M1484" t="str">
            <v>demon</v>
          </cell>
          <cell r="N1484" t="str">
            <v>デーモン</v>
          </cell>
          <cell r="O1484" t="str">
            <v>none</v>
          </cell>
          <cell r="P1484" t="str">
            <v>種族なし</v>
          </cell>
          <cell r="Q1484" t="str">
            <v>アタッカー</v>
          </cell>
          <cell r="R1484">
            <v>1</v>
          </cell>
          <cell r="S1484" t="str">
            <v>NULL</v>
          </cell>
          <cell r="T1484" t="str">
            <v>normal</v>
          </cell>
          <cell r="U1484" t="str">
            <v>NULL</v>
          </cell>
          <cell r="V1484" t="str">
            <v>NULL</v>
          </cell>
          <cell r="W1484" t="str">
            <v>NULL</v>
          </cell>
        </row>
        <row r="1485">
          <cell r="A1485">
            <v>5007</v>
          </cell>
          <cell r="B1485" t="str">
            <v>ja</v>
          </cell>
          <cell r="C1485" t="str">
            <v>ヘルシング</v>
          </cell>
          <cell r="D1485" t="str">
            <v>リンクガチャ:4神</v>
          </cell>
          <cell r="E1485" t="str">
            <v>守護神</v>
          </cell>
          <cell r="F1485" t="str">
            <v>格好いい</v>
          </cell>
          <cell r="G1485" t="str">
            <v>不明</v>
          </cell>
          <cell r="H1485" t="str">
            <v>yellow</v>
          </cell>
          <cell r="I1485">
            <v>5</v>
          </cell>
          <cell r="J1485" t="str">
            <v>DropWizS</v>
          </cell>
          <cell r="K1485" t="str">
            <v>technical</v>
          </cell>
          <cell r="L1485" t="str">
            <v>テクニカルタイプ</v>
          </cell>
          <cell r="M1485" t="str">
            <v>human</v>
          </cell>
          <cell r="N1485" t="str">
            <v>ヒューマン</v>
          </cell>
          <cell r="O1485" t="str">
            <v>none</v>
          </cell>
          <cell r="P1485" t="str">
            <v>種族なし</v>
          </cell>
          <cell r="Q1485" t="str">
            <v>アタッカー</v>
          </cell>
          <cell r="R1485">
            <v>1</v>
          </cell>
          <cell r="S1485" t="str">
            <v>NULL</v>
          </cell>
          <cell r="T1485" t="str">
            <v>normal</v>
          </cell>
          <cell r="U1485" t="str">
            <v>NULL</v>
          </cell>
          <cell r="V1485" t="str">
            <v>NULL</v>
          </cell>
          <cell r="W1485" t="str">
            <v>NULL</v>
          </cell>
        </row>
        <row r="1486">
          <cell r="A1486">
            <v>5008</v>
          </cell>
          <cell r="B1486" t="str">
            <v>ja</v>
          </cell>
          <cell r="C1486" t="str">
            <v>ヘルシング★６</v>
          </cell>
          <cell r="D1486" t="str">
            <v>ノーマルクエスト</v>
          </cell>
          <cell r="E1486" t="str">
            <v>アバター</v>
          </cell>
          <cell r="F1486" t="str">
            <v>世界観</v>
          </cell>
          <cell r="G1486" t="str">
            <v>不明</v>
          </cell>
          <cell r="H1486" t="str">
            <v>yellow</v>
          </cell>
          <cell r="I1486">
            <v>6</v>
          </cell>
          <cell r="J1486" t="str">
            <v>DropWizS</v>
          </cell>
          <cell r="K1486" t="str">
            <v>technical</v>
          </cell>
          <cell r="L1486" t="str">
            <v>テクニカルタイプ</v>
          </cell>
          <cell r="M1486" t="str">
            <v>human</v>
          </cell>
          <cell r="N1486" t="str">
            <v>ヒューマン</v>
          </cell>
          <cell r="O1486" t="str">
            <v>none</v>
          </cell>
          <cell r="P1486" t="str">
            <v>種族なし</v>
          </cell>
          <cell r="Q1486" t="str">
            <v>アタッカー</v>
          </cell>
          <cell r="R1486">
            <v>1</v>
          </cell>
          <cell r="S1486" t="str">
            <v>NULL</v>
          </cell>
          <cell r="T1486" t="str">
            <v>normal</v>
          </cell>
          <cell r="U1486" t="str">
            <v>NULL</v>
          </cell>
          <cell r="V1486" t="str">
            <v>NULL</v>
          </cell>
          <cell r="W1486" t="str">
            <v>NULL</v>
          </cell>
        </row>
        <row r="1487">
          <cell r="A1487">
            <v>6001</v>
          </cell>
          <cell r="B1487" t="str">
            <v>ja</v>
          </cell>
          <cell r="C1487" t="str">
            <v>ジェリー</v>
          </cell>
          <cell r="D1487" t="str">
            <v>ノーマルクエスト</v>
          </cell>
          <cell r="E1487" t="str">
            <v>QoH</v>
          </cell>
          <cell r="F1487" t="str">
            <v>世界観</v>
          </cell>
          <cell r="G1487" t="str">
            <v>不明</v>
          </cell>
          <cell r="H1487" t="str">
            <v>red</v>
          </cell>
          <cell r="I1487">
            <v>1</v>
          </cell>
          <cell r="J1487" t="str">
            <v>Drop1T</v>
          </cell>
          <cell r="K1487" t="str">
            <v>ra</v>
          </cell>
          <cell r="L1487" t="str">
            <v>ラグランジュチャレンジ</v>
          </cell>
          <cell r="M1487" t="str">
            <v>unknown</v>
          </cell>
          <cell r="N1487" t="str">
            <v>Unknown</v>
          </cell>
          <cell r="O1487" t="str">
            <v>none</v>
          </cell>
          <cell r="P1487" t="str">
            <v>種族なし</v>
          </cell>
          <cell r="Q1487" t="str">
            <v>アタッカー</v>
          </cell>
          <cell r="R1487">
            <v>3</v>
          </cell>
          <cell r="S1487" t="str">
            <v>enemy_only</v>
          </cell>
          <cell r="T1487" t="str">
            <v>normal</v>
          </cell>
          <cell r="U1487" t="str">
            <v>NULL</v>
          </cell>
          <cell r="V1487" t="str">
            <v>NULL</v>
          </cell>
          <cell r="W1487" t="str">
            <v>NULL</v>
          </cell>
        </row>
        <row r="1488">
          <cell r="A1488">
            <v>6002</v>
          </cell>
          <cell r="B1488" t="str">
            <v>ja</v>
          </cell>
          <cell r="C1488" t="str">
            <v>ヨシタカ</v>
          </cell>
          <cell r="D1488" t="str">
            <v>ノーマルクエスト</v>
          </cell>
          <cell r="E1488" t="str">
            <v>アバター</v>
          </cell>
          <cell r="F1488" t="str">
            <v>世界観</v>
          </cell>
          <cell r="G1488" t="str">
            <v>男性</v>
          </cell>
          <cell r="H1488" t="str">
            <v>red</v>
          </cell>
          <cell r="I1488">
            <v>2</v>
          </cell>
          <cell r="J1488" t="str">
            <v>Drop1N</v>
          </cell>
          <cell r="K1488" t="str">
            <v>ra</v>
          </cell>
          <cell r="L1488" t="str">
            <v>ラグランジュチャレンジ</v>
          </cell>
          <cell r="M1488" t="str">
            <v>human</v>
          </cell>
          <cell r="N1488" t="str">
            <v>ヒューマン</v>
          </cell>
          <cell r="O1488" t="str">
            <v>none</v>
          </cell>
          <cell r="P1488" t="str">
            <v>種族なし</v>
          </cell>
          <cell r="Q1488" t="str">
            <v>バッファー</v>
          </cell>
          <cell r="R1488">
            <v>3</v>
          </cell>
          <cell r="S1488" t="str">
            <v>enemy_only</v>
          </cell>
          <cell r="T1488" t="str">
            <v>normal</v>
          </cell>
          <cell r="U1488" t="str">
            <v>NULL</v>
          </cell>
          <cell r="V1488" t="str">
            <v>NULL</v>
          </cell>
          <cell r="W1488" t="str">
            <v>NULL</v>
          </cell>
        </row>
        <row r="1489">
          <cell r="A1489">
            <v>6003</v>
          </cell>
          <cell r="B1489" t="str">
            <v>ja</v>
          </cell>
          <cell r="C1489" t="str">
            <v>朱雀</v>
          </cell>
          <cell r="D1489" t="str">
            <v>リンクガチャ:4神</v>
          </cell>
          <cell r="E1489" t="str">
            <v>守護神</v>
          </cell>
          <cell r="F1489" t="str">
            <v>格好いい</v>
          </cell>
          <cell r="G1489" t="str">
            <v>不明</v>
          </cell>
          <cell r="H1489" t="str">
            <v>red</v>
          </cell>
          <cell r="I1489">
            <v>3</v>
          </cell>
          <cell r="J1489" t="str">
            <v>Drop2N</v>
          </cell>
          <cell r="K1489" t="str">
            <v>ra</v>
          </cell>
          <cell r="L1489" t="str">
            <v>ラグランジュチャレンジ</v>
          </cell>
          <cell r="M1489" t="str">
            <v>animal</v>
          </cell>
          <cell r="N1489" t="str">
            <v>アニマル</v>
          </cell>
          <cell r="O1489" t="str">
            <v>god</v>
          </cell>
          <cell r="P1489" t="str">
            <v>ゴッド</v>
          </cell>
          <cell r="Q1489" t="str">
            <v>アタッカー</v>
          </cell>
          <cell r="R1489">
            <v>3</v>
          </cell>
          <cell r="S1489" t="str">
            <v>enemy_only</v>
          </cell>
          <cell r="T1489" t="str">
            <v>normal</v>
          </cell>
          <cell r="U1489" t="str">
            <v>NULL</v>
          </cell>
          <cell r="V1489" t="str">
            <v>NULL</v>
          </cell>
          <cell r="W1489" t="str">
            <v>NULL</v>
          </cell>
        </row>
        <row r="1490">
          <cell r="A1490">
            <v>6004</v>
          </cell>
          <cell r="B1490" t="str">
            <v>ja</v>
          </cell>
          <cell r="C1490" t="str">
            <v>ブレット</v>
          </cell>
          <cell r="D1490" t="str">
            <v>ノーマルクエスト</v>
          </cell>
          <cell r="E1490" t="str">
            <v>アバター</v>
          </cell>
          <cell r="F1490" t="str">
            <v>世界観</v>
          </cell>
          <cell r="G1490" t="str">
            <v>不明</v>
          </cell>
          <cell r="H1490" t="str">
            <v>red</v>
          </cell>
          <cell r="I1490">
            <v>1</v>
          </cell>
          <cell r="J1490" t="str">
            <v>Drop1W</v>
          </cell>
          <cell r="K1490" t="str">
            <v>ra</v>
          </cell>
          <cell r="L1490" t="str">
            <v>ラグランジュチャレンジ</v>
          </cell>
          <cell r="M1490" t="str">
            <v>animal</v>
          </cell>
          <cell r="N1490" t="str">
            <v>アニマル</v>
          </cell>
          <cell r="O1490" t="str">
            <v>none</v>
          </cell>
          <cell r="P1490" t="str">
            <v>種族なし</v>
          </cell>
          <cell r="Q1490" t="str">
            <v>アタッカー</v>
          </cell>
          <cell r="R1490">
            <v>3</v>
          </cell>
          <cell r="S1490" t="str">
            <v>enemy_only</v>
          </cell>
          <cell r="T1490" t="str">
            <v>normal</v>
          </cell>
          <cell r="U1490" t="str">
            <v>NULL</v>
          </cell>
          <cell r="V1490" t="str">
            <v>NULL</v>
          </cell>
          <cell r="W1490" t="str">
            <v>NULL</v>
          </cell>
        </row>
        <row r="1491">
          <cell r="A1491">
            <v>6005</v>
          </cell>
          <cell r="B1491" t="str">
            <v>ja</v>
          </cell>
          <cell r="C1491" t="str">
            <v>孤神 テティス</v>
          </cell>
          <cell r="D1491" t="str">
            <v>初期ガチャ</v>
          </cell>
          <cell r="E1491" t="str">
            <v>管理者</v>
          </cell>
          <cell r="F1491" t="str">
            <v>美しい</v>
          </cell>
          <cell r="G1491" t="str">
            <v>女性</v>
          </cell>
          <cell r="H1491" t="str">
            <v>blue</v>
          </cell>
          <cell r="I1491">
            <v>4</v>
          </cell>
          <cell r="J1491" t="str">
            <v>PremiumN</v>
          </cell>
          <cell r="K1491" t="str">
            <v>ra</v>
          </cell>
          <cell r="L1491" t="str">
            <v>ラグランジュチャレンジ</v>
          </cell>
          <cell r="M1491" t="str">
            <v>god</v>
          </cell>
          <cell r="N1491" t="str">
            <v>ゴッド</v>
          </cell>
          <cell r="O1491" t="str">
            <v>none</v>
          </cell>
          <cell r="P1491" t="str">
            <v>種族なし</v>
          </cell>
          <cell r="Q1491" t="str">
            <v>アタッカー</v>
          </cell>
          <cell r="R1491">
            <v>3</v>
          </cell>
          <cell r="S1491" t="str">
            <v>enemy_only</v>
          </cell>
          <cell r="T1491" t="str">
            <v>normal</v>
          </cell>
          <cell r="U1491" t="str">
            <v>NULL</v>
          </cell>
          <cell r="V1491" t="str">
            <v>NULL</v>
          </cell>
          <cell r="W1491" t="str">
            <v>NULL</v>
          </cell>
        </row>
        <row r="1492">
          <cell r="A1492">
            <v>6006</v>
          </cell>
          <cell r="B1492" t="str">
            <v>ja</v>
          </cell>
          <cell r="C1492" t="str">
            <v>海底の孤高神 テティス</v>
          </cell>
          <cell r="D1492" t="str">
            <v>初期ガチャ</v>
          </cell>
          <cell r="E1492" t="str">
            <v>管理者</v>
          </cell>
          <cell r="F1492" t="str">
            <v>美しい</v>
          </cell>
          <cell r="G1492" t="str">
            <v>女性</v>
          </cell>
          <cell r="H1492" t="str">
            <v>blue</v>
          </cell>
          <cell r="I1492">
            <v>5</v>
          </cell>
          <cell r="J1492" t="str">
            <v>PremiumN</v>
          </cell>
          <cell r="K1492" t="str">
            <v>ra</v>
          </cell>
          <cell r="L1492" t="str">
            <v>ラグランジュチャレンジ</v>
          </cell>
          <cell r="M1492" t="str">
            <v>god</v>
          </cell>
          <cell r="N1492" t="str">
            <v>ゴッド</v>
          </cell>
          <cell r="O1492" t="str">
            <v>none</v>
          </cell>
          <cell r="P1492" t="str">
            <v>種族なし</v>
          </cell>
          <cell r="Q1492" t="str">
            <v>アタッカー</v>
          </cell>
          <cell r="R1492">
            <v>3</v>
          </cell>
          <cell r="S1492" t="str">
            <v>enemy_only</v>
          </cell>
          <cell r="T1492" t="str">
            <v>normal</v>
          </cell>
          <cell r="U1492" t="str">
            <v>NULL</v>
          </cell>
          <cell r="V1492" t="str">
            <v>NULL</v>
          </cell>
          <cell r="W1492" t="str">
            <v>NULL</v>
          </cell>
        </row>
        <row r="1493">
          <cell r="A1493">
            <v>6007</v>
          </cell>
          <cell r="B1493" t="str">
            <v>ja</v>
          </cell>
          <cell r="C1493" t="str">
            <v>番犬 ケルベロス</v>
          </cell>
          <cell r="D1493" t="str">
            <v>初期ガチャ</v>
          </cell>
          <cell r="E1493" t="str">
            <v>破界者</v>
          </cell>
          <cell r="F1493" t="str">
            <v>可愛い</v>
          </cell>
          <cell r="G1493" t="str">
            <v>女性</v>
          </cell>
          <cell r="H1493" t="str">
            <v>red</v>
          </cell>
          <cell r="I1493">
            <v>4</v>
          </cell>
          <cell r="J1493" t="str">
            <v>PremiumN</v>
          </cell>
          <cell r="K1493" t="str">
            <v>ra</v>
          </cell>
          <cell r="L1493" t="str">
            <v>ラグランジュチャレンジ</v>
          </cell>
          <cell r="M1493" t="str">
            <v>animal</v>
          </cell>
          <cell r="N1493" t="str">
            <v>アニマル</v>
          </cell>
          <cell r="O1493" t="str">
            <v>none</v>
          </cell>
          <cell r="P1493" t="str">
            <v>種族なし</v>
          </cell>
          <cell r="Q1493" t="str">
            <v>バッファー</v>
          </cell>
          <cell r="R1493">
            <v>3</v>
          </cell>
          <cell r="S1493" t="str">
            <v>enemy_only</v>
          </cell>
          <cell r="T1493" t="str">
            <v>normal</v>
          </cell>
          <cell r="U1493" t="str">
            <v>NULL</v>
          </cell>
          <cell r="V1493" t="str">
            <v>NULL</v>
          </cell>
          <cell r="W1493" t="str">
            <v>NULL</v>
          </cell>
        </row>
        <row r="1494">
          <cell r="A1494">
            <v>6008</v>
          </cell>
          <cell r="B1494" t="str">
            <v>ja</v>
          </cell>
          <cell r="C1494" t="str">
            <v>焔神 プロメテウス</v>
          </cell>
          <cell r="D1494" t="str">
            <v>初期ガチャ</v>
          </cell>
          <cell r="E1494" t="str">
            <v>管理者</v>
          </cell>
          <cell r="F1494" t="str">
            <v>格好いい</v>
          </cell>
          <cell r="G1494" t="str">
            <v>男性</v>
          </cell>
          <cell r="H1494" t="str">
            <v>red</v>
          </cell>
          <cell r="I1494">
            <v>4</v>
          </cell>
          <cell r="J1494" t="str">
            <v>PremiumN</v>
          </cell>
          <cell r="K1494" t="str">
            <v>ra</v>
          </cell>
          <cell r="L1494" t="str">
            <v>ラグランジュチャレンジ</v>
          </cell>
          <cell r="M1494" t="str">
            <v>god</v>
          </cell>
          <cell r="N1494" t="str">
            <v>ゴッド</v>
          </cell>
          <cell r="O1494" t="str">
            <v>none</v>
          </cell>
          <cell r="P1494" t="str">
            <v>種族なし</v>
          </cell>
          <cell r="Q1494" t="str">
            <v>アタッカー</v>
          </cell>
          <cell r="R1494">
            <v>3</v>
          </cell>
          <cell r="S1494" t="str">
            <v>enemy_only</v>
          </cell>
          <cell r="T1494" t="str">
            <v>normal</v>
          </cell>
          <cell r="U1494" t="str">
            <v>NULL</v>
          </cell>
          <cell r="V1494" t="str">
            <v>NULL</v>
          </cell>
          <cell r="W1494" t="str">
            <v>NULL</v>
          </cell>
        </row>
        <row r="1495">
          <cell r="A1495">
            <v>6009</v>
          </cell>
          <cell r="B1495" t="str">
            <v>ja</v>
          </cell>
          <cell r="C1495" t="str">
            <v>超越自我 ラグランジュ</v>
          </cell>
          <cell r="D1495" t="str">
            <v>ガチャ:フィーバーフェス02</v>
          </cell>
          <cell r="E1495" t="str">
            <v>執行者</v>
          </cell>
          <cell r="F1495" t="str">
            <v>格好いい</v>
          </cell>
          <cell r="G1495" t="str">
            <v>女性</v>
          </cell>
          <cell r="H1495" t="str">
            <v>red</v>
          </cell>
          <cell r="I1495">
            <v>5</v>
          </cell>
          <cell r="J1495" t="str">
            <v>PremiumSSS</v>
          </cell>
          <cell r="K1495" t="str">
            <v>ra</v>
          </cell>
          <cell r="L1495" t="str">
            <v>ラグランジュチャレンジ</v>
          </cell>
          <cell r="M1495" t="str">
            <v>human</v>
          </cell>
          <cell r="N1495" t="str">
            <v>ヒューマン</v>
          </cell>
          <cell r="O1495" t="str">
            <v>none</v>
          </cell>
          <cell r="P1495" t="str">
            <v>種族なし</v>
          </cell>
          <cell r="Q1495" t="str">
            <v>アタッカー</v>
          </cell>
          <cell r="R1495">
            <v>3</v>
          </cell>
          <cell r="S1495" t="str">
            <v>enemy_only</v>
          </cell>
          <cell r="T1495" t="str">
            <v>normal</v>
          </cell>
          <cell r="U1495" t="str">
            <v>NULL</v>
          </cell>
          <cell r="V1495" t="str">
            <v>NULL</v>
          </cell>
          <cell r="W1495" t="str">
            <v>NULL</v>
          </cell>
        </row>
        <row r="1496">
          <cell r="A1496">
            <v>6010</v>
          </cell>
          <cell r="B1496" t="str">
            <v>ja</v>
          </cell>
          <cell r="C1496" t="str">
            <v>超越凌駕 ラグランジュ</v>
          </cell>
          <cell r="D1496" t="str">
            <v>ガチャ:フィーバーフェス02</v>
          </cell>
          <cell r="E1496" t="str">
            <v>執行者</v>
          </cell>
          <cell r="F1496" t="str">
            <v>格好いい</v>
          </cell>
          <cell r="G1496" t="str">
            <v>女性</v>
          </cell>
          <cell r="H1496" t="str">
            <v>red</v>
          </cell>
          <cell r="I1496">
            <v>6</v>
          </cell>
          <cell r="J1496" t="str">
            <v>PremiumSSS</v>
          </cell>
          <cell r="K1496" t="str">
            <v>ra</v>
          </cell>
          <cell r="L1496" t="str">
            <v>ラグランジュチャレンジ</v>
          </cell>
          <cell r="M1496" t="str">
            <v>human</v>
          </cell>
          <cell r="N1496" t="str">
            <v>ヒューマン</v>
          </cell>
          <cell r="O1496" t="str">
            <v>none</v>
          </cell>
          <cell r="P1496" t="str">
            <v>種族なし</v>
          </cell>
          <cell r="Q1496" t="str">
            <v>アタッカー</v>
          </cell>
          <cell r="R1496">
            <v>3</v>
          </cell>
          <cell r="S1496" t="str">
            <v>enemy_only</v>
          </cell>
          <cell r="T1496" t="str">
            <v>normal</v>
          </cell>
          <cell r="U1496" t="str">
            <v>NULL</v>
          </cell>
          <cell r="V1496" t="str">
            <v>NULL</v>
          </cell>
          <cell r="W1496" t="str">
            <v>NULL</v>
          </cell>
        </row>
        <row r="1497">
          <cell r="A1497">
            <v>6011</v>
          </cell>
          <cell r="B1497" t="str">
            <v>ja</v>
          </cell>
          <cell r="C1497" t="str">
            <v>パトドッグリーダー ポチ</v>
          </cell>
          <cell r="D1497" t="str">
            <v>ガチャ:フィーバーフェス02</v>
          </cell>
          <cell r="E1497" t="str">
            <v>執行者</v>
          </cell>
          <cell r="F1497" t="str">
            <v>格好いい</v>
          </cell>
          <cell r="G1497" t="str">
            <v>男性</v>
          </cell>
          <cell r="H1497" t="str">
            <v>blue</v>
          </cell>
          <cell r="I1497">
            <v>2</v>
          </cell>
          <cell r="J1497" t="str">
            <v>Drop1T</v>
          </cell>
          <cell r="K1497" t="str">
            <v>ra002</v>
          </cell>
          <cell r="L1497" t="str">
            <v>ユークリッドチャレンジ</v>
          </cell>
          <cell r="M1497" t="str">
            <v>unknown</v>
          </cell>
          <cell r="N1497" t="str">
            <v>Unknown</v>
          </cell>
          <cell r="O1497" t="str">
            <v>none</v>
          </cell>
          <cell r="P1497" t="str">
            <v>種族なし</v>
          </cell>
          <cell r="Q1497" t="str">
            <v>アタッカー</v>
          </cell>
          <cell r="R1497">
            <v>3</v>
          </cell>
          <cell r="S1497" t="str">
            <v>enemy_only</v>
          </cell>
          <cell r="T1497" t="str">
            <v>normal</v>
          </cell>
          <cell r="U1497" t="str">
            <v>NULL</v>
          </cell>
          <cell r="V1497" t="str">
            <v>NULL</v>
          </cell>
          <cell r="W1497" t="str">
            <v>NULL</v>
          </cell>
        </row>
        <row r="1498">
          <cell r="A1498">
            <v>6012</v>
          </cell>
          <cell r="B1498" t="str">
            <v>ja</v>
          </cell>
          <cell r="C1498" t="str">
            <v>ミミ</v>
          </cell>
          <cell r="D1498" t="str">
            <v>ガチャ:フィーバーフェス02</v>
          </cell>
          <cell r="E1498" t="str">
            <v>執行者</v>
          </cell>
          <cell r="F1498" t="str">
            <v>格好いい</v>
          </cell>
          <cell r="G1498" t="str">
            <v>男性</v>
          </cell>
          <cell r="H1498" t="str">
            <v>yellow</v>
          </cell>
          <cell r="I1498">
            <v>1</v>
          </cell>
          <cell r="J1498" t="str">
            <v>Drop1W</v>
          </cell>
          <cell r="K1498" t="str">
            <v>ra002</v>
          </cell>
          <cell r="L1498" t="str">
            <v>ユークリッドチャレンジ</v>
          </cell>
          <cell r="M1498" t="str">
            <v>animal</v>
          </cell>
          <cell r="N1498" t="str">
            <v>アニマル</v>
          </cell>
          <cell r="O1498" t="str">
            <v>none</v>
          </cell>
          <cell r="P1498" t="str">
            <v>種族なし</v>
          </cell>
          <cell r="Q1498" t="str">
            <v>アタッカー</v>
          </cell>
          <cell r="R1498">
            <v>3</v>
          </cell>
          <cell r="S1498" t="str">
            <v>enemy_only</v>
          </cell>
          <cell r="T1498" t="str">
            <v>normal</v>
          </cell>
          <cell r="U1498" t="str">
            <v>NULL</v>
          </cell>
          <cell r="V1498" t="str">
            <v>NULL</v>
          </cell>
          <cell r="W1498" t="str">
            <v>NULL</v>
          </cell>
        </row>
        <row r="1499">
          <cell r="A1499">
            <v>6013</v>
          </cell>
          <cell r="B1499" t="str">
            <v>ja</v>
          </cell>
          <cell r="C1499" t="str">
            <v>護衛機人 スケアクロウ</v>
          </cell>
          <cell r="D1499" t="str">
            <v>ガチャ:フィーバーフェス02</v>
          </cell>
          <cell r="E1499" t="str">
            <v>執行者</v>
          </cell>
          <cell r="F1499" t="str">
            <v>格好いい</v>
          </cell>
          <cell r="G1499" t="str">
            <v>男性</v>
          </cell>
          <cell r="H1499" t="str">
            <v>blue</v>
          </cell>
          <cell r="I1499">
            <v>2</v>
          </cell>
          <cell r="J1499" t="str">
            <v>Drop1N</v>
          </cell>
          <cell r="K1499" t="str">
            <v>ra002</v>
          </cell>
          <cell r="L1499" t="str">
            <v>ユークリッドチャレンジ</v>
          </cell>
          <cell r="M1499" t="str">
            <v>machine</v>
          </cell>
          <cell r="N1499" t="str">
            <v>マシン</v>
          </cell>
          <cell r="O1499" t="str">
            <v>none</v>
          </cell>
          <cell r="P1499" t="str">
            <v>種族なし</v>
          </cell>
          <cell r="Q1499" t="str">
            <v>アタッカー</v>
          </cell>
          <cell r="R1499">
            <v>3</v>
          </cell>
          <cell r="S1499" t="str">
            <v>enemy_only</v>
          </cell>
          <cell r="T1499" t="str">
            <v>normal</v>
          </cell>
          <cell r="U1499" t="str">
            <v>NULL</v>
          </cell>
          <cell r="V1499" t="str">
            <v>NULL</v>
          </cell>
          <cell r="W1499" t="str">
            <v>NULL</v>
          </cell>
        </row>
        <row r="1500">
          <cell r="A1500">
            <v>6014</v>
          </cell>
          <cell r="B1500" t="str">
            <v>ja</v>
          </cell>
          <cell r="C1500" t="str">
            <v>月下の人狼 ローレンス</v>
          </cell>
          <cell r="D1500" t="str">
            <v>ガチャ:フィーバーフェス02</v>
          </cell>
          <cell r="E1500" t="str">
            <v>執行者</v>
          </cell>
          <cell r="F1500" t="str">
            <v>格好いい</v>
          </cell>
          <cell r="G1500" t="str">
            <v>男性</v>
          </cell>
          <cell r="H1500" t="str">
            <v>blue</v>
          </cell>
          <cell r="I1500">
            <v>4</v>
          </cell>
          <cell r="J1500" t="str">
            <v>PremiumW</v>
          </cell>
          <cell r="K1500" t="str">
            <v>ra002</v>
          </cell>
          <cell r="L1500" t="str">
            <v>ユークリッドチャレンジ</v>
          </cell>
          <cell r="M1500" t="str">
            <v>animal</v>
          </cell>
          <cell r="N1500" t="str">
            <v>アニマル</v>
          </cell>
          <cell r="O1500" t="str">
            <v>none</v>
          </cell>
          <cell r="P1500" t="str">
            <v>種族なし</v>
          </cell>
          <cell r="Q1500" t="str">
            <v>アタッカー</v>
          </cell>
          <cell r="R1500">
            <v>3</v>
          </cell>
          <cell r="S1500" t="str">
            <v>enemy_only</v>
          </cell>
          <cell r="T1500" t="str">
            <v>normal</v>
          </cell>
          <cell r="U1500" t="str">
            <v>NULL</v>
          </cell>
          <cell r="V1500" t="str">
            <v>NULL</v>
          </cell>
          <cell r="W1500" t="str">
            <v>NULL</v>
          </cell>
        </row>
        <row r="1501">
          <cell r="A1501">
            <v>6015</v>
          </cell>
          <cell r="B1501" t="str">
            <v>ja</v>
          </cell>
          <cell r="C1501" t="str">
            <v>フレイヤ</v>
          </cell>
          <cell r="D1501" t="str">
            <v>ガチャ:フィーバーフェス02</v>
          </cell>
          <cell r="E1501" t="str">
            <v>執行者</v>
          </cell>
          <cell r="F1501" t="str">
            <v>格好いい</v>
          </cell>
          <cell r="G1501" t="str">
            <v>男性</v>
          </cell>
          <cell r="H1501" t="str">
            <v>blue</v>
          </cell>
          <cell r="I1501">
            <v>4</v>
          </cell>
          <cell r="J1501" t="str">
            <v>PremiumSS</v>
          </cell>
          <cell r="K1501" t="str">
            <v>ra002</v>
          </cell>
          <cell r="L1501" t="str">
            <v>ユークリッドチャレンジ</v>
          </cell>
          <cell r="M1501" t="str">
            <v>animal</v>
          </cell>
          <cell r="N1501" t="str">
            <v>アニマル</v>
          </cell>
          <cell r="O1501" t="str">
            <v>none</v>
          </cell>
          <cell r="P1501" t="str">
            <v>種族なし</v>
          </cell>
          <cell r="Q1501" t="str">
            <v>アタッカー</v>
          </cell>
          <cell r="R1501">
            <v>3</v>
          </cell>
          <cell r="S1501" t="str">
            <v>enemy_only</v>
          </cell>
          <cell r="T1501" t="str">
            <v>normal</v>
          </cell>
          <cell r="U1501" t="str">
            <v>NULL</v>
          </cell>
          <cell r="V1501" t="str">
            <v>NULL</v>
          </cell>
          <cell r="W1501" t="str">
            <v>NULL</v>
          </cell>
        </row>
        <row r="1502">
          <cell r="A1502">
            <v>6016</v>
          </cell>
          <cell r="B1502" t="str">
            <v>ja</v>
          </cell>
          <cell r="C1502" t="str">
            <v>根原論理 ユークリッド</v>
          </cell>
          <cell r="D1502" t="str">
            <v>ガチャ:フィーバーフェス02</v>
          </cell>
          <cell r="E1502" t="str">
            <v>執行者</v>
          </cell>
          <cell r="F1502" t="str">
            <v>格好いい</v>
          </cell>
          <cell r="G1502" t="str">
            <v>男性</v>
          </cell>
          <cell r="H1502" t="str">
            <v>blue</v>
          </cell>
          <cell r="I1502">
            <v>5</v>
          </cell>
          <cell r="J1502" t="str">
            <v>PremiumSSS</v>
          </cell>
          <cell r="K1502" t="str">
            <v>ra002</v>
          </cell>
          <cell r="L1502" t="str">
            <v>ユークリッドチャレンジ</v>
          </cell>
          <cell r="M1502" t="str">
            <v>human</v>
          </cell>
          <cell r="N1502" t="str">
            <v>ヒューマン</v>
          </cell>
          <cell r="O1502" t="str">
            <v>none</v>
          </cell>
          <cell r="P1502" t="str">
            <v>種族なし</v>
          </cell>
          <cell r="Q1502" t="str">
            <v>アタッカー</v>
          </cell>
          <cell r="R1502">
            <v>3</v>
          </cell>
          <cell r="S1502" t="str">
            <v>enemy_only</v>
          </cell>
          <cell r="T1502" t="str">
            <v>normal</v>
          </cell>
          <cell r="U1502" t="str">
            <v>NULL</v>
          </cell>
          <cell r="V1502" t="str">
            <v>NULL</v>
          </cell>
          <cell r="W1502" t="str">
            <v>NULL</v>
          </cell>
        </row>
        <row r="1503">
          <cell r="A1503">
            <v>6017</v>
          </cell>
          <cell r="B1503" t="str">
            <v>ja</v>
          </cell>
          <cell r="C1503" t="str">
            <v>不朽の極論 ユークリッド</v>
          </cell>
          <cell r="D1503" t="str">
            <v>ガチャ:フィーバーフェス02</v>
          </cell>
          <cell r="E1503" t="str">
            <v>執行者</v>
          </cell>
          <cell r="F1503" t="str">
            <v>格好いい</v>
          </cell>
          <cell r="G1503" t="str">
            <v>男性</v>
          </cell>
          <cell r="H1503" t="str">
            <v>blue</v>
          </cell>
          <cell r="I1503">
            <v>6</v>
          </cell>
          <cell r="J1503" t="str">
            <v>PremiumSSS</v>
          </cell>
          <cell r="K1503" t="str">
            <v>ra002</v>
          </cell>
          <cell r="L1503" t="str">
            <v>ユークリッドチャレンジ</v>
          </cell>
          <cell r="M1503" t="str">
            <v>human</v>
          </cell>
          <cell r="N1503" t="str">
            <v>ヒューマン</v>
          </cell>
          <cell r="O1503" t="str">
            <v>none</v>
          </cell>
          <cell r="P1503" t="str">
            <v>種族なし</v>
          </cell>
          <cell r="Q1503" t="str">
            <v>アタッカー</v>
          </cell>
          <cell r="R1503">
            <v>3</v>
          </cell>
          <cell r="S1503" t="str">
            <v>enemy_only</v>
          </cell>
          <cell r="T1503" t="str">
            <v>normal</v>
          </cell>
          <cell r="U1503" t="str">
            <v>NULL</v>
          </cell>
          <cell r="V1503" t="str">
            <v>NULL</v>
          </cell>
          <cell r="W1503" t="str">
            <v>NULL</v>
          </cell>
        </row>
        <row r="1504">
          <cell r="A1504">
            <v>6018</v>
          </cell>
          <cell r="B1504" t="str">
            <v>ja</v>
          </cell>
          <cell r="C1504" t="str">
            <v>ハヅル</v>
          </cell>
          <cell r="D1504" t="str">
            <v>ガチャ:フィーバーフェス02</v>
          </cell>
          <cell r="E1504" t="str">
            <v>執行者</v>
          </cell>
          <cell r="F1504" t="str">
            <v>格好いい</v>
          </cell>
          <cell r="G1504" t="str">
            <v>男性</v>
          </cell>
          <cell r="H1504" t="str">
            <v>red</v>
          </cell>
          <cell r="I1504">
            <v>4</v>
          </cell>
          <cell r="J1504" t="str">
            <v>PremiumSS</v>
          </cell>
          <cell r="K1504" t="str">
            <v>ra002</v>
          </cell>
          <cell r="L1504" t="str">
            <v>ユークリッドチャレンジ</v>
          </cell>
          <cell r="M1504" t="str">
            <v>animal</v>
          </cell>
          <cell r="N1504" t="str">
            <v>アニマル</v>
          </cell>
          <cell r="O1504" t="str">
            <v>none</v>
          </cell>
          <cell r="P1504" t="str">
            <v>種族なし</v>
          </cell>
          <cell r="Q1504" t="str">
            <v>アタッカー</v>
          </cell>
          <cell r="R1504">
            <v>3</v>
          </cell>
          <cell r="S1504" t="str">
            <v>enemy_only</v>
          </cell>
          <cell r="T1504" t="str">
            <v>normal</v>
          </cell>
          <cell r="U1504" t="str">
            <v>NULL</v>
          </cell>
          <cell r="V1504" t="str">
            <v>NULL</v>
          </cell>
          <cell r="W1504" t="str">
            <v>NULL</v>
          </cell>
        </row>
        <row r="1505">
          <cell r="A1505">
            <v>6019</v>
          </cell>
          <cell r="B1505" t="str">
            <v>ja</v>
          </cell>
          <cell r="C1505" t="str">
            <v>天織羽鶴 ハヅル</v>
          </cell>
          <cell r="D1505" t="str">
            <v>ガチャ:フィーバーフェス02</v>
          </cell>
          <cell r="E1505" t="str">
            <v>執行者</v>
          </cell>
          <cell r="F1505" t="str">
            <v>格好いい</v>
          </cell>
          <cell r="G1505" t="str">
            <v>男性</v>
          </cell>
          <cell r="H1505" t="str">
            <v>red</v>
          </cell>
          <cell r="I1505">
            <v>5</v>
          </cell>
          <cell r="J1505" t="str">
            <v>PremiumSS</v>
          </cell>
          <cell r="K1505" t="str">
            <v>ra002</v>
          </cell>
          <cell r="L1505" t="str">
            <v>ユークリッドチャレンジ</v>
          </cell>
          <cell r="M1505" t="str">
            <v>animal</v>
          </cell>
          <cell r="N1505" t="str">
            <v>アニマル</v>
          </cell>
          <cell r="O1505" t="str">
            <v>none</v>
          </cell>
          <cell r="P1505" t="str">
            <v>種族なし</v>
          </cell>
          <cell r="Q1505" t="str">
            <v>アタッカー</v>
          </cell>
          <cell r="R1505">
            <v>3</v>
          </cell>
          <cell r="S1505" t="str">
            <v>enemy_only</v>
          </cell>
          <cell r="T1505" t="str">
            <v>normal</v>
          </cell>
          <cell r="U1505" t="str">
            <v>NULL</v>
          </cell>
          <cell r="V1505" t="str">
            <v>NULL</v>
          </cell>
          <cell r="W1505" t="str">
            <v>NULL</v>
          </cell>
        </row>
        <row r="1506">
          <cell r="A1506">
            <v>6020</v>
          </cell>
          <cell r="B1506" t="str">
            <v>ja</v>
          </cell>
          <cell r="C1506" t="str">
            <v>ミズチ</v>
          </cell>
          <cell r="D1506" t="str">
            <v>ガチャ:フィーバーフェス02</v>
          </cell>
          <cell r="E1506" t="str">
            <v>執行者</v>
          </cell>
          <cell r="F1506" t="str">
            <v>格好いい</v>
          </cell>
          <cell r="G1506" t="str">
            <v>男性</v>
          </cell>
          <cell r="H1506" t="str">
            <v>blue</v>
          </cell>
          <cell r="I1506">
            <v>4</v>
          </cell>
          <cell r="J1506" t="str">
            <v>PremiumS</v>
          </cell>
          <cell r="K1506" t="str">
            <v>ra002</v>
          </cell>
          <cell r="L1506" t="str">
            <v>ユークリッドチャレンジ</v>
          </cell>
          <cell r="M1506" t="str">
            <v>dragon</v>
          </cell>
          <cell r="N1506" t="str">
            <v>ドラゴン</v>
          </cell>
          <cell r="O1506" t="str">
            <v>none</v>
          </cell>
          <cell r="P1506" t="str">
            <v>種族なし</v>
          </cell>
          <cell r="Q1506" t="str">
            <v>アタッカー</v>
          </cell>
          <cell r="R1506">
            <v>3</v>
          </cell>
          <cell r="S1506" t="str">
            <v>enemy_only</v>
          </cell>
          <cell r="T1506" t="str">
            <v>normal</v>
          </cell>
          <cell r="U1506" t="str">
            <v>NULL</v>
          </cell>
          <cell r="V1506" t="str">
            <v>NULL</v>
          </cell>
          <cell r="W1506" t="str">
            <v>NULL</v>
          </cell>
        </row>
        <row r="1507">
          <cell r="A1507">
            <v>8001</v>
          </cell>
          <cell r="B1507" t="str">
            <v>ja</v>
          </cell>
          <cell r="C1507" t="str">
            <v>媽祖</v>
          </cell>
          <cell r="D1507" t="str">
            <v>イベント:ミクコラボ01</v>
          </cell>
          <cell r="E1507" t="str">
            <v>執行者</v>
          </cell>
          <cell r="F1507" t="str">
            <v>格好いい</v>
          </cell>
          <cell r="G1507" t="str">
            <v>女性</v>
          </cell>
          <cell r="H1507" t="str">
            <v>yellow</v>
          </cell>
          <cell r="I1507">
            <v>5</v>
          </cell>
          <cell r="J1507" t="str">
            <v>PremiumSS</v>
          </cell>
          <cell r="K1507" t="str">
            <v>attack</v>
          </cell>
          <cell r="L1507" t="str">
            <v>攻撃タイプ</v>
          </cell>
          <cell r="M1507" t="str">
            <v>god</v>
          </cell>
          <cell r="N1507" t="str">
            <v>ゴッド</v>
          </cell>
          <cell r="O1507" t="str">
            <v>none</v>
          </cell>
          <cell r="P1507" t="str">
            <v>種族なし</v>
          </cell>
          <cell r="Q1507" t="str">
            <v>アタッカー</v>
          </cell>
          <cell r="R1507">
            <v>3</v>
          </cell>
          <cell r="S1507" t="str">
            <v>NULL</v>
          </cell>
          <cell r="T1507" t="str">
            <v>normal</v>
          </cell>
          <cell r="U1507" t="str">
            <v>NULL</v>
          </cell>
          <cell r="V1507" t="str">
            <v>NULL</v>
          </cell>
          <cell r="W1507" t="str">
            <v>NULL</v>
          </cell>
        </row>
        <row r="1508">
          <cell r="A1508">
            <v>8002</v>
          </cell>
          <cell r="B1508" t="str">
            <v>ja</v>
          </cell>
          <cell r="C1508" t="str">
            <v>宣導する天海妃 媽祖</v>
          </cell>
          <cell r="D1508" t="str">
            <v>イベント:ミクコラボ01</v>
          </cell>
          <cell r="E1508" t="str">
            <v>執行者</v>
          </cell>
          <cell r="F1508" t="str">
            <v>格好いい</v>
          </cell>
          <cell r="G1508" t="str">
            <v>女性</v>
          </cell>
          <cell r="H1508" t="str">
            <v>yellow</v>
          </cell>
          <cell r="I1508">
            <v>6</v>
          </cell>
          <cell r="J1508" t="str">
            <v>PremiumSS</v>
          </cell>
          <cell r="K1508" t="str">
            <v>attack</v>
          </cell>
          <cell r="L1508" t="str">
            <v>攻撃タイプ</v>
          </cell>
          <cell r="M1508" t="str">
            <v>god</v>
          </cell>
          <cell r="N1508" t="str">
            <v>ゴッド</v>
          </cell>
          <cell r="O1508" t="str">
            <v>none</v>
          </cell>
          <cell r="P1508" t="str">
            <v>種族なし</v>
          </cell>
          <cell r="Q1508" t="str">
            <v>アタッカー</v>
          </cell>
          <cell r="R1508">
            <v>3</v>
          </cell>
          <cell r="S1508" t="str">
            <v>NULL</v>
          </cell>
          <cell r="T1508" t="str">
            <v>normal</v>
          </cell>
          <cell r="U1508" t="str">
            <v>NULL</v>
          </cell>
          <cell r="V1508" t="str">
            <v>NULL</v>
          </cell>
          <cell r="W1508" t="str">
            <v>NULL</v>
          </cell>
        </row>
        <row r="1509">
          <cell r="A1509">
            <v>8003</v>
          </cell>
          <cell r="B1509" t="str">
            <v>ja</v>
          </cell>
          <cell r="C1509" t="str">
            <v>蛟龍</v>
          </cell>
          <cell r="D1509" t="str">
            <v>イベント:ミクコラボ01</v>
          </cell>
          <cell r="E1509" t="str">
            <v>執行者</v>
          </cell>
          <cell r="F1509" t="str">
            <v>格好いい</v>
          </cell>
          <cell r="G1509" t="str">
            <v>不明</v>
          </cell>
          <cell r="H1509" t="str">
            <v>blue</v>
          </cell>
          <cell r="I1509">
            <v>5</v>
          </cell>
          <cell r="J1509" t="str">
            <v>DropWizS</v>
          </cell>
          <cell r="K1509" t="str">
            <v>hp</v>
          </cell>
          <cell r="L1509" t="str">
            <v>体力タイプ</v>
          </cell>
          <cell r="M1509" t="str">
            <v>dragon</v>
          </cell>
          <cell r="N1509" t="str">
            <v>ドラゴン</v>
          </cell>
          <cell r="O1509" t="str">
            <v>none</v>
          </cell>
          <cell r="P1509" t="str">
            <v>種族なし</v>
          </cell>
          <cell r="Q1509" t="str">
            <v>アタッカー</v>
          </cell>
          <cell r="R1509">
            <v>3</v>
          </cell>
          <cell r="S1509" t="str">
            <v>NULL</v>
          </cell>
          <cell r="T1509" t="str">
            <v>normal</v>
          </cell>
          <cell r="U1509" t="str">
            <v>NULL</v>
          </cell>
          <cell r="V1509" t="str">
            <v>NULL</v>
          </cell>
          <cell r="W1509" t="str">
            <v>NULL</v>
          </cell>
        </row>
        <row r="1510">
          <cell r="A1510">
            <v>8004</v>
          </cell>
          <cell r="B1510" t="str">
            <v>ja</v>
          </cell>
          <cell r="C1510" t="str">
            <v>呼嵐の蒼棲龍 蛟龍</v>
          </cell>
          <cell r="D1510" t="str">
            <v>イベント:ミクコラボ01</v>
          </cell>
          <cell r="E1510" t="str">
            <v>執行者</v>
          </cell>
          <cell r="F1510" t="str">
            <v>格好いい</v>
          </cell>
          <cell r="G1510" t="str">
            <v>不明</v>
          </cell>
          <cell r="H1510" t="str">
            <v>blue</v>
          </cell>
          <cell r="I1510">
            <v>6</v>
          </cell>
          <cell r="J1510" t="str">
            <v>DropWizS</v>
          </cell>
          <cell r="K1510" t="str">
            <v>hp</v>
          </cell>
          <cell r="L1510" t="str">
            <v>体力タイプ</v>
          </cell>
          <cell r="M1510" t="str">
            <v>dragon</v>
          </cell>
          <cell r="N1510" t="str">
            <v>ドラゴン</v>
          </cell>
          <cell r="O1510" t="str">
            <v>none</v>
          </cell>
          <cell r="P1510" t="str">
            <v>種族なし</v>
          </cell>
          <cell r="Q1510" t="str">
            <v>アタッカー</v>
          </cell>
          <cell r="R1510">
            <v>3</v>
          </cell>
          <cell r="S1510" t="str">
            <v>NULL</v>
          </cell>
          <cell r="T1510" t="str">
            <v>normal</v>
          </cell>
          <cell r="U1510" t="str">
            <v>NULL</v>
          </cell>
          <cell r="V1510" t="str">
            <v>NULL</v>
          </cell>
          <cell r="W1510" t="str">
            <v>NULL</v>
          </cell>
        </row>
        <row r="1511">
          <cell r="A1511">
            <v>8005</v>
          </cell>
          <cell r="B1511" t="str">
            <v>ja</v>
          </cell>
          <cell r="C1511" t="str">
            <v>三蔵法師</v>
          </cell>
          <cell r="D1511" t="str">
            <v>イベント:ミクコラボ01</v>
          </cell>
          <cell r="E1511" t="str">
            <v>執行者</v>
          </cell>
          <cell r="F1511" t="str">
            <v>格好いい</v>
          </cell>
          <cell r="G1511" t="str">
            <v>不明</v>
          </cell>
          <cell r="H1511" t="str">
            <v>blue</v>
          </cell>
          <cell r="I1511">
            <v>5</v>
          </cell>
          <cell r="J1511" t="str">
            <v>PremiumSS</v>
          </cell>
          <cell r="K1511" t="str">
            <v>balance</v>
          </cell>
          <cell r="L1511" t="str">
            <v>バランスタイプ</v>
          </cell>
          <cell r="M1511" t="str">
            <v>human</v>
          </cell>
          <cell r="N1511" t="str">
            <v>ヒューマン</v>
          </cell>
          <cell r="O1511" t="str">
            <v>animal</v>
          </cell>
          <cell r="P1511" t="str">
            <v>アニマル</v>
          </cell>
          <cell r="Q1511" t="str">
            <v>アタッカー</v>
          </cell>
          <cell r="R1511">
            <v>3</v>
          </cell>
          <cell r="S1511" t="str">
            <v>NULL</v>
          </cell>
          <cell r="T1511" t="str">
            <v>normal</v>
          </cell>
          <cell r="U1511" t="str">
            <v>NULL</v>
          </cell>
          <cell r="V1511" t="str">
            <v>NULL</v>
          </cell>
          <cell r="W1511" t="str">
            <v>NULL</v>
          </cell>
        </row>
        <row r="1512">
          <cell r="A1512">
            <v>8006</v>
          </cell>
          <cell r="B1512" t="str">
            <v>ja</v>
          </cell>
          <cell r="C1512" t="str">
            <v>慈戒の呪封使 三蔵法師</v>
          </cell>
          <cell r="D1512" t="str">
            <v>イベント:ミクコラボ01</v>
          </cell>
          <cell r="E1512" t="str">
            <v>執行者</v>
          </cell>
          <cell r="F1512" t="str">
            <v>格好いい</v>
          </cell>
          <cell r="G1512" t="str">
            <v>不明</v>
          </cell>
          <cell r="H1512" t="str">
            <v>blue</v>
          </cell>
          <cell r="I1512">
            <v>6</v>
          </cell>
          <cell r="J1512" t="str">
            <v>PremiumSS</v>
          </cell>
          <cell r="K1512" t="str">
            <v>balance</v>
          </cell>
          <cell r="L1512" t="str">
            <v>バランスタイプ</v>
          </cell>
          <cell r="M1512" t="str">
            <v>human</v>
          </cell>
          <cell r="N1512" t="str">
            <v>ヒューマン</v>
          </cell>
          <cell r="O1512" t="str">
            <v>animal</v>
          </cell>
          <cell r="P1512" t="str">
            <v>アニマル</v>
          </cell>
          <cell r="Q1512" t="str">
            <v>アタッカー</v>
          </cell>
          <cell r="R1512">
            <v>3</v>
          </cell>
          <cell r="S1512" t="str">
            <v>NULL</v>
          </cell>
          <cell r="T1512" t="str">
            <v>normal</v>
          </cell>
          <cell r="U1512" t="str">
            <v>NULL</v>
          </cell>
          <cell r="V1512" t="str">
            <v>NULL</v>
          </cell>
          <cell r="W1512" t="str">
            <v>NULL</v>
          </cell>
        </row>
        <row r="1513">
          <cell r="A1513">
            <v>8007</v>
          </cell>
          <cell r="B1513" t="str">
            <v>ja</v>
          </cell>
          <cell r="C1513" t="str">
            <v>孫悟空</v>
          </cell>
          <cell r="D1513" t="str">
            <v>イベント:ミクコラボ01</v>
          </cell>
          <cell r="E1513" t="str">
            <v>執行者</v>
          </cell>
          <cell r="F1513" t="str">
            <v>格好いい</v>
          </cell>
          <cell r="G1513" t="str">
            <v>不明</v>
          </cell>
          <cell r="H1513" t="str">
            <v>red</v>
          </cell>
          <cell r="I1513">
            <v>5</v>
          </cell>
          <cell r="J1513" t="str">
            <v>DropWizS</v>
          </cell>
          <cell r="K1513" t="str">
            <v>attack</v>
          </cell>
          <cell r="L1513" t="str">
            <v>攻撃タイプ</v>
          </cell>
          <cell r="M1513" t="str">
            <v>animal</v>
          </cell>
          <cell r="N1513" t="str">
            <v>アニマル</v>
          </cell>
          <cell r="O1513" t="str">
            <v>none</v>
          </cell>
          <cell r="P1513" t="str">
            <v>種族なし</v>
          </cell>
          <cell r="Q1513" t="str">
            <v>アタッカー</v>
          </cell>
          <cell r="R1513">
            <v>3</v>
          </cell>
          <cell r="S1513" t="str">
            <v>NULL</v>
          </cell>
          <cell r="T1513" t="str">
            <v>normal</v>
          </cell>
          <cell r="U1513" t="str">
            <v>NULL</v>
          </cell>
          <cell r="V1513" t="str">
            <v>NULL</v>
          </cell>
          <cell r="W1513" t="str">
            <v>NULL</v>
          </cell>
        </row>
        <row r="1514">
          <cell r="A1514">
            <v>8008</v>
          </cell>
          <cell r="B1514" t="str">
            <v>ja</v>
          </cell>
          <cell r="C1514" t="str">
            <v>花果の天猿仙人 孫悟空</v>
          </cell>
          <cell r="D1514" t="str">
            <v>イベント:ミクコラボ01</v>
          </cell>
          <cell r="E1514" t="str">
            <v>執行者</v>
          </cell>
          <cell r="F1514" t="str">
            <v>格好いい</v>
          </cell>
          <cell r="G1514" t="str">
            <v>不明</v>
          </cell>
          <cell r="H1514" t="str">
            <v>red</v>
          </cell>
          <cell r="I1514">
            <v>6</v>
          </cell>
          <cell r="J1514" t="str">
            <v>DropWizS</v>
          </cell>
          <cell r="K1514" t="str">
            <v>attack</v>
          </cell>
          <cell r="L1514" t="str">
            <v>攻撃タイプ</v>
          </cell>
          <cell r="M1514" t="str">
            <v>animal</v>
          </cell>
          <cell r="N1514" t="str">
            <v>アニマル</v>
          </cell>
          <cell r="O1514" t="str">
            <v>none</v>
          </cell>
          <cell r="P1514" t="str">
            <v>種族なし</v>
          </cell>
          <cell r="Q1514" t="str">
            <v>アタッカー</v>
          </cell>
          <cell r="R1514">
            <v>3</v>
          </cell>
          <cell r="S1514" t="str">
            <v>NULL</v>
          </cell>
          <cell r="T1514" t="str">
            <v>normal</v>
          </cell>
          <cell r="U1514" t="str">
            <v>NULL</v>
          </cell>
          <cell r="V1514" t="str">
            <v>NULL</v>
          </cell>
          <cell r="W1514" t="str">
            <v>NULL</v>
          </cell>
        </row>
        <row r="1515">
          <cell r="A1515">
            <v>8009</v>
          </cell>
          <cell r="B1515" t="str">
            <v>ja</v>
          </cell>
          <cell r="C1515" t="str">
            <v>西王娘娘</v>
          </cell>
          <cell r="D1515" t="str">
            <v>イベント:ミクコラボ01</v>
          </cell>
          <cell r="E1515" t="str">
            <v>執行者</v>
          </cell>
          <cell r="F1515" t="str">
            <v>格好いい</v>
          </cell>
          <cell r="G1515" t="str">
            <v>不明</v>
          </cell>
          <cell r="H1515" t="str">
            <v>green</v>
          </cell>
          <cell r="I1515">
            <v>5</v>
          </cell>
          <cell r="J1515" t="str">
            <v>PremiumSS</v>
          </cell>
          <cell r="K1515" t="str">
            <v>attack</v>
          </cell>
          <cell r="L1515" t="str">
            <v>攻撃タイプ</v>
          </cell>
          <cell r="M1515" t="str">
            <v>god</v>
          </cell>
          <cell r="N1515" t="str">
            <v>ゴッド</v>
          </cell>
          <cell r="O1515" t="str">
            <v>machine</v>
          </cell>
          <cell r="P1515" t="str">
            <v>マシン</v>
          </cell>
          <cell r="Q1515" t="str">
            <v>アタッカー</v>
          </cell>
          <cell r="R1515">
            <v>3</v>
          </cell>
          <cell r="S1515" t="str">
            <v>NULL</v>
          </cell>
          <cell r="T1515" t="str">
            <v>normal</v>
          </cell>
          <cell r="U1515" t="str">
            <v>NULL</v>
          </cell>
          <cell r="V1515" t="str">
            <v>NULL</v>
          </cell>
          <cell r="W1515" t="str">
            <v>NULL</v>
          </cell>
        </row>
        <row r="1516">
          <cell r="A1516">
            <v>8010</v>
          </cell>
          <cell r="B1516" t="str">
            <v>ja</v>
          </cell>
          <cell r="C1516" t="str">
            <v>極楽瑶池の聖母 西王娘娘</v>
          </cell>
          <cell r="D1516" t="str">
            <v>イベント:ミクコラボ01</v>
          </cell>
          <cell r="E1516" t="str">
            <v>執行者</v>
          </cell>
          <cell r="F1516" t="str">
            <v>格好いい</v>
          </cell>
          <cell r="G1516" t="str">
            <v>不明</v>
          </cell>
          <cell r="H1516" t="str">
            <v>green</v>
          </cell>
          <cell r="I1516">
            <v>6</v>
          </cell>
          <cell r="J1516" t="str">
            <v>PremiumSS</v>
          </cell>
          <cell r="K1516" t="str">
            <v>attack</v>
          </cell>
          <cell r="L1516" t="str">
            <v>攻撃タイプ</v>
          </cell>
          <cell r="M1516" t="str">
            <v>god</v>
          </cell>
          <cell r="N1516" t="str">
            <v>ゴッド</v>
          </cell>
          <cell r="O1516" t="str">
            <v>machine</v>
          </cell>
          <cell r="P1516" t="str">
            <v>マシン</v>
          </cell>
          <cell r="Q1516" t="str">
            <v>アタッカー</v>
          </cell>
          <cell r="R1516">
            <v>3</v>
          </cell>
          <cell r="S1516" t="str">
            <v>NULL</v>
          </cell>
          <cell r="T1516" t="str">
            <v>normal</v>
          </cell>
          <cell r="U1516" t="str">
            <v>NULL</v>
          </cell>
          <cell r="V1516" t="str">
            <v>NULL</v>
          </cell>
          <cell r="W1516" t="str">
            <v>NULL</v>
          </cell>
        </row>
        <row r="1517">
          <cell r="A1517">
            <v>8011</v>
          </cell>
          <cell r="B1517" t="str">
            <v>ja</v>
          </cell>
          <cell r="C1517" t="str">
            <v>月下老人</v>
          </cell>
          <cell r="D1517" t="str">
            <v>イベント:ミクコラボ01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yellow</v>
          </cell>
          <cell r="I1517">
            <v>5</v>
          </cell>
          <cell r="J1517" t="str">
            <v>DropWizS</v>
          </cell>
          <cell r="K1517" t="str">
            <v>balance</v>
          </cell>
          <cell r="L1517" t="str">
            <v>バランスタイプ</v>
          </cell>
          <cell r="M1517" t="str">
            <v>god</v>
          </cell>
          <cell r="N1517" t="str">
            <v>ゴッド</v>
          </cell>
          <cell r="O1517" t="str">
            <v>none</v>
          </cell>
          <cell r="P1517" t="str">
            <v>種族なし</v>
          </cell>
          <cell r="Q1517" t="str">
            <v>アタッカー</v>
          </cell>
          <cell r="R1517">
            <v>3</v>
          </cell>
          <cell r="S1517" t="str">
            <v>NULL</v>
          </cell>
          <cell r="T1517" t="str">
            <v>normal</v>
          </cell>
          <cell r="U1517" t="str">
            <v>NULL</v>
          </cell>
          <cell r="V1517" t="str">
            <v>NULL</v>
          </cell>
          <cell r="W1517" t="str">
            <v>NULL</v>
          </cell>
        </row>
        <row r="1518">
          <cell r="A1518">
            <v>8012</v>
          </cell>
          <cell r="B1518" t="str">
            <v>ja</v>
          </cell>
          <cell r="C1518" t="str">
            <v>破戀斬る縁剣 月下老人</v>
          </cell>
          <cell r="D1518" t="str">
            <v>イベント:ミクコラボ01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yellow</v>
          </cell>
          <cell r="I1518">
            <v>6</v>
          </cell>
          <cell r="J1518" t="str">
            <v>DropWizS</v>
          </cell>
          <cell r="K1518" t="str">
            <v>balance</v>
          </cell>
          <cell r="L1518" t="str">
            <v>バランスタイプ</v>
          </cell>
          <cell r="M1518" t="str">
            <v>god</v>
          </cell>
          <cell r="N1518" t="str">
            <v>ゴッド</v>
          </cell>
          <cell r="O1518" t="str">
            <v>none</v>
          </cell>
          <cell r="P1518" t="str">
            <v>種族なし</v>
          </cell>
          <cell r="Q1518" t="str">
            <v>アタッカー</v>
          </cell>
          <cell r="R1518">
            <v>3</v>
          </cell>
          <cell r="S1518" t="str">
            <v>NULL</v>
          </cell>
          <cell r="T1518" t="str">
            <v>normal</v>
          </cell>
          <cell r="U1518" t="str">
            <v>NULL</v>
          </cell>
          <cell r="V1518" t="str">
            <v>NULL</v>
          </cell>
          <cell r="W1518" t="str">
            <v>NULL</v>
          </cell>
        </row>
        <row r="1519">
          <cell r="A1519">
            <v>8013</v>
          </cell>
          <cell r="B1519" t="str">
            <v>ja</v>
          </cell>
          <cell r="C1519" t="str">
            <v>初音ミクV3</v>
          </cell>
          <cell r="D1519" t="str">
            <v>初音ミクV3</v>
          </cell>
          <cell r="E1519" t="str">
            <v>執行者</v>
          </cell>
          <cell r="F1519" t="str">
            <v>格好いい</v>
          </cell>
          <cell r="G1519" t="str">
            <v>女性</v>
          </cell>
          <cell r="H1519" t="str">
            <v>yellow</v>
          </cell>
          <cell r="I1519">
            <v>4</v>
          </cell>
          <cell r="J1519" t="str">
            <v>DropWizS</v>
          </cell>
          <cell r="K1519" t="str">
            <v>balance</v>
          </cell>
          <cell r="L1519" t="str">
            <v>バランスタイプ</v>
          </cell>
          <cell r="M1519" t="str">
            <v>unknown</v>
          </cell>
          <cell r="N1519" t="str">
            <v>Unknown</v>
          </cell>
          <cell r="O1519" t="str">
            <v>none</v>
          </cell>
          <cell r="P1519" t="str">
            <v>種族なし</v>
          </cell>
          <cell r="Q1519" t="str">
            <v>アタッカー</v>
          </cell>
          <cell r="R1519">
            <v>1</v>
          </cell>
          <cell r="S1519" t="str">
            <v>NULL</v>
          </cell>
          <cell r="T1519" t="str">
            <v>normal</v>
          </cell>
          <cell r="U1519" t="str">
            <v>NULL</v>
          </cell>
          <cell r="V1519" t="str">
            <v>NULL</v>
          </cell>
          <cell r="W1519" t="str">
            <v>NULL</v>
          </cell>
        </row>
        <row r="1520">
          <cell r="A1520">
            <v>8014</v>
          </cell>
          <cell r="B1520" t="str">
            <v>ja</v>
          </cell>
          <cell r="C1520" t="str">
            <v>初音ミクV3</v>
          </cell>
          <cell r="D1520" t="str">
            <v>初音ミクV3</v>
          </cell>
          <cell r="E1520" t="str">
            <v>執行者</v>
          </cell>
          <cell r="F1520" t="str">
            <v>格好いい</v>
          </cell>
          <cell r="G1520" t="str">
            <v>女性</v>
          </cell>
          <cell r="H1520" t="str">
            <v>yellow</v>
          </cell>
          <cell r="I1520">
            <v>5</v>
          </cell>
          <cell r="J1520" t="str">
            <v>DropWizS</v>
          </cell>
          <cell r="K1520" t="str">
            <v>balance</v>
          </cell>
          <cell r="L1520" t="str">
            <v>バランスタイプ</v>
          </cell>
          <cell r="M1520" t="str">
            <v>unknown</v>
          </cell>
          <cell r="N1520" t="str">
            <v>Unknown</v>
          </cell>
          <cell r="O1520" t="str">
            <v>none</v>
          </cell>
          <cell r="P1520" t="str">
            <v>種族なし</v>
          </cell>
          <cell r="Q1520" t="str">
            <v>アタッカー</v>
          </cell>
          <cell r="R1520">
            <v>1</v>
          </cell>
          <cell r="S1520" t="str">
            <v>NULL</v>
          </cell>
          <cell r="T1520" t="str">
            <v>normal</v>
          </cell>
          <cell r="U1520" t="str">
            <v>NULL</v>
          </cell>
          <cell r="V1520" t="str">
            <v>NULL</v>
          </cell>
          <cell r="W1520" t="str">
            <v>NULL</v>
          </cell>
        </row>
        <row r="1521">
          <cell r="A1521">
            <v>8015</v>
          </cell>
          <cell r="B1521" t="str">
            <v>ja</v>
          </cell>
          <cell r="C1521" t="str">
            <v>初音ミク・アペンド</v>
          </cell>
          <cell r="D1521" t="str">
            <v>初音ミク・アペンド</v>
          </cell>
          <cell r="E1521" t="str">
            <v>執行者</v>
          </cell>
          <cell r="F1521" t="str">
            <v>格好いい</v>
          </cell>
          <cell r="G1521" t="str">
            <v>女性</v>
          </cell>
          <cell r="H1521" t="str">
            <v>green</v>
          </cell>
          <cell r="I1521">
            <v>4</v>
          </cell>
          <cell r="J1521" t="str">
            <v>PremiumSSS</v>
          </cell>
          <cell r="K1521" t="str">
            <v>technical</v>
          </cell>
          <cell r="L1521" t="str">
            <v>テクニカルタイプ</v>
          </cell>
          <cell r="M1521" t="str">
            <v>unknown</v>
          </cell>
          <cell r="N1521" t="str">
            <v>Unknown</v>
          </cell>
          <cell r="O1521" t="str">
            <v>none</v>
          </cell>
          <cell r="P1521" t="str">
            <v>種族なし</v>
          </cell>
          <cell r="Q1521" t="str">
            <v>アタッカー</v>
          </cell>
          <cell r="R1521">
            <v>1</v>
          </cell>
          <cell r="S1521" t="str">
            <v>NULL</v>
          </cell>
          <cell r="T1521" t="str">
            <v>normal</v>
          </cell>
          <cell r="U1521" t="str">
            <v>NULL</v>
          </cell>
          <cell r="V1521" t="str">
            <v>NULL</v>
          </cell>
          <cell r="W1521" t="str">
            <v>NULL</v>
          </cell>
        </row>
        <row r="1522">
          <cell r="A1522">
            <v>8016</v>
          </cell>
          <cell r="B1522" t="str">
            <v>ja</v>
          </cell>
          <cell r="C1522" t="str">
            <v>初音ミク・アペンド</v>
          </cell>
          <cell r="D1522" t="str">
            <v>初音ミク・アペンド</v>
          </cell>
          <cell r="E1522" t="str">
            <v>執行者</v>
          </cell>
          <cell r="F1522" t="str">
            <v>格好いい</v>
          </cell>
          <cell r="G1522" t="str">
            <v>女性</v>
          </cell>
          <cell r="H1522" t="str">
            <v>green</v>
          </cell>
          <cell r="I1522">
            <v>5</v>
          </cell>
          <cell r="J1522" t="str">
            <v>PremiumSSS</v>
          </cell>
          <cell r="K1522" t="str">
            <v>technical</v>
          </cell>
          <cell r="L1522" t="str">
            <v>テクニカルタイプ</v>
          </cell>
          <cell r="M1522" t="str">
            <v>unknown</v>
          </cell>
          <cell r="N1522" t="str">
            <v>Unknown</v>
          </cell>
          <cell r="O1522" t="str">
            <v>none</v>
          </cell>
          <cell r="P1522" t="str">
            <v>種族なし</v>
          </cell>
          <cell r="Q1522" t="str">
            <v>アタッカー</v>
          </cell>
          <cell r="R1522">
            <v>1</v>
          </cell>
          <cell r="S1522" t="str">
            <v>NULL</v>
          </cell>
          <cell r="T1522" t="str">
            <v>normal</v>
          </cell>
          <cell r="U1522" t="str">
            <v>NULL</v>
          </cell>
          <cell r="V1522" t="str">
            <v>NULL</v>
          </cell>
          <cell r="W1522" t="str">
            <v>NULL</v>
          </cell>
        </row>
        <row r="1523">
          <cell r="A1523">
            <v>8017</v>
          </cell>
          <cell r="B1523" t="str">
            <v>ja</v>
          </cell>
          <cell r="C1523" t="str">
            <v>初音ミク</v>
          </cell>
          <cell r="D1523" t="str">
            <v>初音ミク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green</v>
          </cell>
          <cell r="I1523">
            <v>4</v>
          </cell>
          <cell r="J1523" t="str">
            <v>PremiumSSS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  <cell r="N1523" t="str">
            <v>Unknown</v>
          </cell>
          <cell r="O1523" t="str">
            <v>none</v>
          </cell>
          <cell r="P1523" t="str">
            <v>種族なし</v>
          </cell>
          <cell r="Q1523" t="str">
            <v>アタッカー</v>
          </cell>
          <cell r="R1523">
            <v>1</v>
          </cell>
          <cell r="S1523" t="str">
            <v>NULL</v>
          </cell>
          <cell r="T1523" t="str">
            <v>normal</v>
          </cell>
          <cell r="U1523" t="str">
            <v>NULL</v>
          </cell>
          <cell r="V1523" t="str">
            <v>NULL</v>
          </cell>
          <cell r="W1523" t="str">
            <v>NULL</v>
          </cell>
        </row>
        <row r="1524">
          <cell r="A1524">
            <v>8018</v>
          </cell>
          <cell r="B1524" t="str">
            <v>ja</v>
          </cell>
          <cell r="C1524" t="str">
            <v>初音ミク</v>
          </cell>
          <cell r="D1524" t="str">
            <v>初音ミク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green</v>
          </cell>
          <cell r="I1524">
            <v>5</v>
          </cell>
          <cell r="J1524" t="str">
            <v>PremiumSSS</v>
          </cell>
          <cell r="K1524" t="str">
            <v>balance</v>
          </cell>
          <cell r="L1524" t="str">
            <v>バランスタイプ</v>
          </cell>
          <cell r="M1524" t="str">
            <v>unknown</v>
          </cell>
          <cell r="N1524" t="str">
            <v>Unknown</v>
          </cell>
          <cell r="O1524" t="str">
            <v>none</v>
          </cell>
          <cell r="P1524" t="str">
            <v>種族なし</v>
          </cell>
          <cell r="Q1524" t="str">
            <v>アタッカー</v>
          </cell>
          <cell r="R1524">
            <v>1</v>
          </cell>
          <cell r="S1524" t="str">
            <v>NULL</v>
          </cell>
          <cell r="T1524" t="str">
            <v>normal</v>
          </cell>
          <cell r="U1524" t="str">
            <v>NULL</v>
          </cell>
          <cell r="V1524" t="str">
            <v>NULL</v>
          </cell>
          <cell r="W1524" t="str">
            <v>NULL</v>
          </cell>
        </row>
        <row r="1525">
          <cell r="A1525">
            <v>8019</v>
          </cell>
          <cell r="B1525" t="str">
            <v>ja</v>
          </cell>
          <cell r="C1525" t="str">
            <v>鏡音リン</v>
          </cell>
          <cell r="D1525" t="str">
            <v>鏡音リン</v>
          </cell>
          <cell r="E1525" t="str">
            <v>執行者</v>
          </cell>
          <cell r="F1525" t="str">
            <v>格好いい</v>
          </cell>
          <cell r="G1525" t="str">
            <v>男性</v>
          </cell>
          <cell r="H1525" t="str">
            <v>yellow</v>
          </cell>
          <cell r="I1525">
            <v>4</v>
          </cell>
          <cell r="J1525" t="str">
            <v>PremiumSS</v>
          </cell>
          <cell r="K1525" t="str">
            <v>balance</v>
          </cell>
          <cell r="L1525" t="str">
            <v>バランスタイプ</v>
          </cell>
          <cell r="M1525" t="str">
            <v>unknown</v>
          </cell>
          <cell r="N1525" t="str">
            <v>Unknown</v>
          </cell>
          <cell r="O1525" t="str">
            <v>none</v>
          </cell>
          <cell r="P1525" t="str">
            <v>種族なし</v>
          </cell>
          <cell r="Q1525" t="str">
            <v>アタッカー</v>
          </cell>
          <cell r="R1525">
            <v>1</v>
          </cell>
          <cell r="S1525" t="str">
            <v>NULL</v>
          </cell>
          <cell r="T1525" t="str">
            <v>normal</v>
          </cell>
          <cell r="U1525" t="str">
            <v>NULL</v>
          </cell>
          <cell r="V1525" t="str">
            <v>NULL</v>
          </cell>
          <cell r="W1525" t="str">
            <v>NULL</v>
          </cell>
        </row>
        <row r="1526">
          <cell r="A1526">
            <v>8020</v>
          </cell>
          <cell r="B1526" t="str">
            <v>ja</v>
          </cell>
          <cell r="C1526" t="str">
            <v>鏡音リン</v>
          </cell>
          <cell r="D1526" t="str">
            <v>鏡音リン</v>
          </cell>
          <cell r="E1526" t="str">
            <v>執行者</v>
          </cell>
          <cell r="F1526" t="str">
            <v>格好いい</v>
          </cell>
          <cell r="G1526" t="str">
            <v>男性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balance</v>
          </cell>
          <cell r="L1526" t="str">
            <v>バランスタイプ</v>
          </cell>
          <cell r="M1526" t="str">
            <v>unknown</v>
          </cell>
          <cell r="N1526" t="str">
            <v>Unknown</v>
          </cell>
          <cell r="O1526" t="str">
            <v>none</v>
          </cell>
          <cell r="P1526" t="str">
            <v>種族なし</v>
          </cell>
          <cell r="Q1526" t="str">
            <v>アタッカー</v>
          </cell>
          <cell r="R1526">
            <v>1</v>
          </cell>
          <cell r="S1526" t="str">
            <v>NULL</v>
          </cell>
          <cell r="T1526" t="str">
            <v>normal</v>
          </cell>
          <cell r="U1526" t="str">
            <v>NULL</v>
          </cell>
          <cell r="V1526" t="str">
            <v>NULL</v>
          </cell>
          <cell r="W1526" t="str">
            <v>NULL</v>
          </cell>
        </row>
        <row r="1527">
          <cell r="A1527">
            <v>8021</v>
          </cell>
          <cell r="B1527" t="str">
            <v>ja</v>
          </cell>
          <cell r="C1527" t="str">
            <v>鏡音レン</v>
          </cell>
          <cell r="D1527" t="str">
            <v>鏡音レン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yellow</v>
          </cell>
          <cell r="I1527">
            <v>4</v>
          </cell>
          <cell r="J1527" t="str">
            <v>PremiumSS</v>
          </cell>
          <cell r="K1527" t="str">
            <v>heal</v>
          </cell>
          <cell r="L1527" t="str">
            <v>回復タイプ</v>
          </cell>
          <cell r="M1527" t="str">
            <v>unknown</v>
          </cell>
          <cell r="N1527" t="str">
            <v>Unknown</v>
          </cell>
          <cell r="O1527" t="str">
            <v>none</v>
          </cell>
          <cell r="P1527" t="str">
            <v>種族なし</v>
          </cell>
          <cell r="Q1527" t="str">
            <v>アタッカー</v>
          </cell>
          <cell r="R1527">
            <v>1</v>
          </cell>
          <cell r="S1527" t="str">
            <v>NULL</v>
          </cell>
          <cell r="T1527" t="str">
            <v>normal</v>
          </cell>
          <cell r="U1527" t="str">
            <v>NULL</v>
          </cell>
          <cell r="V1527" t="str">
            <v>NULL</v>
          </cell>
          <cell r="W1527" t="str">
            <v>NULL</v>
          </cell>
        </row>
        <row r="1528">
          <cell r="A1528">
            <v>8022</v>
          </cell>
          <cell r="B1528" t="str">
            <v>ja</v>
          </cell>
          <cell r="C1528" t="str">
            <v>鏡音レン</v>
          </cell>
          <cell r="D1528" t="str">
            <v>鏡音レン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yellow</v>
          </cell>
          <cell r="I1528">
            <v>5</v>
          </cell>
          <cell r="J1528" t="str">
            <v>PremiumSS</v>
          </cell>
          <cell r="K1528" t="str">
            <v>heal</v>
          </cell>
          <cell r="L1528" t="str">
            <v>回復タイプ</v>
          </cell>
          <cell r="M1528" t="str">
            <v>unknown</v>
          </cell>
          <cell r="N1528" t="str">
            <v>Unknown</v>
          </cell>
          <cell r="O1528" t="str">
            <v>none</v>
          </cell>
          <cell r="P1528" t="str">
            <v>種族なし</v>
          </cell>
          <cell r="Q1528" t="str">
            <v>アタッカー</v>
          </cell>
          <cell r="R1528">
            <v>1</v>
          </cell>
          <cell r="S1528" t="str">
            <v>NULL</v>
          </cell>
          <cell r="T1528" t="str">
            <v>normal</v>
          </cell>
          <cell r="U1528" t="str">
            <v>NULL</v>
          </cell>
          <cell r="V1528" t="str">
            <v>NULL</v>
          </cell>
          <cell r="W1528" t="str">
            <v>NULL</v>
          </cell>
        </row>
        <row r="1529">
          <cell r="A1529">
            <v>8023</v>
          </cell>
          <cell r="B1529" t="str">
            <v>ja</v>
          </cell>
          <cell r="C1529" t="str">
            <v>巡音ルカ</v>
          </cell>
          <cell r="D1529" t="str">
            <v>巡音ルカ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red</v>
          </cell>
          <cell r="I1529">
            <v>3</v>
          </cell>
          <cell r="J1529" t="str">
            <v>PremiumS</v>
          </cell>
          <cell r="K1529" t="str">
            <v>attack</v>
          </cell>
          <cell r="L1529" t="str">
            <v>攻撃タイプ</v>
          </cell>
          <cell r="M1529" t="str">
            <v>unknown</v>
          </cell>
          <cell r="N1529" t="str">
            <v>Unknown</v>
          </cell>
          <cell r="O1529" t="str">
            <v>none</v>
          </cell>
          <cell r="P1529" t="str">
            <v>種族なし</v>
          </cell>
          <cell r="Q1529" t="str">
            <v>アタッカー</v>
          </cell>
          <cell r="R1529">
            <v>1</v>
          </cell>
          <cell r="S1529" t="str">
            <v>NULL</v>
          </cell>
          <cell r="T1529" t="str">
            <v>normal</v>
          </cell>
          <cell r="U1529" t="str">
            <v>NULL</v>
          </cell>
          <cell r="V1529" t="str">
            <v>NULL</v>
          </cell>
          <cell r="W1529" t="str">
            <v>NULL</v>
          </cell>
        </row>
        <row r="1530">
          <cell r="A1530">
            <v>8024</v>
          </cell>
          <cell r="B1530" t="str">
            <v>ja</v>
          </cell>
          <cell r="C1530" t="str">
            <v>巡音ルカ</v>
          </cell>
          <cell r="D1530" t="str">
            <v>巡音ルカ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red</v>
          </cell>
          <cell r="I1530">
            <v>4</v>
          </cell>
          <cell r="J1530" t="str">
            <v>PremiumS</v>
          </cell>
          <cell r="K1530" t="str">
            <v>attack</v>
          </cell>
          <cell r="L1530" t="str">
            <v>攻撃タイプ</v>
          </cell>
          <cell r="M1530" t="str">
            <v>unknown</v>
          </cell>
          <cell r="N1530" t="str">
            <v>Unknown</v>
          </cell>
          <cell r="O1530" t="str">
            <v>none</v>
          </cell>
          <cell r="P1530" t="str">
            <v>種族なし</v>
          </cell>
          <cell r="Q1530" t="str">
            <v>アタッカー</v>
          </cell>
          <cell r="R1530">
            <v>1</v>
          </cell>
          <cell r="S1530" t="str">
            <v>NULL</v>
          </cell>
          <cell r="T1530" t="str">
            <v>normal</v>
          </cell>
          <cell r="U1530" t="str">
            <v>NULL</v>
          </cell>
          <cell r="V1530" t="str">
            <v>NULL</v>
          </cell>
          <cell r="W1530" t="str">
            <v>NULL</v>
          </cell>
        </row>
        <row r="1531">
          <cell r="A1531">
            <v>8025</v>
          </cell>
          <cell r="B1531" t="str">
            <v>ja</v>
          </cell>
          <cell r="C1531" t="str">
            <v>MEIKO</v>
          </cell>
          <cell r="D1531" t="str">
            <v>MEIKO</v>
          </cell>
          <cell r="E1531" t="str">
            <v>執行者</v>
          </cell>
          <cell r="F1531" t="str">
            <v>格好いい</v>
          </cell>
          <cell r="G1531" t="str">
            <v>男性</v>
          </cell>
          <cell r="H1531" t="str">
            <v>red</v>
          </cell>
          <cell r="I1531">
            <v>3</v>
          </cell>
          <cell r="J1531" t="str">
            <v>PremiumS</v>
          </cell>
          <cell r="K1531" t="str">
            <v>hp</v>
          </cell>
          <cell r="L1531" t="str">
            <v>体力タイプ</v>
          </cell>
          <cell r="M1531" t="str">
            <v>unknown</v>
          </cell>
          <cell r="N1531" t="str">
            <v>Unknown</v>
          </cell>
          <cell r="O1531" t="str">
            <v>none</v>
          </cell>
          <cell r="P1531" t="str">
            <v>種族なし</v>
          </cell>
          <cell r="Q1531" t="str">
            <v>アタッカー</v>
          </cell>
          <cell r="R1531">
            <v>1</v>
          </cell>
          <cell r="S1531" t="str">
            <v>NULL</v>
          </cell>
          <cell r="T1531" t="str">
            <v>normal</v>
          </cell>
          <cell r="U1531" t="str">
            <v>NULL</v>
          </cell>
          <cell r="V1531" t="str">
            <v>NULL</v>
          </cell>
          <cell r="W1531" t="str">
            <v>NULL</v>
          </cell>
        </row>
        <row r="1532">
          <cell r="A1532">
            <v>8026</v>
          </cell>
          <cell r="B1532" t="str">
            <v>ja</v>
          </cell>
          <cell r="C1532" t="str">
            <v>MEIKO</v>
          </cell>
          <cell r="D1532" t="str">
            <v>MEIKO</v>
          </cell>
          <cell r="E1532" t="str">
            <v>執行者</v>
          </cell>
          <cell r="F1532" t="str">
            <v>格好いい</v>
          </cell>
          <cell r="G1532" t="str">
            <v>男性</v>
          </cell>
          <cell r="H1532" t="str">
            <v>red</v>
          </cell>
          <cell r="I1532">
            <v>4</v>
          </cell>
          <cell r="J1532" t="str">
            <v>PremiumS</v>
          </cell>
          <cell r="K1532" t="str">
            <v>hp</v>
          </cell>
          <cell r="L1532" t="str">
            <v>体力タイプ</v>
          </cell>
          <cell r="M1532" t="str">
            <v>unknown</v>
          </cell>
          <cell r="N1532" t="str">
            <v>Unknown</v>
          </cell>
          <cell r="O1532" t="str">
            <v>none</v>
          </cell>
          <cell r="P1532" t="str">
            <v>種族なし</v>
          </cell>
          <cell r="Q1532" t="str">
            <v>アタッカー</v>
          </cell>
          <cell r="R1532">
            <v>1</v>
          </cell>
          <cell r="S1532" t="str">
            <v>NULL</v>
          </cell>
          <cell r="T1532" t="str">
            <v>normal</v>
          </cell>
          <cell r="U1532" t="str">
            <v>NULL</v>
          </cell>
          <cell r="V1532" t="str">
            <v>NULL</v>
          </cell>
          <cell r="W1532" t="str">
            <v>NULL</v>
          </cell>
        </row>
        <row r="1533">
          <cell r="A1533">
            <v>8027</v>
          </cell>
          <cell r="B1533" t="str">
            <v>ja</v>
          </cell>
          <cell r="C1533" t="str">
            <v>KAITO</v>
          </cell>
          <cell r="D1533" t="str">
            <v>KAITO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blue</v>
          </cell>
          <cell r="I1533">
            <v>3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unknown</v>
          </cell>
          <cell r="N1533" t="str">
            <v>Unknown</v>
          </cell>
          <cell r="O1533" t="str">
            <v>none</v>
          </cell>
          <cell r="P1533" t="str">
            <v>種族なし</v>
          </cell>
          <cell r="Q1533" t="str">
            <v>アタッカー</v>
          </cell>
          <cell r="R1533">
            <v>1</v>
          </cell>
          <cell r="S1533" t="str">
            <v>NULL</v>
          </cell>
          <cell r="T1533" t="str">
            <v>normal</v>
          </cell>
          <cell r="U1533" t="str">
            <v>NULL</v>
          </cell>
          <cell r="V1533" t="str">
            <v>NULL</v>
          </cell>
          <cell r="W1533" t="str">
            <v>NULL</v>
          </cell>
        </row>
        <row r="1534">
          <cell r="A1534">
            <v>8028</v>
          </cell>
          <cell r="B1534" t="str">
            <v>ja</v>
          </cell>
          <cell r="C1534" t="str">
            <v>KAITO</v>
          </cell>
          <cell r="D1534" t="str">
            <v>KAITO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blue</v>
          </cell>
          <cell r="I1534">
            <v>4</v>
          </cell>
          <cell r="J1534" t="str">
            <v>PremiumS</v>
          </cell>
          <cell r="K1534" t="str">
            <v>technical</v>
          </cell>
          <cell r="L1534" t="str">
            <v>テクニカルタイプ</v>
          </cell>
          <cell r="M1534" t="str">
            <v>unknown</v>
          </cell>
          <cell r="N1534" t="str">
            <v>Unknown</v>
          </cell>
          <cell r="O1534" t="str">
            <v>none</v>
          </cell>
          <cell r="P1534" t="str">
            <v>種族なし</v>
          </cell>
          <cell r="Q1534" t="str">
            <v>アタッカー</v>
          </cell>
          <cell r="R1534">
            <v>1</v>
          </cell>
          <cell r="S1534" t="str">
            <v>NULL</v>
          </cell>
          <cell r="T1534" t="str">
            <v>normal</v>
          </cell>
          <cell r="U1534" t="str">
            <v>NULL</v>
          </cell>
          <cell r="V1534" t="str">
            <v>NULL</v>
          </cell>
          <cell r="W1534" t="str">
            <v>NULL</v>
          </cell>
        </row>
        <row r="1535">
          <cell r="A1535">
            <v>8029</v>
          </cell>
          <cell r="B1535" t="str">
            <v>ja</v>
          </cell>
          <cell r="C1535" t="str">
            <v>Expoミク</v>
          </cell>
          <cell r="D1535" t="str">
            <v>Expoミク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blue</v>
          </cell>
          <cell r="I1535">
            <v>4</v>
          </cell>
          <cell r="J1535" t="str">
            <v>Drop2N</v>
          </cell>
          <cell r="K1535" t="str">
            <v>heal</v>
          </cell>
          <cell r="L1535" t="str">
            <v>回復タイプ</v>
          </cell>
          <cell r="M1535" t="str">
            <v>unknown</v>
          </cell>
          <cell r="N1535" t="str">
            <v>Unknown</v>
          </cell>
          <cell r="O1535" t="str">
            <v>none</v>
          </cell>
          <cell r="P1535" t="str">
            <v>種族なし</v>
          </cell>
          <cell r="Q1535" t="str">
            <v>アタッカー</v>
          </cell>
          <cell r="R1535">
            <v>1</v>
          </cell>
          <cell r="S1535" t="str">
            <v>NULL</v>
          </cell>
          <cell r="T1535" t="str">
            <v>normal</v>
          </cell>
          <cell r="U1535" t="str">
            <v>NULL</v>
          </cell>
          <cell r="V1535" t="str">
            <v>NULL</v>
          </cell>
          <cell r="W1535" t="str">
            <v>NULL</v>
          </cell>
        </row>
        <row r="1536">
          <cell r="A1536">
            <v>8030</v>
          </cell>
          <cell r="B1536" t="str">
            <v>ja</v>
          </cell>
          <cell r="C1536" t="str">
            <v>Expoミク</v>
          </cell>
          <cell r="D1536" t="str">
            <v>Expoミク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blue</v>
          </cell>
          <cell r="I1536">
            <v>5</v>
          </cell>
          <cell r="J1536" t="str">
            <v>Drop2N</v>
          </cell>
          <cell r="K1536" t="str">
            <v>heal</v>
          </cell>
          <cell r="L1536" t="str">
            <v>回復タイプ</v>
          </cell>
          <cell r="M1536" t="str">
            <v>unknown</v>
          </cell>
          <cell r="N1536" t="str">
            <v>Unknown</v>
          </cell>
          <cell r="O1536" t="str">
            <v>none</v>
          </cell>
          <cell r="P1536" t="str">
            <v>種族なし</v>
          </cell>
          <cell r="Q1536" t="str">
            <v>アタッカー</v>
          </cell>
          <cell r="R1536">
            <v>1</v>
          </cell>
          <cell r="S1536" t="str">
            <v>NULL</v>
          </cell>
          <cell r="T1536" t="str">
            <v>normal</v>
          </cell>
          <cell r="U1536" t="str">
            <v>NULL</v>
          </cell>
          <cell r="V1536" t="str">
            <v>NULL</v>
          </cell>
          <cell r="W1536" t="str">
            <v>NULL</v>
          </cell>
        </row>
        <row r="1537">
          <cell r="A1537">
            <v>8031</v>
          </cell>
          <cell r="B1537" t="str">
            <v>ja</v>
          </cell>
          <cell r="C1537" t="str">
            <v>閻羅王</v>
          </cell>
          <cell r="D1537" t="str">
            <v>Expoミク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red</v>
          </cell>
          <cell r="I1537">
            <v>5</v>
          </cell>
          <cell r="J1537" t="str">
            <v>PremiumSS</v>
          </cell>
          <cell r="K1537" t="str">
            <v>balance</v>
          </cell>
          <cell r="L1537" t="str">
            <v>バランスタイプ</v>
          </cell>
          <cell r="M1537" t="str">
            <v>god</v>
          </cell>
          <cell r="N1537" t="str">
            <v>ゴッド</v>
          </cell>
          <cell r="O1537" t="str">
            <v>machine</v>
          </cell>
          <cell r="P1537" t="str">
            <v>マシン</v>
          </cell>
          <cell r="Q1537" t="str">
            <v>アタッカー</v>
          </cell>
          <cell r="R1537">
            <v>3</v>
          </cell>
          <cell r="S1537" t="str">
            <v>NULL</v>
          </cell>
          <cell r="T1537" t="str">
            <v>normal</v>
          </cell>
          <cell r="U1537" t="str">
            <v>NULL</v>
          </cell>
          <cell r="V1537" t="str">
            <v>NULL</v>
          </cell>
          <cell r="W1537" t="str">
            <v>NULL</v>
          </cell>
        </row>
        <row r="1538">
          <cell r="A1538">
            <v>8032</v>
          </cell>
          <cell r="B1538" t="str">
            <v>ja</v>
          </cell>
          <cell r="C1538" t="str">
            <v>六道輪廻の絶獄 閻羅王</v>
          </cell>
          <cell r="D1538" t="str">
            <v>Expoミク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red</v>
          </cell>
          <cell r="I1538">
            <v>6</v>
          </cell>
          <cell r="J1538" t="str">
            <v>PremiumSS</v>
          </cell>
          <cell r="K1538" t="str">
            <v>balance</v>
          </cell>
          <cell r="L1538" t="str">
            <v>バランスタイプ</v>
          </cell>
          <cell r="M1538" t="str">
            <v>god</v>
          </cell>
          <cell r="N1538" t="str">
            <v>ゴッド</v>
          </cell>
          <cell r="O1538" t="str">
            <v>machine</v>
          </cell>
          <cell r="P1538" t="str">
            <v>マシン</v>
          </cell>
          <cell r="Q1538" t="str">
            <v>アタッカー</v>
          </cell>
          <cell r="R1538">
            <v>3</v>
          </cell>
          <cell r="S1538" t="str">
            <v>NULL</v>
          </cell>
          <cell r="T1538" t="str">
            <v>normal</v>
          </cell>
          <cell r="U1538" t="str">
            <v>NULL</v>
          </cell>
          <cell r="V1538" t="str">
            <v>NULL</v>
          </cell>
          <cell r="W1538" t="str">
            <v>NULL</v>
          </cell>
        </row>
        <row r="1539">
          <cell r="A1539">
            <v>8033</v>
          </cell>
          <cell r="B1539" t="str">
            <v>ja</v>
          </cell>
          <cell r="C1539" t="str">
            <v>牛頭馬面</v>
          </cell>
          <cell r="D1539" t="str">
            <v>Expoミク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green</v>
          </cell>
          <cell r="I1539">
            <v>5</v>
          </cell>
          <cell r="J1539" t="str">
            <v>DropWizS</v>
          </cell>
          <cell r="K1539" t="str">
            <v>attack</v>
          </cell>
          <cell r="L1539" t="str">
            <v>攻撃タイプ</v>
          </cell>
          <cell r="M1539" t="str">
            <v>god</v>
          </cell>
          <cell r="N1539" t="str">
            <v>ゴッド</v>
          </cell>
          <cell r="O1539" t="str">
            <v>animal</v>
          </cell>
          <cell r="P1539" t="str">
            <v>アニマル</v>
          </cell>
          <cell r="Q1539" t="str">
            <v>アタッカー</v>
          </cell>
          <cell r="R1539">
            <v>3</v>
          </cell>
          <cell r="S1539" t="str">
            <v>NULL</v>
          </cell>
          <cell r="T1539" t="str">
            <v>normal</v>
          </cell>
          <cell r="U1539" t="str">
            <v>NULL</v>
          </cell>
          <cell r="V1539" t="str">
            <v>NULL</v>
          </cell>
          <cell r="W1539" t="str">
            <v>NULL</v>
          </cell>
        </row>
        <row r="1540">
          <cell r="A1540">
            <v>8034</v>
          </cell>
          <cell r="B1540" t="str">
            <v>ja</v>
          </cell>
          <cell r="C1540" t="str">
            <v>冥府狩る魂使 牛頭馬面</v>
          </cell>
          <cell r="D1540" t="str">
            <v>Expoミク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green</v>
          </cell>
          <cell r="I1540">
            <v>6</v>
          </cell>
          <cell r="J1540" t="str">
            <v>DropWizS</v>
          </cell>
          <cell r="K1540" t="str">
            <v>attack</v>
          </cell>
          <cell r="L1540" t="str">
            <v>攻撃タイプ</v>
          </cell>
          <cell r="M1540" t="str">
            <v>god</v>
          </cell>
          <cell r="N1540" t="str">
            <v>ゴッド</v>
          </cell>
          <cell r="O1540" t="str">
            <v>animal</v>
          </cell>
          <cell r="P1540" t="str">
            <v>アニマル</v>
          </cell>
          <cell r="Q1540" t="str">
            <v>アタッカー</v>
          </cell>
          <cell r="R1540">
            <v>3</v>
          </cell>
          <cell r="S1540" t="str">
            <v>NULL</v>
          </cell>
          <cell r="T1540" t="str">
            <v>normal</v>
          </cell>
          <cell r="U1540" t="str">
            <v>NULL</v>
          </cell>
          <cell r="V1540" t="str">
            <v>NULL</v>
          </cell>
          <cell r="W1540" t="str">
            <v>NULL</v>
          </cell>
        </row>
        <row r="1541">
          <cell r="A1541">
            <v>8035</v>
          </cell>
          <cell r="B1541" t="str">
            <v>ja</v>
          </cell>
          <cell r="C1541" t="str">
            <v>飛衛</v>
          </cell>
          <cell r="D1541" t="str">
            <v>Expoミク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blue</v>
          </cell>
          <cell r="I1541">
            <v>5</v>
          </cell>
          <cell r="J1541" t="str">
            <v>PremiumSS</v>
          </cell>
          <cell r="K1541" t="str">
            <v>heal</v>
          </cell>
          <cell r="L1541" t="str">
            <v>回復タイプ</v>
          </cell>
          <cell r="M1541" t="str">
            <v>human</v>
          </cell>
          <cell r="N1541" t="str">
            <v>ヒューマン</v>
          </cell>
          <cell r="O1541" t="str">
            <v>none</v>
          </cell>
          <cell r="P1541" t="str">
            <v>種族なし</v>
          </cell>
          <cell r="Q1541" t="str">
            <v>アタッカー</v>
          </cell>
          <cell r="R1541">
            <v>1</v>
          </cell>
          <cell r="S1541" t="str">
            <v>NULL</v>
          </cell>
          <cell r="T1541" t="str">
            <v>normal</v>
          </cell>
          <cell r="U1541" t="str">
            <v>NULL</v>
          </cell>
          <cell r="V1541" t="str">
            <v>NULL</v>
          </cell>
          <cell r="W1541" t="str">
            <v>NULL</v>
          </cell>
        </row>
        <row r="1542">
          <cell r="A1542">
            <v>8036</v>
          </cell>
          <cell r="B1542" t="str">
            <v>ja</v>
          </cell>
          <cell r="C1542" t="str">
            <v>レア６飛衛</v>
          </cell>
          <cell r="D1542" t="str">
            <v>Expoミク</v>
          </cell>
          <cell r="E1542" t="str">
            <v>執行者</v>
          </cell>
          <cell r="F1542" t="str">
            <v>格好いい</v>
          </cell>
          <cell r="G1542" t="str">
            <v>女性</v>
          </cell>
          <cell r="H1542" t="str">
            <v>blue</v>
          </cell>
          <cell r="I1542">
            <v>6</v>
          </cell>
          <cell r="J1542" t="str">
            <v>PremiumSS</v>
          </cell>
          <cell r="K1542" t="str">
            <v>heal</v>
          </cell>
          <cell r="L1542" t="str">
            <v>回復タイプ</v>
          </cell>
          <cell r="M1542" t="str">
            <v>human</v>
          </cell>
          <cell r="N1542" t="str">
            <v>ヒューマン</v>
          </cell>
          <cell r="O1542" t="str">
            <v>none</v>
          </cell>
          <cell r="P1542" t="str">
            <v>種族なし</v>
          </cell>
          <cell r="Q1542" t="str">
            <v>アタッカー</v>
          </cell>
          <cell r="R1542">
            <v>1</v>
          </cell>
          <cell r="S1542" t="str">
            <v>NULL</v>
          </cell>
          <cell r="T1542" t="str">
            <v>normal</v>
          </cell>
          <cell r="U1542" t="str">
            <v>NULL</v>
          </cell>
          <cell r="V1542" t="str">
            <v>NULL</v>
          </cell>
          <cell r="W1542" t="str">
            <v>NULL</v>
          </cell>
        </row>
        <row r="1543">
          <cell r="A1543">
            <v>8037</v>
          </cell>
          <cell r="B1543" t="str">
            <v>ja</v>
          </cell>
          <cell r="C1543" t="str">
            <v>紀昌</v>
          </cell>
          <cell r="D1543" t="str">
            <v>Expoミク</v>
          </cell>
          <cell r="E1543" t="str">
            <v>執行者</v>
          </cell>
          <cell r="F1543" t="str">
            <v>格好いい</v>
          </cell>
          <cell r="G1543" t="str">
            <v>女性</v>
          </cell>
          <cell r="H1543" t="str">
            <v>red</v>
          </cell>
          <cell r="I1543">
            <v>5</v>
          </cell>
          <cell r="J1543" t="str">
            <v>DropWizS</v>
          </cell>
          <cell r="K1543" t="str">
            <v>attack</v>
          </cell>
          <cell r="L1543" t="str">
            <v>攻撃タイプ</v>
          </cell>
          <cell r="M1543" t="str">
            <v>human</v>
          </cell>
          <cell r="N1543" t="str">
            <v>ヒューマン</v>
          </cell>
          <cell r="O1543" t="str">
            <v>machine</v>
          </cell>
          <cell r="P1543" t="str">
            <v>マシン</v>
          </cell>
          <cell r="Q1543" t="str">
            <v>アタッカー</v>
          </cell>
          <cell r="R1543">
            <v>1</v>
          </cell>
          <cell r="S1543" t="str">
            <v>NULL</v>
          </cell>
          <cell r="T1543" t="str">
            <v>normal</v>
          </cell>
          <cell r="U1543" t="str">
            <v>NULL</v>
          </cell>
          <cell r="V1543" t="str">
            <v>NULL</v>
          </cell>
          <cell r="W1543" t="str">
            <v>NULL</v>
          </cell>
        </row>
        <row r="1544">
          <cell r="A1544">
            <v>8038</v>
          </cell>
          <cell r="B1544" t="str">
            <v>ja</v>
          </cell>
          <cell r="C1544" t="str">
            <v>レア６紀昌</v>
          </cell>
          <cell r="D1544" t="str">
            <v>Expoミク</v>
          </cell>
          <cell r="E1544" t="str">
            <v>執行者</v>
          </cell>
          <cell r="F1544" t="str">
            <v>格好いい</v>
          </cell>
          <cell r="G1544" t="str">
            <v>女性</v>
          </cell>
          <cell r="H1544" t="str">
            <v>red</v>
          </cell>
          <cell r="I1544">
            <v>6</v>
          </cell>
          <cell r="J1544" t="str">
            <v>DropWizS</v>
          </cell>
          <cell r="K1544" t="str">
            <v>attack</v>
          </cell>
          <cell r="L1544" t="str">
            <v>攻撃タイプ</v>
          </cell>
          <cell r="M1544" t="str">
            <v>human</v>
          </cell>
          <cell r="N1544" t="str">
            <v>ヒューマン</v>
          </cell>
          <cell r="O1544" t="str">
            <v>machine</v>
          </cell>
          <cell r="P1544" t="str">
            <v>マシン</v>
          </cell>
          <cell r="Q1544" t="str">
            <v>アタッカー</v>
          </cell>
          <cell r="R1544">
            <v>1</v>
          </cell>
          <cell r="S1544" t="str">
            <v>NULL</v>
          </cell>
          <cell r="T1544" t="str">
            <v>normal</v>
          </cell>
          <cell r="U1544" t="str">
            <v>NULL</v>
          </cell>
          <cell r="V1544" t="str">
            <v>NULL</v>
          </cell>
          <cell r="W1544" t="str">
            <v>NULL</v>
          </cell>
        </row>
        <row r="1545">
          <cell r="A1545">
            <v>8039</v>
          </cell>
          <cell r="B1545" t="str">
            <v>ja</v>
          </cell>
          <cell r="C1545" t="str">
            <v>何仙姑</v>
          </cell>
          <cell r="D1545" t="str">
            <v>Expoミク</v>
          </cell>
          <cell r="E1545" t="str">
            <v>執行者</v>
          </cell>
          <cell r="F1545" t="str">
            <v>格好いい</v>
          </cell>
          <cell r="G1545" t="str">
            <v>女性</v>
          </cell>
          <cell r="H1545" t="str">
            <v>yellow</v>
          </cell>
          <cell r="I1545">
            <v>5</v>
          </cell>
          <cell r="J1545" t="str">
            <v>PremiumSSw</v>
          </cell>
          <cell r="K1545" t="str">
            <v>hp</v>
          </cell>
          <cell r="L1545" t="str">
            <v>体力タイプ</v>
          </cell>
          <cell r="M1545" t="str">
            <v>god</v>
          </cell>
          <cell r="N1545" t="str">
            <v>ゴッド</v>
          </cell>
          <cell r="O1545" t="str">
            <v>none</v>
          </cell>
          <cell r="P1545" t="str">
            <v>種族なし</v>
          </cell>
          <cell r="Q1545" t="str">
            <v>アタッカー</v>
          </cell>
          <cell r="R1545">
            <v>1</v>
          </cell>
          <cell r="S1545" t="str">
            <v>NULL</v>
          </cell>
          <cell r="T1545" t="str">
            <v>normal</v>
          </cell>
          <cell r="U1545" t="str">
            <v>NULL</v>
          </cell>
          <cell r="V1545" t="str">
            <v>NULL</v>
          </cell>
          <cell r="W1545" t="str">
            <v>NULL</v>
          </cell>
        </row>
        <row r="1546">
          <cell r="A1546">
            <v>8040</v>
          </cell>
          <cell r="B1546" t="str">
            <v>ja</v>
          </cell>
          <cell r="C1546" t="str">
            <v>レア６何仙姑</v>
          </cell>
          <cell r="D1546" t="str">
            <v>Expoミク</v>
          </cell>
          <cell r="E1546" t="str">
            <v>執行者</v>
          </cell>
          <cell r="F1546" t="str">
            <v>格好いい</v>
          </cell>
          <cell r="G1546" t="str">
            <v>女性</v>
          </cell>
          <cell r="H1546" t="str">
            <v>yellow</v>
          </cell>
          <cell r="I1546">
            <v>6</v>
          </cell>
          <cell r="J1546" t="str">
            <v>PremiumSSw</v>
          </cell>
          <cell r="K1546" t="str">
            <v>hp</v>
          </cell>
          <cell r="L1546" t="str">
            <v>体力タイプ</v>
          </cell>
          <cell r="M1546" t="str">
            <v>god</v>
          </cell>
          <cell r="N1546" t="str">
            <v>ゴッド</v>
          </cell>
          <cell r="O1546" t="str">
            <v>none</v>
          </cell>
          <cell r="P1546" t="str">
            <v>種族なし</v>
          </cell>
          <cell r="Q1546" t="str">
            <v>アタッカー</v>
          </cell>
          <cell r="R1546">
            <v>1</v>
          </cell>
          <cell r="S1546" t="str">
            <v>NULL</v>
          </cell>
          <cell r="T1546" t="str">
            <v>normal</v>
          </cell>
          <cell r="U1546" t="str">
            <v>NULL</v>
          </cell>
          <cell r="V1546" t="str">
            <v>NULL</v>
          </cell>
          <cell r="W1546" t="str">
            <v>NULL</v>
          </cell>
        </row>
        <row r="1547">
          <cell r="A1547">
            <v>8041</v>
          </cell>
          <cell r="B1547" t="str">
            <v>ja</v>
          </cell>
          <cell r="C1547" t="str">
            <v>藍采和</v>
          </cell>
          <cell r="D1547" t="str">
            <v>Expoミク</v>
          </cell>
          <cell r="E1547" t="str">
            <v>執行者</v>
          </cell>
          <cell r="F1547" t="str">
            <v>格好いい</v>
          </cell>
          <cell r="G1547" t="str">
            <v>女性</v>
          </cell>
          <cell r="H1547" t="str">
            <v>blue</v>
          </cell>
          <cell r="I1547">
            <v>5</v>
          </cell>
          <cell r="J1547" t="str">
            <v>DropWizS</v>
          </cell>
          <cell r="K1547" t="str">
            <v>balance</v>
          </cell>
          <cell r="L1547" t="str">
            <v>バランスタイプ</v>
          </cell>
          <cell r="M1547" t="str">
            <v>god</v>
          </cell>
          <cell r="N1547" t="str">
            <v>ゴッド</v>
          </cell>
          <cell r="O1547" t="str">
            <v>none</v>
          </cell>
          <cell r="P1547" t="str">
            <v>種族なし</v>
          </cell>
          <cell r="Q1547" t="str">
            <v>アタッカー</v>
          </cell>
          <cell r="R1547">
            <v>1</v>
          </cell>
          <cell r="S1547" t="str">
            <v>NULL</v>
          </cell>
          <cell r="T1547" t="str">
            <v>normal</v>
          </cell>
          <cell r="U1547" t="str">
            <v>NULL</v>
          </cell>
          <cell r="V1547" t="str">
            <v>NULL</v>
          </cell>
          <cell r="W1547" t="str">
            <v>NULL</v>
          </cell>
        </row>
        <row r="1548">
          <cell r="A1548">
            <v>8042</v>
          </cell>
          <cell r="B1548" t="str">
            <v>ja</v>
          </cell>
          <cell r="C1548" t="str">
            <v>レア６藍采和</v>
          </cell>
          <cell r="D1548" t="str">
            <v>Expoミク</v>
          </cell>
          <cell r="E1548" t="str">
            <v>執行者</v>
          </cell>
          <cell r="F1548" t="str">
            <v>格好いい</v>
          </cell>
          <cell r="G1548" t="str">
            <v>女性</v>
          </cell>
          <cell r="H1548" t="str">
            <v>blue</v>
          </cell>
          <cell r="I1548">
            <v>6</v>
          </cell>
          <cell r="J1548" t="str">
            <v>DropWizS</v>
          </cell>
          <cell r="K1548" t="str">
            <v>balance</v>
          </cell>
          <cell r="L1548" t="str">
            <v>バランスタイプ</v>
          </cell>
          <cell r="M1548" t="str">
            <v>god</v>
          </cell>
          <cell r="N1548" t="str">
            <v>ゴッド</v>
          </cell>
          <cell r="O1548" t="str">
            <v>none</v>
          </cell>
          <cell r="P1548" t="str">
            <v>種族なし</v>
          </cell>
          <cell r="Q1548" t="str">
            <v>アタッカー</v>
          </cell>
          <cell r="R1548">
            <v>1</v>
          </cell>
          <cell r="S1548" t="str">
            <v>NULL</v>
          </cell>
          <cell r="T1548" t="str">
            <v>normal</v>
          </cell>
          <cell r="U1548" t="str">
            <v>NULL</v>
          </cell>
          <cell r="V1548" t="str">
            <v>NULL</v>
          </cell>
          <cell r="W1548" t="str">
            <v>NULL</v>
          </cell>
        </row>
        <row r="1549">
          <cell r="A1549">
            <v>8043</v>
          </cell>
          <cell r="B1549" t="str">
            <v>ja</v>
          </cell>
          <cell r="C1549" t="str">
            <v>サンリオキャラ大集合+アザゼル</v>
          </cell>
          <cell r="D1549" t="str">
            <v>サンリオキャラ大集合+アザゼル</v>
          </cell>
          <cell r="E1549" t="str">
            <v>執行者</v>
          </cell>
          <cell r="F1549" t="str">
            <v>格好いい</v>
          </cell>
          <cell r="G1549" t="str">
            <v>女性</v>
          </cell>
          <cell r="H1549" t="str">
            <v>green</v>
          </cell>
          <cell r="I1549">
            <v>5</v>
          </cell>
          <cell r="J1549" t="str">
            <v>DropWizS</v>
          </cell>
          <cell r="K1549" t="str">
            <v>technical</v>
          </cell>
          <cell r="L1549" t="str">
            <v>テクニカルタイプ</v>
          </cell>
          <cell r="M1549" t="str">
            <v>ss</v>
          </cell>
          <cell r="N1549" t="str">
            <v>サンリオキャラクターズ</v>
          </cell>
          <cell r="O1549" t="str">
            <v>none</v>
          </cell>
          <cell r="P1549" t="str">
            <v>種族なし</v>
          </cell>
          <cell r="Q1549" t="str">
            <v>アタッカー</v>
          </cell>
          <cell r="R1549">
            <v>1</v>
          </cell>
          <cell r="S1549" t="str">
            <v>NULL</v>
          </cell>
          <cell r="T1549" t="str">
            <v>normal</v>
          </cell>
          <cell r="U1549" t="str">
            <v>NULL</v>
          </cell>
          <cell r="V1549" t="str">
            <v>NULL</v>
          </cell>
          <cell r="W1549" t="str">
            <v>NULL</v>
          </cell>
        </row>
        <row r="1550">
          <cell r="A1550">
            <v>8044</v>
          </cell>
          <cell r="B1550" t="str">
            <v>ja</v>
          </cell>
          <cell r="C1550" t="str">
            <v>サンリオキャラ大集合+アザゼル</v>
          </cell>
          <cell r="D1550" t="str">
            <v>サンリオキャラ大集合+アザゼル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green</v>
          </cell>
          <cell r="I1550">
            <v>6</v>
          </cell>
          <cell r="J1550" t="str">
            <v>DropWizS</v>
          </cell>
          <cell r="K1550" t="str">
            <v>technical</v>
          </cell>
          <cell r="L1550" t="str">
            <v>テクニカルタイプ</v>
          </cell>
          <cell r="M1550" t="str">
            <v>ss</v>
          </cell>
          <cell r="N1550" t="str">
            <v>サンリオキャラクターズ</v>
          </cell>
          <cell r="O1550" t="str">
            <v>none</v>
          </cell>
          <cell r="P1550" t="str">
            <v>種族なし</v>
          </cell>
          <cell r="Q1550" t="str">
            <v>アタッカー</v>
          </cell>
          <cell r="R1550">
            <v>1</v>
          </cell>
          <cell r="S1550" t="str">
            <v>NULL</v>
          </cell>
          <cell r="T1550" t="str">
            <v>normal</v>
          </cell>
          <cell r="U1550" t="str">
            <v>NULL</v>
          </cell>
          <cell r="V1550" t="str">
            <v>NULL</v>
          </cell>
          <cell r="W1550" t="str">
            <v>NULL</v>
          </cell>
        </row>
        <row r="1551">
          <cell r="A1551">
            <v>8045</v>
          </cell>
          <cell r="B1551" t="str">
            <v>ja</v>
          </cell>
          <cell r="C1551" t="str">
            <v>ニムダ_サンリオキャラ混じり</v>
          </cell>
          <cell r="D1551" t="str">
            <v>ニムダ_サンリオキャラ混じり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yellow</v>
          </cell>
          <cell r="I1551">
            <v>4</v>
          </cell>
          <cell r="J1551" t="str">
            <v>Drop2N</v>
          </cell>
          <cell r="K1551" t="str">
            <v>technical</v>
          </cell>
          <cell r="L1551" t="str">
            <v>テクニカルタイプ</v>
          </cell>
          <cell r="M1551" t="str">
            <v>ss</v>
          </cell>
          <cell r="N1551" t="str">
            <v>サンリオキャラクターズ</v>
          </cell>
          <cell r="O1551" t="str">
            <v>none</v>
          </cell>
          <cell r="P1551" t="str">
            <v>種族なし</v>
          </cell>
          <cell r="Q1551" t="str">
            <v>アタッカー</v>
          </cell>
          <cell r="R1551">
            <v>1</v>
          </cell>
          <cell r="S1551" t="str">
            <v>NULL</v>
          </cell>
          <cell r="T1551" t="str">
            <v>normal</v>
          </cell>
          <cell r="U1551" t="str">
            <v>NULL</v>
          </cell>
          <cell r="V1551" t="str">
            <v>NULL</v>
          </cell>
          <cell r="W1551" t="str">
            <v>NULL</v>
          </cell>
        </row>
        <row r="1552">
          <cell r="A1552">
            <v>8046</v>
          </cell>
          <cell r="B1552" t="str">
            <v>ja</v>
          </cell>
          <cell r="C1552" t="str">
            <v>ニムダ_サンリオキャラ混じり</v>
          </cell>
          <cell r="D1552" t="str">
            <v>ニムダ_サンリオキャラ混じり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yellow</v>
          </cell>
          <cell r="I1552">
            <v>5</v>
          </cell>
          <cell r="J1552" t="str">
            <v>Drop2N</v>
          </cell>
          <cell r="K1552" t="str">
            <v>technical</v>
          </cell>
          <cell r="L1552" t="str">
            <v>テクニカルタイプ</v>
          </cell>
          <cell r="M1552" t="str">
            <v>ss</v>
          </cell>
          <cell r="N1552" t="str">
            <v>サンリオキャラクターズ</v>
          </cell>
          <cell r="O1552" t="str">
            <v>none</v>
          </cell>
          <cell r="P1552" t="str">
            <v>種族なし</v>
          </cell>
          <cell r="Q1552" t="str">
            <v>アタッカー</v>
          </cell>
          <cell r="R1552">
            <v>1</v>
          </cell>
          <cell r="S1552" t="str">
            <v>NULL</v>
          </cell>
          <cell r="T1552" t="str">
            <v>normal</v>
          </cell>
          <cell r="U1552" t="str">
            <v>NULL</v>
          </cell>
          <cell r="V1552" t="str">
            <v>NULL</v>
          </cell>
          <cell r="W1552" t="str">
            <v>NULL</v>
          </cell>
        </row>
        <row r="1553">
          <cell r="A1553">
            <v>8047</v>
          </cell>
          <cell r="B1553" t="str">
            <v>ja</v>
          </cell>
          <cell r="C1553" t="str">
            <v>ハローキティ</v>
          </cell>
          <cell r="D1553" t="str">
            <v>ハローキティ</v>
          </cell>
          <cell r="E1553" t="str">
            <v>執行者</v>
          </cell>
          <cell r="F1553" t="str">
            <v>格好いい</v>
          </cell>
          <cell r="G1553" t="str">
            <v>女性</v>
          </cell>
          <cell r="H1553" t="str">
            <v>red</v>
          </cell>
          <cell r="I1553">
            <v>4</v>
          </cell>
          <cell r="J1553" t="str">
            <v>Drop2N</v>
          </cell>
          <cell r="K1553" t="str">
            <v>balance</v>
          </cell>
          <cell r="L1553" t="str">
            <v>バランスタイプ</v>
          </cell>
          <cell r="M1553" t="str">
            <v>ss</v>
          </cell>
          <cell r="N1553" t="str">
            <v>サンリオキャラクターズ</v>
          </cell>
          <cell r="O1553" t="str">
            <v>none</v>
          </cell>
          <cell r="P1553" t="str">
            <v>種族なし</v>
          </cell>
          <cell r="Q1553" t="str">
            <v>アタッカー</v>
          </cell>
          <cell r="R1553">
            <v>1</v>
          </cell>
          <cell r="S1553" t="str">
            <v>NULL</v>
          </cell>
          <cell r="T1553" t="str">
            <v>normal</v>
          </cell>
          <cell r="U1553" t="str">
            <v>NULL</v>
          </cell>
          <cell r="V1553" t="str">
            <v>NULL</v>
          </cell>
          <cell r="W1553" t="str">
            <v>NULL</v>
          </cell>
        </row>
        <row r="1554">
          <cell r="A1554">
            <v>8048</v>
          </cell>
          <cell r="B1554" t="str">
            <v>ja</v>
          </cell>
          <cell r="C1554" t="str">
            <v>ハローキティ</v>
          </cell>
          <cell r="D1554" t="str">
            <v>ハローキティ</v>
          </cell>
          <cell r="E1554" t="str">
            <v>執行者</v>
          </cell>
          <cell r="F1554" t="str">
            <v>格好いい</v>
          </cell>
          <cell r="G1554" t="str">
            <v>女性</v>
          </cell>
          <cell r="H1554" t="str">
            <v>red</v>
          </cell>
          <cell r="I1554">
            <v>5</v>
          </cell>
          <cell r="J1554" t="str">
            <v>Drop2N</v>
          </cell>
          <cell r="K1554" t="str">
            <v>balance</v>
          </cell>
          <cell r="L1554" t="str">
            <v>バランスタイプ</v>
          </cell>
          <cell r="M1554" t="str">
            <v>ss</v>
          </cell>
          <cell r="N1554" t="str">
            <v>サンリオキャラクターズ</v>
          </cell>
          <cell r="O1554" t="str">
            <v>none</v>
          </cell>
          <cell r="P1554" t="str">
            <v>種族なし</v>
          </cell>
          <cell r="Q1554" t="str">
            <v>アタッカー</v>
          </cell>
          <cell r="R1554">
            <v>1</v>
          </cell>
          <cell r="S1554" t="str">
            <v>NULL</v>
          </cell>
          <cell r="T1554" t="str">
            <v>normal</v>
          </cell>
          <cell r="U1554" t="str">
            <v>NULL</v>
          </cell>
          <cell r="V1554" t="str">
            <v>NULL</v>
          </cell>
          <cell r="W1554" t="str">
            <v>NULL</v>
          </cell>
        </row>
        <row r="1555">
          <cell r="A1555">
            <v>8049</v>
          </cell>
          <cell r="B1555" t="str">
            <v>ja</v>
          </cell>
          <cell r="C1555" t="str">
            <v>KIRIMIちゃん</v>
          </cell>
          <cell r="D1555" t="str">
            <v>KIRIMIちゃん</v>
          </cell>
          <cell r="E1555" t="str">
            <v>執行者</v>
          </cell>
          <cell r="F1555" t="str">
            <v>格好いい</v>
          </cell>
          <cell r="G1555" t="str">
            <v>女性</v>
          </cell>
          <cell r="H1555" t="str">
            <v>red</v>
          </cell>
          <cell r="I1555">
            <v>4</v>
          </cell>
          <cell r="J1555" t="str">
            <v>Drop2N</v>
          </cell>
          <cell r="K1555" t="str">
            <v>hp</v>
          </cell>
          <cell r="L1555" t="str">
            <v>体力タイプ</v>
          </cell>
          <cell r="M1555" t="str">
            <v>ss</v>
          </cell>
          <cell r="N1555" t="str">
            <v>サンリオキャラクターズ</v>
          </cell>
          <cell r="O1555" t="str">
            <v>none</v>
          </cell>
          <cell r="P1555" t="str">
            <v>種族なし</v>
          </cell>
          <cell r="Q1555" t="str">
            <v>アタッカー</v>
          </cell>
          <cell r="R1555">
            <v>1</v>
          </cell>
          <cell r="S1555" t="str">
            <v>NULL</v>
          </cell>
          <cell r="T1555" t="str">
            <v>normal</v>
          </cell>
          <cell r="U1555" t="str">
            <v>NULL</v>
          </cell>
          <cell r="V1555" t="str">
            <v>NULL</v>
          </cell>
          <cell r="W1555" t="str">
            <v>NULL</v>
          </cell>
        </row>
        <row r="1556">
          <cell r="A1556">
            <v>8050</v>
          </cell>
          <cell r="B1556" t="str">
            <v>ja</v>
          </cell>
          <cell r="C1556" t="str">
            <v>KIRIMIちゃん</v>
          </cell>
          <cell r="D1556" t="str">
            <v>KIRIMIちゃん</v>
          </cell>
          <cell r="E1556" t="str">
            <v>執行者</v>
          </cell>
          <cell r="F1556" t="str">
            <v>格好いい</v>
          </cell>
          <cell r="G1556" t="str">
            <v>女性</v>
          </cell>
          <cell r="H1556" t="str">
            <v>red</v>
          </cell>
          <cell r="I1556">
            <v>5</v>
          </cell>
          <cell r="J1556" t="str">
            <v>Drop2N</v>
          </cell>
          <cell r="K1556" t="str">
            <v>hp</v>
          </cell>
          <cell r="L1556" t="str">
            <v>体力タイプ</v>
          </cell>
          <cell r="M1556" t="str">
            <v>ss</v>
          </cell>
          <cell r="N1556" t="str">
            <v>サンリオキャラクターズ</v>
          </cell>
          <cell r="O1556" t="str">
            <v>none</v>
          </cell>
          <cell r="P1556" t="str">
            <v>種族なし</v>
          </cell>
          <cell r="Q1556" t="str">
            <v>アタッカー</v>
          </cell>
          <cell r="R1556">
            <v>1</v>
          </cell>
          <cell r="S1556" t="str">
            <v>NULL</v>
          </cell>
          <cell r="T1556" t="str">
            <v>normal</v>
          </cell>
          <cell r="U1556" t="str">
            <v>NULL</v>
          </cell>
          <cell r="V1556" t="str">
            <v>NULL</v>
          </cell>
          <cell r="W1556" t="str">
            <v>NULL</v>
          </cell>
        </row>
        <row r="1557">
          <cell r="A1557">
            <v>8051</v>
          </cell>
          <cell r="B1557" t="str">
            <v>ja</v>
          </cell>
          <cell r="C1557" t="str">
            <v>ハローキティのリボン</v>
          </cell>
          <cell r="D1557" t="str">
            <v>ハローキティのリボン</v>
          </cell>
          <cell r="E1557" t="str">
            <v>執行者</v>
          </cell>
          <cell r="F1557" t="str">
            <v>格好いい</v>
          </cell>
          <cell r="G1557" t="str">
            <v>女性</v>
          </cell>
          <cell r="H1557" t="str">
            <v>red</v>
          </cell>
          <cell r="I1557">
            <v>5</v>
          </cell>
          <cell r="J1557" t="str">
            <v>Drop2N</v>
          </cell>
          <cell r="K1557" t="str">
            <v>evolution</v>
          </cell>
          <cell r="L1557" t="str">
            <v>覚醒素材タイプ</v>
          </cell>
          <cell r="M1557" t="str">
            <v>ss</v>
          </cell>
          <cell r="N1557" t="str">
            <v>サンリオキャラクターズ</v>
          </cell>
          <cell r="O1557" t="str">
            <v>none</v>
          </cell>
          <cell r="P1557" t="str">
            <v>種族なし</v>
          </cell>
          <cell r="Q1557" t="str">
            <v>アタッカー</v>
          </cell>
          <cell r="R1557">
            <v>1</v>
          </cell>
          <cell r="S1557" t="str">
            <v>NULL</v>
          </cell>
          <cell r="T1557" t="str">
            <v>normal</v>
          </cell>
          <cell r="U1557" t="str">
            <v>NULL</v>
          </cell>
          <cell r="V1557" t="str">
            <v>NULL</v>
          </cell>
          <cell r="W1557" t="str">
            <v>NULL</v>
          </cell>
        </row>
        <row r="1558">
          <cell r="A1558">
            <v>8052</v>
          </cell>
          <cell r="B1558" t="str">
            <v>ja</v>
          </cell>
          <cell r="C1558" t="str">
            <v>ママの作ったアップルパイ</v>
          </cell>
          <cell r="D1558" t="str">
            <v>ママの作ったアップルパイ</v>
          </cell>
          <cell r="E1558" t="str">
            <v>執行者</v>
          </cell>
          <cell r="F1558" t="str">
            <v>格好いい</v>
          </cell>
          <cell r="G1558" t="str">
            <v>女性</v>
          </cell>
          <cell r="H1558" t="str">
            <v>red</v>
          </cell>
          <cell r="I1558">
            <v>4</v>
          </cell>
          <cell r="J1558" t="str">
            <v>Drop2N</v>
          </cell>
          <cell r="K1558" t="str">
            <v>evolution</v>
          </cell>
          <cell r="L1558" t="str">
            <v>覚醒素材タイプ</v>
          </cell>
          <cell r="M1558" t="str">
            <v>ss</v>
          </cell>
          <cell r="N1558" t="str">
            <v>サンリオキャラクターズ</v>
          </cell>
          <cell r="O1558" t="str">
            <v>none</v>
          </cell>
          <cell r="P1558" t="str">
            <v>種族なし</v>
          </cell>
          <cell r="Q1558" t="str">
            <v>アタッカー</v>
          </cell>
          <cell r="R1558">
            <v>1</v>
          </cell>
          <cell r="S1558" t="str">
            <v>NULL</v>
          </cell>
          <cell r="T1558" t="str">
            <v>normal</v>
          </cell>
          <cell r="U1558" t="str">
            <v>NULL</v>
          </cell>
          <cell r="V1558" t="str">
            <v>NULL</v>
          </cell>
          <cell r="W1558" t="str">
            <v>NULL</v>
          </cell>
        </row>
        <row r="1559">
          <cell r="A1559">
            <v>8053</v>
          </cell>
          <cell r="B1559" t="str">
            <v>ja</v>
          </cell>
          <cell r="C1559" t="str">
            <v>D.R.T.H__キティコスプレ</v>
          </cell>
          <cell r="D1559" t="str">
            <v>D.R.T.H__キティコスプレ</v>
          </cell>
          <cell r="E1559" t="str">
            <v>執行者</v>
          </cell>
          <cell r="F1559" t="str">
            <v>格好いい</v>
          </cell>
          <cell r="G1559" t="str">
            <v>女性</v>
          </cell>
          <cell r="H1559" t="str">
            <v>red</v>
          </cell>
          <cell r="I1559">
            <v>5</v>
          </cell>
          <cell r="J1559" t="str">
            <v>PremiumSS</v>
          </cell>
          <cell r="K1559" t="str">
            <v>balance</v>
          </cell>
          <cell r="L1559" t="str">
            <v>バランスタイプ</v>
          </cell>
          <cell r="M1559" t="str">
            <v>ss</v>
          </cell>
          <cell r="N1559" t="str">
            <v>サンリオキャラクターズ</v>
          </cell>
          <cell r="O1559" t="str">
            <v>none</v>
          </cell>
          <cell r="P1559" t="str">
            <v>種族なし</v>
          </cell>
          <cell r="Q1559" t="str">
            <v>アタッカー</v>
          </cell>
          <cell r="R1559">
            <v>1</v>
          </cell>
          <cell r="S1559" t="str">
            <v>NULL</v>
          </cell>
          <cell r="T1559" t="str">
            <v>normal</v>
          </cell>
          <cell r="U1559" t="str">
            <v>NULL</v>
          </cell>
          <cell r="V1559" t="str">
            <v>NULL</v>
          </cell>
          <cell r="W1559" t="str">
            <v>NULL</v>
          </cell>
        </row>
        <row r="1560">
          <cell r="A1560">
            <v>8054</v>
          </cell>
          <cell r="B1560" t="str">
            <v>ja</v>
          </cell>
          <cell r="C1560" t="str">
            <v>D.R.T.H__キティコスプレ</v>
          </cell>
          <cell r="D1560" t="str">
            <v>D.R.T.H__キティコスプレ</v>
          </cell>
          <cell r="E1560" t="str">
            <v>執行者</v>
          </cell>
          <cell r="F1560" t="str">
            <v>格好いい</v>
          </cell>
          <cell r="G1560" t="str">
            <v>女性</v>
          </cell>
          <cell r="H1560" t="str">
            <v>red</v>
          </cell>
          <cell r="I1560">
            <v>6</v>
          </cell>
          <cell r="J1560" t="str">
            <v>PremiumSS</v>
          </cell>
          <cell r="K1560" t="str">
            <v>balance</v>
          </cell>
          <cell r="L1560" t="str">
            <v>バランスタイプ</v>
          </cell>
          <cell r="M1560" t="str">
            <v>ss</v>
          </cell>
          <cell r="N1560" t="str">
            <v>サンリオキャラクターズ</v>
          </cell>
          <cell r="O1560" t="str">
            <v>none</v>
          </cell>
          <cell r="P1560" t="str">
            <v>種族なし</v>
          </cell>
          <cell r="Q1560" t="str">
            <v>アタッカー</v>
          </cell>
          <cell r="R1560">
            <v>1</v>
          </cell>
          <cell r="S1560" t="str">
            <v>NULL</v>
          </cell>
          <cell r="T1560" t="str">
            <v>normal</v>
          </cell>
          <cell r="U1560" t="str">
            <v>NULL</v>
          </cell>
          <cell r="V1560" t="str">
            <v>NULL</v>
          </cell>
          <cell r="W1560" t="str">
            <v>NULL</v>
          </cell>
        </row>
        <row r="1561">
          <cell r="A1561">
            <v>8055</v>
          </cell>
          <cell r="B1561" t="str">
            <v>ja</v>
          </cell>
          <cell r="C1561" t="str">
            <v>マイメロディ</v>
          </cell>
          <cell r="D1561" t="str">
            <v>マイメロディ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red</v>
          </cell>
          <cell r="I1561">
            <v>4</v>
          </cell>
          <cell r="J1561" t="str">
            <v>PremiumS</v>
          </cell>
          <cell r="K1561" t="str">
            <v>attack</v>
          </cell>
          <cell r="L1561" t="str">
            <v>攻撃タイプ</v>
          </cell>
          <cell r="M1561" t="str">
            <v>ss</v>
          </cell>
          <cell r="N1561" t="str">
            <v>サンリオキャラクターズ</v>
          </cell>
          <cell r="O1561" t="str">
            <v>none</v>
          </cell>
          <cell r="P1561" t="str">
            <v>種族なし</v>
          </cell>
          <cell r="Q1561" t="str">
            <v>アタッカー</v>
          </cell>
          <cell r="R1561">
            <v>1</v>
          </cell>
          <cell r="S1561" t="str">
            <v>NULL</v>
          </cell>
          <cell r="T1561" t="str">
            <v>normal</v>
          </cell>
          <cell r="U1561" t="str">
            <v>NULL</v>
          </cell>
          <cell r="V1561" t="str">
            <v>NULL</v>
          </cell>
          <cell r="W1561" t="str">
            <v>NULL</v>
          </cell>
        </row>
        <row r="1562">
          <cell r="A1562">
            <v>8056</v>
          </cell>
          <cell r="B1562" t="str">
            <v>ja</v>
          </cell>
          <cell r="C1562" t="str">
            <v>マイメロディ</v>
          </cell>
          <cell r="D1562" t="str">
            <v>マイメロディ</v>
          </cell>
          <cell r="E1562" t="str">
            <v>執行者</v>
          </cell>
          <cell r="F1562" t="str">
            <v>格好いい</v>
          </cell>
          <cell r="G1562" t="str">
            <v>女性</v>
          </cell>
          <cell r="H1562" t="str">
            <v>red</v>
          </cell>
          <cell r="I1562">
            <v>5</v>
          </cell>
          <cell r="J1562" t="str">
            <v>PremiumS</v>
          </cell>
          <cell r="K1562" t="str">
            <v>attack</v>
          </cell>
          <cell r="L1562" t="str">
            <v>攻撃タイプ</v>
          </cell>
          <cell r="M1562" t="str">
            <v>ss</v>
          </cell>
          <cell r="N1562" t="str">
            <v>サンリオキャラクターズ</v>
          </cell>
          <cell r="O1562" t="str">
            <v>none</v>
          </cell>
          <cell r="P1562" t="str">
            <v>種族なし</v>
          </cell>
          <cell r="Q1562" t="str">
            <v>アタッカー</v>
          </cell>
          <cell r="R1562">
            <v>1</v>
          </cell>
          <cell r="S1562" t="str">
            <v>NULL</v>
          </cell>
          <cell r="T1562" t="str">
            <v>normal</v>
          </cell>
          <cell r="U1562" t="str">
            <v>NULL</v>
          </cell>
          <cell r="V1562" t="str">
            <v>NULL</v>
          </cell>
          <cell r="W1562" t="str">
            <v>NULL</v>
          </cell>
        </row>
        <row r="1563">
          <cell r="A1563">
            <v>8057</v>
          </cell>
          <cell r="B1563" t="str">
            <v>ja</v>
          </cell>
          <cell r="C1563" t="str">
            <v>ニーベルゲン_シナモロールコスプレ</v>
          </cell>
          <cell r="D1563" t="str">
            <v>ニーベルゲン_シナモロールコスプレ</v>
          </cell>
          <cell r="E1563" t="str">
            <v>執行者</v>
          </cell>
          <cell r="F1563" t="str">
            <v>格好いい</v>
          </cell>
          <cell r="G1563" t="str">
            <v>女性</v>
          </cell>
          <cell r="H1563" t="str">
            <v>green</v>
          </cell>
          <cell r="I1563">
            <v>4</v>
          </cell>
          <cell r="J1563" t="str">
            <v>PremiumS</v>
          </cell>
          <cell r="K1563" t="str">
            <v>balance</v>
          </cell>
          <cell r="L1563" t="str">
            <v>バランスタイプ</v>
          </cell>
          <cell r="M1563" t="str">
            <v>ss</v>
          </cell>
          <cell r="N1563" t="str">
            <v>サンリオキャラクターズ</v>
          </cell>
          <cell r="O1563" t="str">
            <v>none</v>
          </cell>
          <cell r="P1563" t="str">
            <v>種族なし</v>
          </cell>
          <cell r="Q1563" t="str">
            <v>アタッカー</v>
          </cell>
          <cell r="R1563">
            <v>1</v>
          </cell>
          <cell r="S1563" t="str">
            <v>NULL</v>
          </cell>
          <cell r="T1563" t="str">
            <v>normal</v>
          </cell>
          <cell r="U1563" t="str">
            <v>NULL</v>
          </cell>
          <cell r="V1563" t="str">
            <v>NULL</v>
          </cell>
          <cell r="W1563" t="str">
            <v>NULL</v>
          </cell>
        </row>
        <row r="1564">
          <cell r="A1564">
            <v>8058</v>
          </cell>
          <cell r="B1564" t="str">
            <v>ja</v>
          </cell>
          <cell r="C1564" t="str">
            <v>ニーベルゲン_シナモロールコスプレ</v>
          </cell>
          <cell r="D1564" t="str">
            <v>ニーベルゲン_シナモロールコスプレ</v>
          </cell>
          <cell r="E1564" t="str">
            <v>執行者</v>
          </cell>
          <cell r="F1564" t="str">
            <v>格好いい</v>
          </cell>
          <cell r="G1564" t="str">
            <v>女性</v>
          </cell>
          <cell r="H1564" t="str">
            <v>green</v>
          </cell>
          <cell r="I1564">
            <v>5</v>
          </cell>
          <cell r="J1564" t="str">
            <v>PremiumS</v>
          </cell>
          <cell r="K1564" t="str">
            <v>balance</v>
          </cell>
          <cell r="L1564" t="str">
            <v>バランスタイプ</v>
          </cell>
          <cell r="M1564" t="str">
            <v>ss</v>
          </cell>
          <cell r="N1564" t="str">
            <v>サンリオキャラクターズ</v>
          </cell>
          <cell r="O1564" t="str">
            <v>none</v>
          </cell>
          <cell r="P1564" t="str">
            <v>種族なし</v>
          </cell>
          <cell r="Q1564" t="str">
            <v>アタッカー</v>
          </cell>
          <cell r="R1564">
            <v>1</v>
          </cell>
          <cell r="S1564" t="str">
            <v>NULL</v>
          </cell>
          <cell r="T1564" t="str">
            <v>normal</v>
          </cell>
          <cell r="U1564" t="str">
            <v>NULL</v>
          </cell>
          <cell r="V1564" t="str">
            <v>NULL</v>
          </cell>
          <cell r="W1564" t="str">
            <v>NULL</v>
          </cell>
        </row>
        <row r="1565">
          <cell r="A1565">
            <v>8059</v>
          </cell>
          <cell r="B1565" t="str">
            <v>ja</v>
          </cell>
          <cell r="C1565" t="str">
            <v>カカシ_マイメロディコスプレ</v>
          </cell>
          <cell r="D1565" t="str">
            <v>カカシ_マイメロディコスプレ</v>
          </cell>
          <cell r="E1565" t="str">
            <v>執行者</v>
          </cell>
          <cell r="F1565" t="str">
            <v>格好いい</v>
          </cell>
          <cell r="G1565" t="str">
            <v>女性</v>
          </cell>
          <cell r="H1565" t="str">
            <v>green</v>
          </cell>
          <cell r="I1565">
            <v>4</v>
          </cell>
          <cell r="J1565" t="str">
            <v>PremiumS</v>
          </cell>
          <cell r="K1565" t="str">
            <v>technical</v>
          </cell>
          <cell r="L1565" t="str">
            <v>テクニカルタイプ</v>
          </cell>
          <cell r="M1565" t="str">
            <v>ss</v>
          </cell>
          <cell r="N1565" t="str">
            <v>サンリオキャラクターズ</v>
          </cell>
          <cell r="O1565" t="str">
            <v>none</v>
          </cell>
          <cell r="P1565" t="str">
            <v>種族なし</v>
          </cell>
          <cell r="Q1565" t="str">
            <v>アタッカー</v>
          </cell>
          <cell r="R1565">
            <v>1</v>
          </cell>
          <cell r="S1565" t="str">
            <v>NULL</v>
          </cell>
          <cell r="T1565" t="str">
            <v>normal</v>
          </cell>
          <cell r="U1565" t="str">
            <v>NULL</v>
          </cell>
          <cell r="V1565" t="str">
            <v>NULL</v>
          </cell>
          <cell r="W1565" t="str">
            <v>NULL</v>
          </cell>
        </row>
        <row r="1566">
          <cell r="A1566">
            <v>8060</v>
          </cell>
          <cell r="B1566" t="str">
            <v>ja</v>
          </cell>
          <cell r="C1566" t="str">
            <v>カカシ_マイメロディコスプレ</v>
          </cell>
          <cell r="D1566" t="str">
            <v>カカシ_マイメロディコスプレ</v>
          </cell>
          <cell r="E1566" t="str">
            <v>執行者</v>
          </cell>
          <cell r="F1566" t="str">
            <v>格好いい</v>
          </cell>
          <cell r="G1566" t="str">
            <v>女性</v>
          </cell>
          <cell r="H1566" t="str">
            <v>green</v>
          </cell>
          <cell r="I1566">
            <v>5</v>
          </cell>
          <cell r="J1566" t="str">
            <v>PremiumS</v>
          </cell>
          <cell r="K1566" t="str">
            <v>technical</v>
          </cell>
          <cell r="L1566" t="str">
            <v>テクニカルタイプ</v>
          </cell>
          <cell r="M1566" t="str">
            <v>ss</v>
          </cell>
          <cell r="N1566" t="str">
            <v>サンリオキャラクターズ</v>
          </cell>
          <cell r="O1566" t="str">
            <v>none</v>
          </cell>
          <cell r="P1566" t="str">
            <v>種族なし</v>
          </cell>
          <cell r="Q1566" t="str">
            <v>アタッカー</v>
          </cell>
          <cell r="R1566">
            <v>1</v>
          </cell>
          <cell r="S1566" t="str">
            <v>NULL</v>
          </cell>
          <cell r="T1566" t="str">
            <v>normal</v>
          </cell>
          <cell r="U1566" t="str">
            <v>NULL</v>
          </cell>
          <cell r="V1566" t="str">
            <v>NULL</v>
          </cell>
          <cell r="W1566" t="str">
            <v>NULL</v>
          </cell>
        </row>
        <row r="1567">
          <cell r="A1567">
            <v>8061</v>
          </cell>
          <cell r="B1567" t="str">
            <v>ja</v>
          </cell>
          <cell r="C1567" t="str">
            <v>ケロケロけろっぴ</v>
          </cell>
          <cell r="D1567" t="str">
            <v>ケロケロけろっぴ</v>
          </cell>
          <cell r="E1567" t="str">
            <v>執行者</v>
          </cell>
          <cell r="F1567" t="str">
            <v>格好いい</v>
          </cell>
          <cell r="G1567" t="str">
            <v>女性</v>
          </cell>
          <cell r="H1567" t="str">
            <v>green</v>
          </cell>
          <cell r="I1567">
            <v>3</v>
          </cell>
          <cell r="J1567" t="str">
            <v>PremiumS</v>
          </cell>
          <cell r="K1567" t="str">
            <v>balance</v>
          </cell>
          <cell r="L1567" t="str">
            <v>バランスタイプ</v>
          </cell>
          <cell r="M1567" t="str">
            <v>ss</v>
          </cell>
          <cell r="N1567" t="str">
            <v>サンリオキャラクターズ</v>
          </cell>
          <cell r="O1567" t="str">
            <v>none</v>
          </cell>
          <cell r="P1567" t="str">
            <v>種族なし</v>
          </cell>
          <cell r="Q1567" t="str">
            <v>アタッカー</v>
          </cell>
          <cell r="R1567">
            <v>1</v>
          </cell>
          <cell r="S1567" t="str">
            <v>NULL</v>
          </cell>
          <cell r="T1567" t="str">
            <v>normal</v>
          </cell>
          <cell r="U1567" t="str">
            <v>NULL</v>
          </cell>
          <cell r="V1567" t="str">
            <v>NULL</v>
          </cell>
          <cell r="W1567" t="str">
            <v>NULL</v>
          </cell>
        </row>
        <row r="1568">
          <cell r="A1568">
            <v>8062</v>
          </cell>
          <cell r="B1568" t="str">
            <v>ja</v>
          </cell>
          <cell r="C1568" t="str">
            <v>ケロケロけろっぴ</v>
          </cell>
          <cell r="D1568" t="str">
            <v>ケロケロけろっぴ</v>
          </cell>
          <cell r="E1568" t="str">
            <v>執行者</v>
          </cell>
          <cell r="F1568" t="str">
            <v>格好いい</v>
          </cell>
          <cell r="G1568" t="str">
            <v>女性</v>
          </cell>
          <cell r="H1568" t="str">
            <v>green</v>
          </cell>
          <cell r="I1568">
            <v>4</v>
          </cell>
          <cell r="J1568" t="str">
            <v>PremiumS</v>
          </cell>
          <cell r="K1568" t="str">
            <v>balance</v>
          </cell>
          <cell r="L1568" t="str">
            <v>バランスタイプ</v>
          </cell>
          <cell r="M1568" t="str">
            <v>ss</v>
          </cell>
          <cell r="N1568" t="str">
            <v>サンリオキャラクターズ</v>
          </cell>
          <cell r="O1568" t="str">
            <v>none</v>
          </cell>
          <cell r="P1568" t="str">
            <v>種族なし</v>
          </cell>
          <cell r="Q1568" t="str">
            <v>アタッカー</v>
          </cell>
          <cell r="R1568">
            <v>1</v>
          </cell>
          <cell r="S1568" t="str">
            <v>NULL</v>
          </cell>
          <cell r="T1568" t="str">
            <v>normal</v>
          </cell>
          <cell r="U1568" t="str">
            <v>NULL</v>
          </cell>
          <cell r="V1568" t="str">
            <v>NULL</v>
          </cell>
          <cell r="W1568" t="str">
            <v>NULL</v>
          </cell>
        </row>
        <row r="1569">
          <cell r="A1569">
            <v>8063</v>
          </cell>
          <cell r="B1569" t="str">
            <v>ja</v>
          </cell>
          <cell r="C1569" t="str">
            <v>モルドレッド_ポムポムプリンコスプレ</v>
          </cell>
          <cell r="D1569" t="str">
            <v>モルドレッド_ポムポムプリンコスプレ</v>
          </cell>
          <cell r="E1569" t="str">
            <v>執行者</v>
          </cell>
          <cell r="F1569" t="str">
            <v>格好いい</v>
          </cell>
          <cell r="G1569" t="str">
            <v>女性</v>
          </cell>
          <cell r="H1569" t="str">
            <v>blue</v>
          </cell>
          <cell r="I1569">
            <v>5</v>
          </cell>
          <cell r="J1569" t="str">
            <v>PremiumSS</v>
          </cell>
          <cell r="K1569" t="str">
            <v>heal</v>
          </cell>
          <cell r="L1569" t="str">
            <v>回復タイプ</v>
          </cell>
          <cell r="M1569" t="str">
            <v>ss</v>
          </cell>
          <cell r="N1569" t="str">
            <v>サンリオキャラクターズ</v>
          </cell>
          <cell r="O1569" t="str">
            <v>none</v>
          </cell>
          <cell r="P1569" t="str">
            <v>種族なし</v>
          </cell>
          <cell r="Q1569" t="str">
            <v>アタッカー</v>
          </cell>
          <cell r="R1569">
            <v>1</v>
          </cell>
          <cell r="S1569" t="str">
            <v>NULL</v>
          </cell>
          <cell r="T1569" t="str">
            <v>normal</v>
          </cell>
          <cell r="U1569" t="str">
            <v>NULL</v>
          </cell>
          <cell r="V1569" t="str">
            <v>NULL</v>
          </cell>
          <cell r="W1569" t="str">
            <v>NULL</v>
          </cell>
        </row>
        <row r="1570">
          <cell r="A1570">
            <v>8064</v>
          </cell>
          <cell r="B1570" t="str">
            <v>ja</v>
          </cell>
          <cell r="C1570" t="str">
            <v>モルドレッド_ポムポムプリンコスプレ</v>
          </cell>
          <cell r="D1570" t="str">
            <v>モルドレッド_ポムポムプリンコスプレ</v>
          </cell>
          <cell r="E1570" t="str">
            <v>執行者</v>
          </cell>
          <cell r="F1570" t="str">
            <v>格好いい</v>
          </cell>
          <cell r="G1570" t="str">
            <v>女性</v>
          </cell>
          <cell r="H1570" t="str">
            <v>blue</v>
          </cell>
          <cell r="I1570">
            <v>6</v>
          </cell>
          <cell r="J1570" t="str">
            <v>PremiumSS</v>
          </cell>
          <cell r="K1570" t="str">
            <v>heal</v>
          </cell>
          <cell r="L1570" t="str">
            <v>回復タイプ</v>
          </cell>
          <cell r="M1570" t="str">
            <v>ss</v>
          </cell>
          <cell r="N1570" t="str">
            <v>サンリオキャラクターズ</v>
          </cell>
          <cell r="O1570" t="str">
            <v>none</v>
          </cell>
          <cell r="P1570" t="str">
            <v>種族なし</v>
          </cell>
          <cell r="Q1570" t="str">
            <v>アタッカー</v>
          </cell>
          <cell r="R1570">
            <v>1</v>
          </cell>
          <cell r="S1570" t="str">
            <v>NULL</v>
          </cell>
          <cell r="T1570" t="str">
            <v>normal</v>
          </cell>
          <cell r="U1570" t="str">
            <v>NULL</v>
          </cell>
          <cell r="V1570" t="str">
            <v>NULL</v>
          </cell>
          <cell r="W1570" t="str">
            <v>NULL</v>
          </cell>
        </row>
        <row r="1571">
          <cell r="A1571">
            <v>8065</v>
          </cell>
          <cell r="B1571" t="str">
            <v>ja</v>
          </cell>
          <cell r="C1571" t="str">
            <v>クロミ</v>
          </cell>
          <cell r="D1571" t="str">
            <v>クロミ</v>
          </cell>
          <cell r="E1571" t="str">
            <v>執行者</v>
          </cell>
          <cell r="F1571" t="str">
            <v>格好いい</v>
          </cell>
          <cell r="G1571" t="str">
            <v>女性</v>
          </cell>
          <cell r="H1571" t="str">
            <v>blue</v>
          </cell>
          <cell r="I1571">
            <v>3</v>
          </cell>
          <cell r="J1571" t="str">
            <v>PremiumS</v>
          </cell>
          <cell r="K1571" t="str">
            <v>technical</v>
          </cell>
          <cell r="L1571" t="str">
            <v>テクニカルタイプ</v>
          </cell>
          <cell r="M1571" t="str">
            <v>ss</v>
          </cell>
          <cell r="N1571" t="str">
            <v>サンリオキャラクターズ</v>
          </cell>
          <cell r="O1571" t="str">
            <v>none</v>
          </cell>
          <cell r="P1571" t="str">
            <v>種族なし</v>
          </cell>
          <cell r="Q1571" t="str">
            <v>アタッカー</v>
          </cell>
          <cell r="R1571">
            <v>1</v>
          </cell>
          <cell r="S1571" t="str">
            <v>NULL</v>
          </cell>
          <cell r="T1571" t="str">
            <v>normal</v>
          </cell>
          <cell r="U1571" t="str">
            <v>NULL</v>
          </cell>
          <cell r="V1571" t="str">
            <v>NULL</v>
          </cell>
          <cell r="W1571" t="str">
            <v>NULL</v>
          </cell>
        </row>
        <row r="1572">
          <cell r="A1572">
            <v>8066</v>
          </cell>
          <cell r="B1572" t="str">
            <v>ja</v>
          </cell>
          <cell r="C1572" t="str">
            <v>クロミ</v>
          </cell>
          <cell r="D1572" t="str">
            <v>クロミ</v>
          </cell>
          <cell r="E1572" t="str">
            <v>執行者</v>
          </cell>
          <cell r="F1572" t="str">
            <v>格好いい</v>
          </cell>
          <cell r="G1572" t="str">
            <v>女性</v>
          </cell>
          <cell r="H1572" t="str">
            <v>blue</v>
          </cell>
          <cell r="I1572">
            <v>4</v>
          </cell>
          <cell r="J1572" t="str">
            <v>PremiumS</v>
          </cell>
          <cell r="K1572" t="str">
            <v>technical</v>
          </cell>
          <cell r="L1572" t="str">
            <v>テクニカルタイプ</v>
          </cell>
          <cell r="M1572" t="str">
            <v>ss</v>
          </cell>
          <cell r="N1572" t="str">
            <v>サンリオキャラクターズ</v>
          </cell>
          <cell r="O1572" t="str">
            <v>none</v>
          </cell>
          <cell r="P1572" t="str">
            <v>種族なし</v>
          </cell>
          <cell r="Q1572" t="str">
            <v>アタッカー</v>
          </cell>
          <cell r="R1572">
            <v>1</v>
          </cell>
          <cell r="S1572" t="str">
            <v>NULL</v>
          </cell>
          <cell r="T1572" t="str">
            <v>normal</v>
          </cell>
          <cell r="U1572" t="str">
            <v>NULL</v>
          </cell>
          <cell r="V1572" t="str">
            <v>NULL</v>
          </cell>
          <cell r="W1572" t="str">
            <v>NULL</v>
          </cell>
        </row>
        <row r="1573">
          <cell r="A1573">
            <v>8067</v>
          </cell>
          <cell r="B1573" t="str">
            <v>ja</v>
          </cell>
          <cell r="C1573" t="str">
            <v>バッドばつ丸</v>
          </cell>
          <cell r="D1573" t="str">
            <v>バッドばつ丸</v>
          </cell>
          <cell r="E1573" t="str">
            <v>執行者</v>
          </cell>
          <cell r="F1573" t="str">
            <v>格好いい</v>
          </cell>
          <cell r="G1573" t="str">
            <v>女性</v>
          </cell>
          <cell r="H1573" t="str">
            <v>blue</v>
          </cell>
          <cell r="I1573">
            <v>3</v>
          </cell>
          <cell r="J1573" t="str">
            <v>PremiumS</v>
          </cell>
          <cell r="K1573" t="str">
            <v>attack</v>
          </cell>
          <cell r="L1573" t="str">
            <v>攻撃タイプ</v>
          </cell>
          <cell r="M1573" t="str">
            <v>ss</v>
          </cell>
          <cell r="N1573" t="str">
            <v>サンリオキャラクターズ</v>
          </cell>
          <cell r="O1573" t="str">
            <v>none</v>
          </cell>
          <cell r="P1573" t="str">
            <v>種族なし</v>
          </cell>
          <cell r="Q1573" t="str">
            <v>アタッカー</v>
          </cell>
          <cell r="R1573">
            <v>1</v>
          </cell>
          <cell r="S1573" t="str">
            <v>NULL</v>
          </cell>
          <cell r="T1573" t="str">
            <v>normal</v>
          </cell>
          <cell r="U1573" t="str">
            <v>NULL</v>
          </cell>
          <cell r="V1573" t="str">
            <v>NULL</v>
          </cell>
          <cell r="W1573" t="str">
            <v>NULL</v>
          </cell>
        </row>
        <row r="1574">
          <cell r="A1574">
            <v>8068</v>
          </cell>
          <cell r="B1574" t="str">
            <v>ja</v>
          </cell>
          <cell r="C1574" t="str">
            <v>バッドばつ丸</v>
          </cell>
          <cell r="D1574" t="str">
            <v>バッドばつ丸</v>
          </cell>
          <cell r="E1574" t="str">
            <v>執行者</v>
          </cell>
          <cell r="F1574" t="str">
            <v>格好いい</v>
          </cell>
          <cell r="G1574" t="str">
            <v>女性</v>
          </cell>
          <cell r="H1574" t="str">
            <v>blue</v>
          </cell>
          <cell r="I1574">
            <v>4</v>
          </cell>
          <cell r="J1574" t="str">
            <v>PremiumS</v>
          </cell>
          <cell r="K1574" t="str">
            <v>attack</v>
          </cell>
          <cell r="L1574" t="str">
            <v>攻撃タイプ</v>
          </cell>
          <cell r="M1574" t="str">
            <v>ss</v>
          </cell>
          <cell r="N1574" t="str">
            <v>サンリオキャラクターズ</v>
          </cell>
          <cell r="O1574" t="str">
            <v>none</v>
          </cell>
          <cell r="P1574" t="str">
            <v>種族なし</v>
          </cell>
          <cell r="Q1574" t="str">
            <v>アタッカー</v>
          </cell>
          <cell r="R1574">
            <v>1</v>
          </cell>
          <cell r="S1574" t="str">
            <v>NULL</v>
          </cell>
          <cell r="T1574" t="str">
            <v>normal</v>
          </cell>
          <cell r="U1574" t="str">
            <v>NULL</v>
          </cell>
          <cell r="V1574" t="str">
            <v>NULL</v>
          </cell>
          <cell r="W1574" t="str">
            <v>NULL</v>
          </cell>
        </row>
        <row r="1575">
          <cell r="A1575">
            <v>8069</v>
          </cell>
          <cell r="B1575" t="str">
            <v>ja</v>
          </cell>
          <cell r="C1575" t="str">
            <v>シナモロール</v>
          </cell>
          <cell r="D1575" t="str">
            <v>シナモロール</v>
          </cell>
          <cell r="E1575" t="str">
            <v>執行者</v>
          </cell>
          <cell r="F1575" t="str">
            <v>格好いい</v>
          </cell>
          <cell r="G1575" t="str">
            <v>女性</v>
          </cell>
          <cell r="H1575" t="str">
            <v>yellow</v>
          </cell>
          <cell r="I1575">
            <v>4</v>
          </cell>
          <cell r="J1575" t="str">
            <v>PremiumS</v>
          </cell>
          <cell r="K1575" t="str">
            <v>heal</v>
          </cell>
          <cell r="L1575" t="str">
            <v>回復タイプ</v>
          </cell>
          <cell r="M1575" t="str">
            <v>ss</v>
          </cell>
          <cell r="N1575" t="str">
            <v>サンリオキャラクターズ</v>
          </cell>
          <cell r="O1575" t="str">
            <v>none</v>
          </cell>
          <cell r="P1575" t="str">
            <v>種族なし</v>
          </cell>
          <cell r="Q1575" t="str">
            <v>アタッカー</v>
          </cell>
          <cell r="R1575">
            <v>1</v>
          </cell>
          <cell r="S1575" t="str">
            <v>NULL</v>
          </cell>
          <cell r="T1575" t="str">
            <v>normal</v>
          </cell>
          <cell r="U1575" t="str">
            <v>NULL</v>
          </cell>
          <cell r="V1575" t="str">
            <v>NULL</v>
          </cell>
          <cell r="W1575" t="str">
            <v>NULL</v>
          </cell>
        </row>
        <row r="1576">
          <cell r="A1576">
            <v>8070</v>
          </cell>
          <cell r="B1576" t="str">
            <v>ja</v>
          </cell>
          <cell r="C1576" t="str">
            <v>シナモロール</v>
          </cell>
          <cell r="D1576" t="str">
            <v>シナモロール</v>
          </cell>
          <cell r="E1576" t="str">
            <v>執行者</v>
          </cell>
          <cell r="F1576" t="str">
            <v>格好いい</v>
          </cell>
          <cell r="G1576" t="str">
            <v>女性</v>
          </cell>
          <cell r="H1576" t="str">
            <v>yellow</v>
          </cell>
          <cell r="I1576">
            <v>5</v>
          </cell>
          <cell r="J1576" t="str">
            <v>PremiumS</v>
          </cell>
          <cell r="K1576" t="str">
            <v>heal</v>
          </cell>
          <cell r="L1576" t="str">
            <v>回復タイプ</v>
          </cell>
          <cell r="M1576" t="str">
            <v>ss</v>
          </cell>
          <cell r="N1576" t="str">
            <v>サンリオキャラクターズ</v>
          </cell>
          <cell r="O1576" t="str">
            <v>none</v>
          </cell>
          <cell r="P1576" t="str">
            <v>種族なし</v>
          </cell>
          <cell r="Q1576" t="str">
            <v>アタッカー</v>
          </cell>
          <cell r="R1576">
            <v>1</v>
          </cell>
          <cell r="S1576" t="str">
            <v>NULL</v>
          </cell>
          <cell r="T1576" t="str">
            <v>normal</v>
          </cell>
          <cell r="U1576" t="str">
            <v>NULL</v>
          </cell>
          <cell r="V1576" t="str">
            <v>NULL</v>
          </cell>
          <cell r="W1576" t="str">
            <v>NULL</v>
          </cell>
        </row>
        <row r="1577">
          <cell r="A1577">
            <v>8071</v>
          </cell>
          <cell r="B1577" t="str">
            <v>ja</v>
          </cell>
          <cell r="C1577" t="str">
            <v>ポムポムプリン</v>
          </cell>
          <cell r="D1577" t="str">
            <v>ポムポムプリン</v>
          </cell>
          <cell r="E1577" t="str">
            <v>執行者</v>
          </cell>
          <cell r="F1577" t="str">
            <v>格好いい</v>
          </cell>
          <cell r="G1577" t="str">
            <v>女性</v>
          </cell>
          <cell r="H1577" t="str">
            <v>yellow</v>
          </cell>
          <cell r="I1577">
            <v>3</v>
          </cell>
          <cell r="J1577" t="str">
            <v>PremiumS</v>
          </cell>
          <cell r="K1577" t="str">
            <v>hp</v>
          </cell>
          <cell r="L1577" t="str">
            <v>体力タイプ</v>
          </cell>
          <cell r="M1577" t="str">
            <v>ss</v>
          </cell>
          <cell r="N1577" t="str">
            <v>サンリオキャラクターズ</v>
          </cell>
          <cell r="O1577" t="str">
            <v>none</v>
          </cell>
          <cell r="P1577" t="str">
            <v>種族なし</v>
          </cell>
          <cell r="Q1577" t="str">
            <v>アタッカー</v>
          </cell>
          <cell r="R1577">
            <v>1</v>
          </cell>
          <cell r="S1577" t="str">
            <v>NULL</v>
          </cell>
          <cell r="T1577" t="str">
            <v>normal</v>
          </cell>
          <cell r="U1577" t="str">
            <v>NULL</v>
          </cell>
          <cell r="V1577" t="str">
            <v>NULL</v>
          </cell>
          <cell r="W1577" t="str">
            <v>NULL</v>
          </cell>
        </row>
        <row r="1578">
          <cell r="A1578">
            <v>8072</v>
          </cell>
          <cell r="B1578" t="str">
            <v>ja</v>
          </cell>
          <cell r="C1578" t="str">
            <v>ポムポムプリン</v>
          </cell>
          <cell r="D1578" t="str">
            <v>ポムポムプリン</v>
          </cell>
          <cell r="E1578" t="str">
            <v>執行者</v>
          </cell>
          <cell r="F1578" t="str">
            <v>格好いい</v>
          </cell>
          <cell r="G1578" t="str">
            <v>女性</v>
          </cell>
          <cell r="H1578" t="str">
            <v>yellow</v>
          </cell>
          <cell r="I1578">
            <v>4</v>
          </cell>
          <cell r="J1578" t="str">
            <v>PremiumS</v>
          </cell>
          <cell r="K1578" t="str">
            <v>hp</v>
          </cell>
          <cell r="L1578" t="str">
            <v>体力タイプ</v>
          </cell>
          <cell r="M1578" t="str">
            <v>ss</v>
          </cell>
          <cell r="N1578" t="str">
            <v>サンリオキャラクターズ</v>
          </cell>
          <cell r="O1578" t="str">
            <v>none</v>
          </cell>
          <cell r="P1578" t="str">
            <v>種族なし</v>
          </cell>
          <cell r="Q1578" t="str">
            <v>アタッカー</v>
          </cell>
          <cell r="R1578">
            <v>1</v>
          </cell>
          <cell r="S1578" t="str">
            <v>NULL</v>
          </cell>
          <cell r="T1578" t="str">
            <v>normal</v>
          </cell>
          <cell r="U1578" t="str">
            <v>NULL</v>
          </cell>
          <cell r="V1578" t="str">
            <v>NULL</v>
          </cell>
          <cell r="W1578" t="str">
            <v>NULL</v>
          </cell>
        </row>
        <row r="1579">
          <cell r="A1579">
            <v>8073</v>
          </cell>
          <cell r="B1579" t="str">
            <v>ja</v>
          </cell>
          <cell r="C1579" t="str">
            <v>星海祈る天光妃 媽祖</v>
          </cell>
          <cell r="D1579" t="str">
            <v>Expoミク</v>
          </cell>
          <cell r="E1579" t="str">
            <v>執行者</v>
          </cell>
          <cell r="F1579" t="str">
            <v>格好いい</v>
          </cell>
          <cell r="G1579" t="str">
            <v>女性</v>
          </cell>
          <cell r="H1579" t="str">
            <v>yellow</v>
          </cell>
          <cell r="I1579">
            <v>6</v>
          </cell>
          <cell r="J1579" t="str">
            <v>PremiumSS</v>
          </cell>
          <cell r="K1579" t="str">
            <v>attack</v>
          </cell>
          <cell r="L1579" t="str">
            <v>攻撃タイプ</v>
          </cell>
          <cell r="M1579" t="str">
            <v>human</v>
          </cell>
          <cell r="N1579" t="str">
            <v>ヒューマン</v>
          </cell>
          <cell r="O1579" t="str">
            <v>machine</v>
          </cell>
          <cell r="P1579" t="str">
            <v>マシン</v>
          </cell>
          <cell r="Q1579" t="str">
            <v>アタッカー</v>
          </cell>
          <cell r="R1579">
            <v>3</v>
          </cell>
          <cell r="S1579" t="str">
            <v>NULL</v>
          </cell>
          <cell r="T1579" t="str">
            <v>normal</v>
          </cell>
          <cell r="U1579" t="str">
            <v>NULL</v>
          </cell>
          <cell r="V1579" t="str">
            <v>NULL</v>
          </cell>
          <cell r="W1579" t="str">
            <v>NULL</v>
          </cell>
        </row>
        <row r="1580">
          <cell r="A1580">
            <v>8074</v>
          </cell>
          <cell r="B1580" t="str">
            <v>ja</v>
          </cell>
          <cell r="C1580" t="str">
            <v>海戀の絶龍姫 蛟龍</v>
          </cell>
          <cell r="D1580" t="str">
            <v>Expoミク</v>
          </cell>
          <cell r="E1580" t="str">
            <v>執行者</v>
          </cell>
          <cell r="F1580" t="str">
            <v>格好いい</v>
          </cell>
          <cell r="G1580" t="str">
            <v>女性</v>
          </cell>
          <cell r="H1580" t="str">
            <v>blue</v>
          </cell>
          <cell r="I1580">
            <v>6</v>
          </cell>
          <cell r="J1580" t="str">
            <v>DropWizS</v>
          </cell>
          <cell r="K1580" t="str">
            <v>hp</v>
          </cell>
          <cell r="L1580" t="str">
            <v>体力タイプ</v>
          </cell>
          <cell r="M1580" t="str">
            <v>dragon</v>
          </cell>
          <cell r="N1580" t="str">
            <v>ドラゴン</v>
          </cell>
          <cell r="O1580" t="str">
            <v>unknown</v>
          </cell>
          <cell r="P1580" t="str">
            <v>Unknown</v>
          </cell>
          <cell r="Q1580" t="str">
            <v>アタッカー</v>
          </cell>
          <cell r="R1580">
            <v>3</v>
          </cell>
          <cell r="S1580" t="str">
            <v>NULL</v>
          </cell>
          <cell r="T1580" t="str">
            <v>normal</v>
          </cell>
          <cell r="U1580" t="str">
            <v>NULL</v>
          </cell>
          <cell r="V1580" t="str">
            <v>NULL</v>
          </cell>
          <cell r="W1580" t="str">
            <v>NULL</v>
          </cell>
        </row>
        <row r="1581">
          <cell r="A1581">
            <v>8075</v>
          </cell>
          <cell r="B1581" t="str">
            <v>ja</v>
          </cell>
          <cell r="C1581" t="str">
            <v>三蔵法師_超覚醒</v>
          </cell>
          <cell r="D1581" t="str">
            <v>Expoミク</v>
          </cell>
          <cell r="E1581" t="str">
            <v>執行者</v>
          </cell>
          <cell r="F1581" t="str">
            <v>格好いい</v>
          </cell>
          <cell r="G1581" t="str">
            <v>女性</v>
          </cell>
          <cell r="H1581" t="str">
            <v>blue</v>
          </cell>
          <cell r="I1581">
            <v>6</v>
          </cell>
          <cell r="J1581" t="str">
            <v>PremiumSS</v>
          </cell>
          <cell r="K1581" t="str">
            <v>balance</v>
          </cell>
          <cell r="L1581" t="str">
            <v>バランスタイプ</v>
          </cell>
          <cell r="M1581" t="str">
            <v>god</v>
          </cell>
          <cell r="N1581" t="str">
            <v>ゴッド</v>
          </cell>
          <cell r="O1581" t="str">
            <v>animal</v>
          </cell>
          <cell r="P1581" t="str">
            <v>アニマル</v>
          </cell>
          <cell r="Q1581" t="str">
            <v>アタッカー</v>
          </cell>
          <cell r="R1581">
            <v>1</v>
          </cell>
          <cell r="S1581" t="str">
            <v>NULL</v>
          </cell>
          <cell r="T1581" t="str">
            <v>normal</v>
          </cell>
          <cell r="U1581" t="str">
            <v>NULL</v>
          </cell>
          <cell r="V1581" t="str">
            <v>NULL</v>
          </cell>
          <cell r="W1581" t="str">
            <v>NULL</v>
          </cell>
        </row>
        <row r="1582">
          <cell r="A1582">
            <v>8076</v>
          </cell>
          <cell r="B1582" t="str">
            <v>ja</v>
          </cell>
          <cell r="C1582" t="str">
            <v>孫悟空_超覚醒</v>
          </cell>
          <cell r="D1582" t="str">
            <v>Expoミク</v>
          </cell>
          <cell r="E1582" t="str">
            <v>執行者</v>
          </cell>
          <cell r="F1582" t="str">
            <v>格好いい</v>
          </cell>
          <cell r="G1582" t="str">
            <v>女性</v>
          </cell>
          <cell r="H1582" t="str">
            <v>red</v>
          </cell>
          <cell r="I1582">
            <v>6</v>
          </cell>
          <cell r="J1582" t="str">
            <v>DropWizS</v>
          </cell>
          <cell r="K1582" t="str">
            <v>attack</v>
          </cell>
          <cell r="L1582" t="str">
            <v>攻撃タイプ</v>
          </cell>
          <cell r="M1582" t="str">
            <v>unknown</v>
          </cell>
          <cell r="N1582" t="str">
            <v>Unknown</v>
          </cell>
          <cell r="O1582" t="str">
            <v>hero</v>
          </cell>
          <cell r="P1582" t="str">
            <v>ヒーロー</v>
          </cell>
          <cell r="Q1582" t="str">
            <v>アタッカー</v>
          </cell>
          <cell r="R1582">
            <v>1</v>
          </cell>
          <cell r="S1582" t="str">
            <v>NULL</v>
          </cell>
          <cell r="T1582" t="str">
            <v>normal</v>
          </cell>
          <cell r="U1582" t="str">
            <v>NULL</v>
          </cell>
          <cell r="V1582" t="str">
            <v>NULL</v>
          </cell>
          <cell r="W1582" t="str">
            <v>NULL</v>
          </cell>
        </row>
        <row r="1583">
          <cell r="A1583">
            <v>8077</v>
          </cell>
          <cell r="B1583" t="str">
            <v>ja</v>
          </cell>
          <cell r="C1583" t="str">
            <v>鄭成功</v>
          </cell>
          <cell r="D1583" t="str">
            <v>ポムポムプリン</v>
          </cell>
          <cell r="E1583" t="str">
            <v>執行者</v>
          </cell>
          <cell r="F1583" t="str">
            <v>格好いい</v>
          </cell>
          <cell r="G1583" t="str">
            <v>女性</v>
          </cell>
          <cell r="H1583" t="str">
            <v>blue</v>
          </cell>
          <cell r="I1583">
            <v>5</v>
          </cell>
          <cell r="J1583" t="str">
            <v>PremiumSS</v>
          </cell>
          <cell r="K1583" t="str">
            <v>attack</v>
          </cell>
          <cell r="L1583" t="str">
            <v>攻撃タイプ</v>
          </cell>
          <cell r="M1583" t="str">
            <v>human</v>
          </cell>
          <cell r="N1583" t="str">
            <v>ヒューマン</v>
          </cell>
          <cell r="O1583" t="str">
            <v>none</v>
          </cell>
          <cell r="P1583" t="str">
            <v>種族なし</v>
          </cell>
          <cell r="Q1583" t="str">
            <v>アタッカー</v>
          </cell>
          <cell r="R1583">
            <v>1</v>
          </cell>
          <cell r="S1583" t="str">
            <v>NULL</v>
          </cell>
          <cell r="T1583" t="str">
            <v>normal</v>
          </cell>
          <cell r="U1583" t="str">
            <v>NULL</v>
          </cell>
          <cell r="V1583" t="str">
            <v>NULL</v>
          </cell>
          <cell r="W1583" t="str">
            <v>NULL</v>
          </cell>
        </row>
        <row r="1584">
          <cell r="A1584">
            <v>8078</v>
          </cell>
          <cell r="B1584" t="str">
            <v>ja</v>
          </cell>
          <cell r="C1584" t="str">
            <v>レア６鄭成功</v>
          </cell>
          <cell r="D1584" t="str">
            <v>ポムポムプリン</v>
          </cell>
          <cell r="E1584" t="str">
            <v>執行者</v>
          </cell>
          <cell r="F1584" t="str">
            <v>格好いい</v>
          </cell>
          <cell r="G1584" t="str">
            <v>女性</v>
          </cell>
          <cell r="H1584" t="str">
            <v>blue</v>
          </cell>
          <cell r="I1584">
            <v>6</v>
          </cell>
          <cell r="J1584" t="str">
            <v>PremiumSS</v>
          </cell>
          <cell r="K1584" t="str">
            <v>attack</v>
          </cell>
          <cell r="L1584" t="str">
            <v>攻撃タイプ</v>
          </cell>
          <cell r="M1584" t="str">
            <v>human</v>
          </cell>
          <cell r="N1584" t="str">
            <v>ヒューマン</v>
          </cell>
          <cell r="O1584" t="str">
            <v>hero</v>
          </cell>
          <cell r="P1584" t="str">
            <v>ヒーロー</v>
          </cell>
          <cell r="Q1584" t="str">
            <v>アタッカー</v>
          </cell>
          <cell r="R1584">
            <v>1</v>
          </cell>
          <cell r="S1584" t="str">
            <v>NULL</v>
          </cell>
          <cell r="T1584" t="str">
            <v>normal</v>
          </cell>
          <cell r="U1584" t="str">
            <v>NULL</v>
          </cell>
          <cell r="V1584" t="str">
            <v>NULL</v>
          </cell>
          <cell r="W1584" t="str">
            <v>NULL</v>
          </cell>
        </row>
        <row r="1585">
          <cell r="A1585">
            <v>8079</v>
          </cell>
          <cell r="B1585" t="str">
            <v>ja</v>
          </cell>
          <cell r="C1585" t="str">
            <v>赤鬼</v>
          </cell>
          <cell r="D1585" t="str">
            <v>ポムポムプリン</v>
          </cell>
          <cell r="E1585" t="str">
            <v>執行者</v>
          </cell>
          <cell r="F1585" t="str">
            <v>格好いい</v>
          </cell>
          <cell r="G1585" t="str">
            <v>女性</v>
          </cell>
          <cell r="H1585" t="str">
            <v>red</v>
          </cell>
          <cell r="I1585">
            <v>5</v>
          </cell>
          <cell r="J1585" t="str">
            <v>DropWizS</v>
          </cell>
          <cell r="K1585" t="str">
            <v>hp</v>
          </cell>
          <cell r="L1585" t="str">
            <v>体力タイプ</v>
          </cell>
          <cell r="M1585" t="str">
            <v>dragon</v>
          </cell>
          <cell r="N1585" t="str">
            <v>ドラゴン</v>
          </cell>
          <cell r="O1585" t="str">
            <v>none</v>
          </cell>
          <cell r="P1585" t="str">
            <v>種族なし</v>
          </cell>
          <cell r="Q1585" t="str">
            <v>アタッカー</v>
          </cell>
          <cell r="R1585">
            <v>1</v>
          </cell>
          <cell r="S1585" t="str">
            <v>NULL</v>
          </cell>
          <cell r="T1585" t="str">
            <v>normal</v>
          </cell>
          <cell r="U1585" t="str">
            <v>NULL</v>
          </cell>
          <cell r="V1585" t="str">
            <v>NULL</v>
          </cell>
          <cell r="W1585" t="str">
            <v>NULL</v>
          </cell>
        </row>
        <row r="1586">
          <cell r="A1586">
            <v>8080</v>
          </cell>
          <cell r="B1586" t="str">
            <v>ja</v>
          </cell>
          <cell r="C1586" t="str">
            <v>レア６赤鬼</v>
          </cell>
          <cell r="D1586" t="str">
            <v>ポムポムプリン</v>
          </cell>
          <cell r="E1586" t="str">
            <v>執行者</v>
          </cell>
          <cell r="F1586" t="str">
            <v>格好いい</v>
          </cell>
          <cell r="G1586" t="str">
            <v>女性</v>
          </cell>
          <cell r="H1586" t="str">
            <v>red</v>
          </cell>
          <cell r="I1586">
            <v>6</v>
          </cell>
          <cell r="J1586" t="str">
            <v>DropWizS</v>
          </cell>
          <cell r="K1586" t="str">
            <v>hp</v>
          </cell>
          <cell r="L1586" t="str">
            <v>体力タイプ</v>
          </cell>
          <cell r="M1586" t="str">
            <v>dragon</v>
          </cell>
          <cell r="N1586" t="str">
            <v>ドラゴン</v>
          </cell>
          <cell r="O1586" t="str">
            <v>unknown</v>
          </cell>
          <cell r="P1586" t="str">
            <v>Unknown</v>
          </cell>
          <cell r="Q1586" t="str">
            <v>アタッカー</v>
          </cell>
          <cell r="R1586">
            <v>1</v>
          </cell>
          <cell r="S1586" t="str">
            <v>NULL</v>
          </cell>
          <cell r="T1586" t="str">
            <v>normal</v>
          </cell>
          <cell r="U1586" t="str">
            <v>NULL</v>
          </cell>
          <cell r="V1586" t="str">
            <v>NULL</v>
          </cell>
          <cell r="W1586" t="str">
            <v>NULL</v>
          </cell>
        </row>
        <row r="1587">
          <cell r="A1587">
            <v>8081</v>
          </cell>
          <cell r="B1587" t="str">
            <v>ja</v>
          </cell>
          <cell r="C1587" t="str">
            <v>関羽</v>
          </cell>
          <cell r="H1587" t="str">
            <v>green</v>
          </cell>
          <cell r="I1587">
            <v>5</v>
          </cell>
          <cell r="J1587" t="str">
            <v>PremiumSSS</v>
          </cell>
          <cell r="K1587" t="str">
            <v>balance</v>
          </cell>
          <cell r="L1587" t="str">
            <v>バランスタイプ</v>
          </cell>
          <cell r="M1587" t="str">
            <v>samurai</v>
          </cell>
          <cell r="N1587" t="str">
            <v>サムライ</v>
          </cell>
          <cell r="O1587" t="str">
            <v>human</v>
          </cell>
          <cell r="P1587" t="str">
            <v>ヒューマン</v>
          </cell>
          <cell r="Q1587" t="str">
            <v>アタッカー</v>
          </cell>
          <cell r="R1587">
            <v>1</v>
          </cell>
          <cell r="S1587" t="str">
            <v>NULL</v>
          </cell>
          <cell r="T1587" t="str">
            <v>normal</v>
          </cell>
          <cell r="U1587" t="str">
            <v>NULL</v>
          </cell>
          <cell r="V1587" t="str">
            <v>NULL</v>
          </cell>
          <cell r="W1587" t="str">
            <v>NULL</v>
          </cell>
        </row>
        <row r="1588">
          <cell r="A1588">
            <v>8082</v>
          </cell>
          <cell r="B1588" t="str">
            <v>ja</v>
          </cell>
          <cell r="C1588" t="str">
            <v>★６関羽</v>
          </cell>
          <cell r="H1588" t="str">
            <v>green</v>
          </cell>
          <cell r="I1588">
            <v>6</v>
          </cell>
          <cell r="J1588" t="str">
            <v>PremiumSSS</v>
          </cell>
          <cell r="K1588" t="str">
            <v>balance</v>
          </cell>
          <cell r="L1588" t="str">
            <v>バランスタイプ</v>
          </cell>
          <cell r="M1588" t="str">
            <v>samurai</v>
          </cell>
          <cell r="N1588" t="str">
            <v>サムライ</v>
          </cell>
          <cell r="O1588" t="str">
            <v>human</v>
          </cell>
          <cell r="P1588" t="str">
            <v>ヒューマン</v>
          </cell>
          <cell r="Q1588" t="str">
            <v>アタッカー</v>
          </cell>
          <cell r="R1588">
            <v>1</v>
          </cell>
          <cell r="S1588" t="str">
            <v>NULL</v>
          </cell>
          <cell r="T1588" t="str">
            <v>normal</v>
          </cell>
          <cell r="U1588" t="str">
            <v>NULL</v>
          </cell>
          <cell r="V1588" t="str">
            <v>NULL</v>
          </cell>
          <cell r="W1588" t="str">
            <v>NULL</v>
          </cell>
        </row>
        <row r="1589">
          <cell r="A1589">
            <v>8083</v>
          </cell>
          <cell r="B1589" t="str">
            <v>ja</v>
          </cell>
          <cell r="C1589" t="str">
            <v>曹操</v>
          </cell>
          <cell r="H1589" t="str">
            <v>yellow</v>
          </cell>
          <cell r="I1589">
            <v>5</v>
          </cell>
          <cell r="J1589" t="str">
            <v>DropWizSS</v>
          </cell>
          <cell r="K1589" t="str">
            <v>technical</v>
          </cell>
          <cell r="L1589" t="str">
            <v>テクニカルタイプ</v>
          </cell>
          <cell r="M1589" t="str">
            <v>samurai</v>
          </cell>
          <cell r="N1589" t="str">
            <v>サムライ</v>
          </cell>
          <cell r="O1589" t="str">
            <v>human</v>
          </cell>
          <cell r="P1589" t="str">
            <v>ヒューマン</v>
          </cell>
          <cell r="Q1589" t="str">
            <v>アタッカー</v>
          </cell>
          <cell r="R1589">
            <v>1</v>
          </cell>
          <cell r="S1589" t="str">
            <v>NULL</v>
          </cell>
          <cell r="T1589" t="str">
            <v>normal</v>
          </cell>
          <cell r="U1589" t="str">
            <v>NULL</v>
          </cell>
          <cell r="V1589" t="str">
            <v>NULL</v>
          </cell>
          <cell r="W1589" t="str">
            <v>NULL</v>
          </cell>
        </row>
        <row r="1590">
          <cell r="A1590">
            <v>8084</v>
          </cell>
          <cell r="B1590" t="str">
            <v>ja</v>
          </cell>
          <cell r="C1590" t="str">
            <v>★６曹操</v>
          </cell>
          <cell r="H1590" t="str">
            <v>yellow</v>
          </cell>
          <cell r="I1590">
            <v>6</v>
          </cell>
          <cell r="J1590" t="str">
            <v>DropWizSS</v>
          </cell>
          <cell r="K1590" t="str">
            <v>technical</v>
          </cell>
          <cell r="L1590" t="str">
            <v>テクニカルタイプ</v>
          </cell>
          <cell r="M1590" t="str">
            <v>samurai</v>
          </cell>
          <cell r="N1590" t="str">
            <v>サムライ</v>
          </cell>
          <cell r="O1590" t="str">
            <v>human</v>
          </cell>
          <cell r="P1590" t="str">
            <v>ヒューマン</v>
          </cell>
          <cell r="Q1590" t="str">
            <v>アタッカー</v>
          </cell>
          <cell r="R1590">
            <v>1</v>
          </cell>
          <cell r="S1590" t="str">
            <v>NULL</v>
          </cell>
          <cell r="T1590" t="str">
            <v>normal</v>
          </cell>
          <cell r="U1590" t="str">
            <v>NULL</v>
          </cell>
          <cell r="V1590" t="str">
            <v>NULL</v>
          </cell>
          <cell r="W1590" t="str">
            <v>NULL</v>
          </cell>
        </row>
        <row r="1591">
          <cell r="A1591">
            <v>8087</v>
          </cell>
          <cell r="B1591" t="str">
            <v>ja</v>
          </cell>
          <cell r="C1591" t="str">
            <v>財神</v>
          </cell>
          <cell r="H1591" t="str">
            <v>red</v>
          </cell>
          <cell r="I1591">
            <v>5</v>
          </cell>
          <cell r="J1591" t="str">
            <v>PremiumSSS</v>
          </cell>
          <cell r="K1591" t="str">
            <v>technical</v>
          </cell>
          <cell r="L1591" t="str">
            <v>テクニカルタイプ</v>
          </cell>
          <cell r="M1591" t="str">
            <v>god</v>
          </cell>
          <cell r="N1591" t="str">
            <v>ゴッド</v>
          </cell>
          <cell r="O1591" t="str">
            <v>none</v>
          </cell>
          <cell r="P1591" t="str">
            <v>種族なし</v>
          </cell>
          <cell r="Q1591" t="str">
            <v>アタッカー</v>
          </cell>
          <cell r="R1591">
            <v>1</v>
          </cell>
          <cell r="S1591" t="str">
            <v>NULL</v>
          </cell>
          <cell r="T1591" t="str">
            <v>normal</v>
          </cell>
          <cell r="U1591" t="str">
            <v>NULL</v>
          </cell>
          <cell r="V1591" t="str">
            <v>NULL</v>
          </cell>
          <cell r="W1591" t="str">
            <v>NULL</v>
          </cell>
        </row>
        <row r="1592">
          <cell r="A1592">
            <v>8088</v>
          </cell>
          <cell r="B1592" t="str">
            <v>ja</v>
          </cell>
          <cell r="C1592" t="str">
            <v>★６財神</v>
          </cell>
          <cell r="H1592" t="str">
            <v>red</v>
          </cell>
          <cell r="I1592">
            <v>6</v>
          </cell>
          <cell r="J1592" t="str">
            <v>PremiumSSS</v>
          </cell>
          <cell r="K1592" t="str">
            <v>technical</v>
          </cell>
          <cell r="L1592" t="str">
            <v>テクニカルタイプ</v>
          </cell>
          <cell r="M1592" t="str">
            <v>god</v>
          </cell>
          <cell r="N1592" t="str">
            <v>ゴッド</v>
          </cell>
          <cell r="O1592" t="str">
            <v>none</v>
          </cell>
          <cell r="P1592" t="str">
            <v>種族なし</v>
          </cell>
          <cell r="Q1592" t="str">
            <v>アタッカー</v>
          </cell>
          <cell r="R1592">
            <v>1</v>
          </cell>
          <cell r="S1592" t="str">
            <v>NULL</v>
          </cell>
          <cell r="T1592" t="str">
            <v>normal</v>
          </cell>
          <cell r="U1592" t="str">
            <v>NULL</v>
          </cell>
          <cell r="V1592" t="str">
            <v>NULL</v>
          </cell>
          <cell r="W1592" t="str">
            <v>NULL</v>
          </cell>
        </row>
        <row r="1593">
          <cell r="A1593">
            <v>8089</v>
          </cell>
          <cell r="B1593" t="str">
            <v>ja</v>
          </cell>
          <cell r="C1593" t="str">
            <v>年獣</v>
          </cell>
          <cell r="H1593" t="str">
            <v>green</v>
          </cell>
          <cell r="I1593">
            <v>5</v>
          </cell>
          <cell r="J1593" t="str">
            <v>DropWizS</v>
          </cell>
          <cell r="K1593" t="str">
            <v>attack</v>
          </cell>
          <cell r="L1593" t="str">
            <v>攻撃タイプ</v>
          </cell>
          <cell r="M1593" t="str">
            <v>animal</v>
          </cell>
          <cell r="N1593" t="str">
            <v>アニマル</v>
          </cell>
          <cell r="O1593" t="str">
            <v>unknown</v>
          </cell>
          <cell r="P1593" t="str">
            <v>Unknown</v>
          </cell>
          <cell r="Q1593" t="str">
            <v>アタッカー</v>
          </cell>
          <cell r="R1593">
            <v>1</v>
          </cell>
          <cell r="S1593" t="str">
            <v>NULL</v>
          </cell>
          <cell r="T1593" t="str">
            <v>normal</v>
          </cell>
          <cell r="U1593" t="str">
            <v>NULL</v>
          </cell>
          <cell r="V1593" t="str">
            <v>NULL</v>
          </cell>
          <cell r="W1593" t="str">
            <v>NULL</v>
          </cell>
        </row>
        <row r="1594">
          <cell r="A1594">
            <v>8090</v>
          </cell>
          <cell r="B1594" t="str">
            <v>ja</v>
          </cell>
          <cell r="C1594" t="str">
            <v>★６年獣</v>
          </cell>
          <cell r="H1594" t="str">
            <v>green</v>
          </cell>
          <cell r="I1594">
            <v>6</v>
          </cell>
          <cell r="J1594" t="str">
            <v>DropWizS</v>
          </cell>
          <cell r="K1594" t="str">
            <v>attack</v>
          </cell>
          <cell r="L1594" t="str">
            <v>攻撃タイプ</v>
          </cell>
          <cell r="M1594" t="str">
            <v>animal</v>
          </cell>
          <cell r="N1594" t="str">
            <v>アニマル</v>
          </cell>
          <cell r="O1594" t="str">
            <v>unknown</v>
          </cell>
          <cell r="P1594" t="str">
            <v>Unknown</v>
          </cell>
          <cell r="Q1594" t="str">
            <v>アタッカー</v>
          </cell>
          <cell r="R1594">
            <v>1</v>
          </cell>
          <cell r="S1594" t="str">
            <v>NULL</v>
          </cell>
          <cell r="T1594" t="str">
            <v>normal</v>
          </cell>
          <cell r="U1594" t="str">
            <v>NULL</v>
          </cell>
          <cell r="V1594" t="str">
            <v>NULL</v>
          </cell>
          <cell r="W1594" t="str">
            <v>NULL</v>
          </cell>
        </row>
        <row r="1595">
          <cell r="A1595">
            <v>8095</v>
          </cell>
          <cell r="B1595" t="str">
            <v>ja</v>
          </cell>
          <cell r="C1595" t="str">
            <v>バハムートダック赤</v>
          </cell>
          <cell r="D1595" t="str">
            <v>ポムポムプリン</v>
          </cell>
          <cell r="E1595" t="str">
            <v>執行者</v>
          </cell>
          <cell r="F1595" t="str">
            <v>格好いい</v>
          </cell>
          <cell r="G1595" t="str">
            <v>女性</v>
          </cell>
          <cell r="H1595" t="str">
            <v>red</v>
          </cell>
          <cell r="I1595">
            <v>6</v>
          </cell>
          <cell r="J1595" t="str">
            <v>Material</v>
          </cell>
          <cell r="K1595" t="str">
            <v>exp</v>
          </cell>
          <cell r="L1595" t="str">
            <v>強化素材タイプ</v>
          </cell>
          <cell r="M1595" t="str">
            <v>unknown</v>
          </cell>
          <cell r="N1595" t="str">
            <v>Unknown</v>
          </cell>
          <cell r="O1595" t="str">
            <v>none</v>
          </cell>
          <cell r="P1595" t="str">
            <v>種族なし</v>
          </cell>
          <cell r="Q1595" t="str">
            <v>強化素材</v>
          </cell>
          <cell r="R1595">
            <v>1</v>
          </cell>
          <cell r="S1595" t="str">
            <v>NULL</v>
          </cell>
          <cell r="T1595" t="str">
            <v>normal</v>
          </cell>
          <cell r="U1595" t="str">
            <v>NULL</v>
          </cell>
          <cell r="V1595" t="str">
            <v>NULL</v>
          </cell>
          <cell r="W1595" t="str">
            <v>NULL</v>
          </cell>
        </row>
        <row r="1596">
          <cell r="A1596">
            <v>8096</v>
          </cell>
          <cell r="B1596" t="str">
            <v>ja</v>
          </cell>
          <cell r="C1596" t="str">
            <v>バハムートダック緑</v>
          </cell>
          <cell r="D1596" t="str">
            <v>ポムポムプリン</v>
          </cell>
          <cell r="E1596" t="str">
            <v>執行者</v>
          </cell>
          <cell r="F1596" t="str">
            <v>格好いい</v>
          </cell>
          <cell r="G1596" t="str">
            <v>女性</v>
          </cell>
          <cell r="H1596" t="str">
            <v>green</v>
          </cell>
          <cell r="I1596">
            <v>6</v>
          </cell>
          <cell r="J1596" t="str">
            <v>Material</v>
          </cell>
          <cell r="K1596" t="str">
            <v>exp</v>
          </cell>
          <cell r="L1596" t="str">
            <v>強化素材タイプ</v>
          </cell>
          <cell r="M1596" t="str">
            <v>unknown</v>
          </cell>
          <cell r="N1596" t="str">
            <v>Unknown</v>
          </cell>
          <cell r="O1596" t="str">
            <v>none</v>
          </cell>
          <cell r="P1596" t="str">
            <v>種族なし</v>
          </cell>
          <cell r="Q1596" t="str">
            <v>強化素材</v>
          </cell>
          <cell r="R1596">
            <v>1</v>
          </cell>
          <cell r="S1596" t="str">
            <v>NULL</v>
          </cell>
          <cell r="T1596" t="str">
            <v>normal</v>
          </cell>
          <cell r="U1596" t="str">
            <v>NULL</v>
          </cell>
          <cell r="V1596" t="str">
            <v>NULL</v>
          </cell>
          <cell r="W1596" t="str">
            <v>NULL</v>
          </cell>
        </row>
        <row r="1597">
          <cell r="A1597">
            <v>8097</v>
          </cell>
          <cell r="B1597" t="str">
            <v>ja</v>
          </cell>
          <cell r="C1597" t="str">
            <v>バハムートダック青</v>
          </cell>
          <cell r="D1597" t="str">
            <v>ポムポムプリン</v>
          </cell>
          <cell r="E1597" t="str">
            <v>執行者</v>
          </cell>
          <cell r="F1597" t="str">
            <v>格好いい</v>
          </cell>
          <cell r="G1597" t="str">
            <v>女性</v>
          </cell>
          <cell r="H1597" t="str">
            <v>blue</v>
          </cell>
          <cell r="I1597">
            <v>6</v>
          </cell>
          <cell r="J1597" t="str">
            <v>Material</v>
          </cell>
          <cell r="K1597" t="str">
            <v>exp</v>
          </cell>
          <cell r="L1597" t="str">
            <v>強化素材タイプ</v>
          </cell>
          <cell r="M1597" t="str">
            <v>unknown</v>
          </cell>
          <cell r="N1597" t="str">
            <v>Unknown</v>
          </cell>
          <cell r="O1597" t="str">
            <v>none</v>
          </cell>
          <cell r="P1597" t="str">
            <v>種族なし</v>
          </cell>
          <cell r="Q1597" t="str">
            <v>強化素材</v>
          </cell>
          <cell r="R1597">
            <v>1</v>
          </cell>
          <cell r="S1597" t="str">
            <v>NULL</v>
          </cell>
          <cell r="T1597" t="str">
            <v>normal</v>
          </cell>
          <cell r="U1597" t="str">
            <v>NULL</v>
          </cell>
          <cell r="V1597" t="str">
            <v>NULL</v>
          </cell>
          <cell r="W1597" t="str">
            <v>NULL</v>
          </cell>
        </row>
        <row r="1598">
          <cell r="A1598">
            <v>8098</v>
          </cell>
          <cell r="B1598" t="str">
            <v>ja</v>
          </cell>
          <cell r="C1598" t="str">
            <v>バハムートダック黄</v>
          </cell>
          <cell r="D1598" t="str">
            <v>ポムポムプリン</v>
          </cell>
          <cell r="E1598" t="str">
            <v>執行者</v>
          </cell>
          <cell r="F1598" t="str">
            <v>格好いい</v>
          </cell>
          <cell r="G1598" t="str">
            <v>女性</v>
          </cell>
          <cell r="H1598" t="str">
            <v>yellow</v>
          </cell>
          <cell r="I1598">
            <v>6</v>
          </cell>
          <cell r="J1598" t="str">
            <v>Material</v>
          </cell>
          <cell r="K1598" t="str">
            <v>exp</v>
          </cell>
          <cell r="L1598" t="str">
            <v>強化素材タイプ</v>
          </cell>
          <cell r="M1598" t="str">
            <v>unknown</v>
          </cell>
          <cell r="N1598" t="str">
            <v>Unknown</v>
          </cell>
          <cell r="O1598" t="str">
            <v>none</v>
          </cell>
          <cell r="P1598" t="str">
            <v>種族なし</v>
          </cell>
          <cell r="Q1598" t="str">
            <v>強化素材</v>
          </cell>
          <cell r="R1598">
            <v>1</v>
          </cell>
          <cell r="S1598" t="str">
            <v>NULL</v>
          </cell>
          <cell r="T1598" t="str">
            <v>normal</v>
          </cell>
          <cell r="U1598" t="str">
            <v>NULL</v>
          </cell>
          <cell r="V1598" t="str">
            <v>NULL</v>
          </cell>
          <cell r="W1598" t="str">
            <v>NULL</v>
          </cell>
        </row>
        <row r="1599">
          <cell r="A1599">
            <v>8099</v>
          </cell>
          <cell r="B1599" t="str">
            <v>ja</v>
          </cell>
          <cell r="C1599" t="str">
            <v>リトルハンプティ</v>
          </cell>
          <cell r="D1599" t="str">
            <v>各属性相性良3・黄・R455</v>
          </cell>
          <cell r="E1599" t="str">
            <v>執行者</v>
          </cell>
          <cell r="F1599" t="str">
            <v>格好いい</v>
          </cell>
          <cell r="G1599" t="str">
            <v>男性</v>
          </cell>
          <cell r="H1599" t="str">
            <v>green</v>
          </cell>
          <cell r="I1599">
            <v>6</v>
          </cell>
          <cell r="J1599" t="str">
            <v>Material</v>
          </cell>
          <cell r="K1599" t="str">
            <v>evolution</v>
          </cell>
          <cell r="L1599" t="str">
            <v>覚醒素材タイプ</v>
          </cell>
          <cell r="M1599" t="str">
            <v>unknown</v>
          </cell>
          <cell r="N1599" t="str">
            <v>Unknown</v>
          </cell>
          <cell r="O1599" t="str">
            <v>none</v>
          </cell>
          <cell r="P1599" t="str">
            <v>種族なし</v>
          </cell>
          <cell r="Q1599" t="str">
            <v>アタッカー</v>
          </cell>
          <cell r="R1599">
            <v>1</v>
          </cell>
          <cell r="S1599" t="str">
            <v>enemy_only</v>
          </cell>
          <cell r="T1599" t="str">
            <v>normal</v>
          </cell>
          <cell r="U1599" t="str">
            <v>NULL</v>
          </cell>
          <cell r="V1599" t="str">
            <v>NULL</v>
          </cell>
          <cell r="W1599" t="str">
            <v>NULL</v>
          </cell>
        </row>
        <row r="1600">
          <cell r="A1600">
            <v>9001</v>
          </cell>
          <cell r="B1600" t="str">
            <v>ja</v>
          </cell>
          <cell r="C1600" t="str">
            <v>春香</v>
          </cell>
          <cell r="D1600" t="str">
            <v>ポムポムプリン</v>
          </cell>
          <cell r="E1600" t="str">
            <v>執行者</v>
          </cell>
          <cell r="F1600" t="str">
            <v>格好いい</v>
          </cell>
          <cell r="G1600" t="str">
            <v>女性</v>
          </cell>
          <cell r="H1600" t="str">
            <v>red</v>
          </cell>
          <cell r="I1600">
            <v>5</v>
          </cell>
          <cell r="J1600" t="str">
            <v>PremiumSSw</v>
          </cell>
          <cell r="K1600" t="str">
            <v>attack</v>
          </cell>
          <cell r="L1600" t="str">
            <v>攻撃タイプ</v>
          </cell>
          <cell r="M1600" t="str">
            <v>human</v>
          </cell>
          <cell r="N1600" t="str">
            <v>ヒューマン</v>
          </cell>
          <cell r="O1600" t="str">
            <v>none</v>
          </cell>
          <cell r="P1600" t="str">
            <v>種族なし</v>
          </cell>
          <cell r="Q1600" t="str">
            <v>アタッカー</v>
          </cell>
          <cell r="R1600">
            <v>1</v>
          </cell>
          <cell r="S1600" t="str">
            <v>NULL</v>
          </cell>
          <cell r="T1600" t="str">
            <v>normal</v>
          </cell>
          <cell r="U1600" t="str">
            <v>NULL</v>
          </cell>
          <cell r="V1600" t="str">
            <v>NULL</v>
          </cell>
          <cell r="W1600" t="str">
            <v>NULL</v>
          </cell>
        </row>
        <row r="1601">
          <cell r="A1601">
            <v>9002</v>
          </cell>
          <cell r="B1601" t="str">
            <v>ja</v>
          </cell>
          <cell r="C1601" t="str">
            <v>春香★６</v>
          </cell>
          <cell r="D1601" t="str">
            <v>ポムポムプリン</v>
          </cell>
          <cell r="E1601" t="str">
            <v>執行者</v>
          </cell>
          <cell r="F1601" t="str">
            <v>格好いい</v>
          </cell>
          <cell r="G1601" t="str">
            <v>女性</v>
          </cell>
          <cell r="H1601" t="str">
            <v>red</v>
          </cell>
          <cell r="I1601">
            <v>6</v>
          </cell>
          <cell r="J1601" t="str">
            <v>PremiumSSw</v>
          </cell>
          <cell r="K1601" t="str">
            <v>attack</v>
          </cell>
          <cell r="L1601" t="str">
            <v>攻撃タイプ</v>
          </cell>
          <cell r="M1601" t="str">
            <v>human</v>
          </cell>
          <cell r="N1601" t="str">
            <v>ヒューマン</v>
          </cell>
          <cell r="O1601" t="str">
            <v>none</v>
          </cell>
          <cell r="P1601" t="str">
            <v>種族なし</v>
          </cell>
          <cell r="Q1601" t="str">
            <v>アタッカー</v>
          </cell>
          <cell r="R1601">
            <v>1</v>
          </cell>
          <cell r="S1601" t="str">
            <v>NULL</v>
          </cell>
          <cell r="T1601" t="str">
            <v>normal</v>
          </cell>
          <cell r="U1601" t="str">
            <v>NULL</v>
          </cell>
          <cell r="V1601" t="str">
            <v>NULL</v>
          </cell>
          <cell r="W1601" t="str">
            <v>NULL</v>
          </cell>
        </row>
        <row r="1602">
          <cell r="A1602">
            <v>9003</v>
          </cell>
          <cell r="B1602" t="str">
            <v>ja</v>
          </cell>
          <cell r="C1602" t="str">
            <v>夢龍</v>
          </cell>
          <cell r="D1602" t="str">
            <v>ポムポムプリン</v>
          </cell>
          <cell r="E1602" t="str">
            <v>執行者</v>
          </cell>
          <cell r="F1602" t="str">
            <v>格好いい</v>
          </cell>
          <cell r="G1602" t="str">
            <v>女性</v>
          </cell>
          <cell r="H1602" t="str">
            <v>green</v>
          </cell>
          <cell r="I1602">
            <v>5</v>
          </cell>
          <cell r="J1602" t="str">
            <v>DropWizS</v>
          </cell>
          <cell r="K1602" t="str">
            <v>technical</v>
          </cell>
          <cell r="L1602" t="str">
            <v>テクニカルタイプ</v>
          </cell>
          <cell r="M1602" t="str">
            <v>human</v>
          </cell>
          <cell r="N1602" t="str">
            <v>ヒューマン</v>
          </cell>
          <cell r="O1602" t="str">
            <v>none</v>
          </cell>
          <cell r="P1602" t="str">
            <v>種族なし</v>
          </cell>
          <cell r="Q1602" t="str">
            <v>アタッカー</v>
          </cell>
          <cell r="R1602">
            <v>1</v>
          </cell>
          <cell r="S1602" t="str">
            <v>NULL</v>
          </cell>
          <cell r="T1602" t="str">
            <v>normal</v>
          </cell>
          <cell r="U1602" t="str">
            <v>NULL</v>
          </cell>
          <cell r="V1602" t="str">
            <v>NULL</v>
          </cell>
          <cell r="W1602" t="str">
            <v>NULL</v>
          </cell>
        </row>
        <row r="1603">
          <cell r="A1603">
            <v>9004</v>
          </cell>
          <cell r="B1603" t="str">
            <v>ja</v>
          </cell>
          <cell r="C1603" t="str">
            <v>夢龍★６</v>
          </cell>
          <cell r="D1603" t="str">
            <v>各属性相性良3・黄・R455</v>
          </cell>
          <cell r="E1603" t="str">
            <v>執行者</v>
          </cell>
          <cell r="F1603" t="str">
            <v>格好いい</v>
          </cell>
          <cell r="G1603" t="str">
            <v>男性</v>
          </cell>
          <cell r="H1603" t="str">
            <v>green</v>
          </cell>
          <cell r="I1603">
            <v>6</v>
          </cell>
          <cell r="J1603" t="str">
            <v>DropWizS</v>
          </cell>
          <cell r="K1603" t="str">
            <v>technical</v>
          </cell>
          <cell r="L1603" t="str">
            <v>テクニカルタイプ</v>
          </cell>
          <cell r="M1603" t="str">
            <v>human</v>
          </cell>
          <cell r="N1603" t="str">
            <v>ヒューマン</v>
          </cell>
          <cell r="O1603" t="str">
            <v>none</v>
          </cell>
          <cell r="P1603" t="str">
            <v>種族なし</v>
          </cell>
          <cell r="Q1603" t="str">
            <v>アタッカー</v>
          </cell>
          <cell r="R1603">
            <v>1</v>
          </cell>
          <cell r="S1603" t="str">
            <v>NULL</v>
          </cell>
          <cell r="T1603" t="str">
            <v>normal</v>
          </cell>
          <cell r="U1603" t="str">
            <v>NULL</v>
          </cell>
          <cell r="V1603" t="str">
            <v>NULL</v>
          </cell>
          <cell r="W1603" t="str">
            <v>NULL</v>
          </cell>
        </row>
        <row r="1604">
          <cell r="A1604">
            <v>10001</v>
          </cell>
          <cell r="B1604" t="str">
            <v>ja</v>
          </cell>
          <cell r="C1604" t="str">
            <v>テストユニット01</v>
          </cell>
          <cell r="H1604" t="str">
            <v>yellow</v>
          </cell>
          <cell r="I1604">
            <v>6</v>
          </cell>
          <cell r="J1604" t="str">
            <v>DropWizS</v>
          </cell>
          <cell r="K1604" t="str">
            <v>heal</v>
          </cell>
          <cell r="L1604" t="str">
            <v>回復タイプ</v>
          </cell>
          <cell r="M1604" t="str">
            <v>human</v>
          </cell>
          <cell r="N1604" t="str">
            <v>ヒューマン</v>
          </cell>
          <cell r="O1604" t="str">
            <v>samurai</v>
          </cell>
          <cell r="P1604" t="str">
            <v>サムライ</v>
          </cell>
          <cell r="R1604">
            <v>1</v>
          </cell>
          <cell r="S1604" t="str">
            <v>NULL</v>
          </cell>
          <cell r="T1604" t="str">
            <v>normal</v>
          </cell>
          <cell r="U1604" t="str">
            <v>NULL</v>
          </cell>
          <cell r="V1604" t="str">
            <v>NULL</v>
          </cell>
          <cell r="W1604" t="str">
            <v>NULL</v>
          </cell>
        </row>
        <row r="1605">
          <cell r="A1605">
            <v>10002</v>
          </cell>
          <cell r="B1605" t="str">
            <v>ja</v>
          </cell>
          <cell r="C1605" t="str">
            <v>テストユニット02</v>
          </cell>
          <cell r="H1605" t="str">
            <v>yellow</v>
          </cell>
          <cell r="I1605">
            <v>6</v>
          </cell>
          <cell r="J1605" t="str">
            <v>PremiumSS</v>
          </cell>
          <cell r="K1605" t="str">
            <v>technical</v>
          </cell>
          <cell r="L1605" t="str">
            <v>テクニカルタイプ</v>
          </cell>
          <cell r="M1605" t="str">
            <v>animal</v>
          </cell>
          <cell r="N1605" t="str">
            <v>アニマル</v>
          </cell>
          <cell r="O1605" t="str">
            <v>none</v>
          </cell>
          <cell r="P1605" t="str">
            <v>種族なし</v>
          </cell>
          <cell r="R1605">
            <v>1</v>
          </cell>
          <cell r="S1605" t="str">
            <v>NULL</v>
          </cell>
          <cell r="T1605" t="str">
            <v>normal</v>
          </cell>
          <cell r="U1605" t="str">
            <v>NULL</v>
          </cell>
          <cell r="V1605" t="str">
            <v>NULL</v>
          </cell>
          <cell r="W1605" t="str">
            <v>NULL</v>
          </cell>
        </row>
        <row r="1606">
          <cell r="A1606">
            <v>10003</v>
          </cell>
          <cell r="B1606" t="str">
            <v>ja</v>
          </cell>
          <cell r="C1606" t="str">
            <v>テストユニット03</v>
          </cell>
          <cell r="H1606" t="str">
            <v>red</v>
          </cell>
          <cell r="I1606">
            <v>5</v>
          </cell>
          <cell r="J1606" t="str">
            <v>PremiumSSS</v>
          </cell>
          <cell r="K1606" t="str">
            <v>technical</v>
          </cell>
          <cell r="L1606" t="str">
            <v>テクニカルタイプ</v>
          </cell>
          <cell r="M1606" t="str">
            <v>academia</v>
          </cell>
          <cell r="N1606" t="str">
            <v>アカデミア</v>
          </cell>
          <cell r="O1606" t="str">
            <v>hero</v>
          </cell>
          <cell r="P1606" t="str">
            <v>ヒーロー</v>
          </cell>
          <cell r="R1606">
            <v>1</v>
          </cell>
          <cell r="S1606" t="str">
            <v>NULL</v>
          </cell>
          <cell r="T1606" t="str">
            <v>normal</v>
          </cell>
          <cell r="U1606" t="str">
            <v>NULL</v>
          </cell>
          <cell r="V1606" t="str">
            <v>NULL</v>
          </cell>
          <cell r="W1606" t="str">
            <v>NULL</v>
          </cell>
        </row>
        <row r="1607">
          <cell r="A1607">
            <v>10004</v>
          </cell>
          <cell r="B1607" t="str">
            <v>ja</v>
          </cell>
          <cell r="C1607" t="str">
            <v>テストユニット04</v>
          </cell>
          <cell r="H1607" t="str">
            <v>red</v>
          </cell>
          <cell r="I1607">
            <v>6</v>
          </cell>
          <cell r="J1607" t="str">
            <v>PremiumSSS</v>
          </cell>
          <cell r="K1607" t="str">
            <v>technical</v>
          </cell>
          <cell r="L1607" t="str">
            <v>テクニカルタイプ</v>
          </cell>
          <cell r="M1607" t="str">
            <v>academia</v>
          </cell>
          <cell r="N1607" t="str">
            <v>アカデミア</v>
          </cell>
          <cell r="O1607" t="str">
            <v>hero</v>
          </cell>
          <cell r="P1607" t="str">
            <v>ヒーロー</v>
          </cell>
          <cell r="R1607">
            <v>1</v>
          </cell>
          <cell r="S1607" t="str">
            <v>NULL</v>
          </cell>
          <cell r="T1607" t="str">
            <v>normal</v>
          </cell>
          <cell r="U1607" t="str">
            <v>NULL</v>
          </cell>
          <cell r="V1607" t="str">
            <v>NULL</v>
          </cell>
          <cell r="W1607" t="str">
            <v>NULL</v>
          </cell>
        </row>
        <row r="1608">
          <cell r="A1608">
            <v>10005</v>
          </cell>
          <cell r="B1608" t="str">
            <v>ja</v>
          </cell>
          <cell r="C1608" t="str">
            <v>テストユニット05</v>
          </cell>
          <cell r="H1608" t="str">
            <v>yellow</v>
          </cell>
          <cell r="I1608">
            <v>6</v>
          </cell>
          <cell r="J1608" t="str">
            <v>PremiumSS</v>
          </cell>
          <cell r="K1608" t="str">
            <v>technical</v>
          </cell>
          <cell r="L1608" t="str">
            <v>テクニカルタイプ</v>
          </cell>
          <cell r="M1608" t="str">
            <v>human</v>
          </cell>
          <cell r="N1608" t="str">
            <v>ヒューマン</v>
          </cell>
          <cell r="O1608" t="str">
            <v>samurai</v>
          </cell>
          <cell r="P1608" t="str">
            <v>サムライ</v>
          </cell>
          <cell r="R1608">
            <v>1</v>
          </cell>
          <cell r="S1608" t="str">
            <v>NULL</v>
          </cell>
          <cell r="T1608" t="str">
            <v>normal</v>
          </cell>
          <cell r="U1608" t="str">
            <v>NULL</v>
          </cell>
          <cell r="V1608" t="str">
            <v>NULL</v>
          </cell>
          <cell r="W1608" t="str">
            <v>NULL</v>
          </cell>
        </row>
        <row r="1609">
          <cell r="A1609">
            <v>10006</v>
          </cell>
          <cell r="B1609" t="str">
            <v>ja</v>
          </cell>
          <cell r="C1609" t="str">
            <v>テストユニット06</v>
          </cell>
          <cell r="H1609" t="str">
            <v>yellow</v>
          </cell>
          <cell r="I1609">
            <v>6</v>
          </cell>
          <cell r="J1609" t="str">
            <v>PremiumSS</v>
          </cell>
          <cell r="K1609" t="str">
            <v>attack</v>
          </cell>
          <cell r="L1609" t="str">
            <v>攻撃タイプ</v>
          </cell>
          <cell r="M1609" t="str">
            <v>animal</v>
          </cell>
          <cell r="N1609" t="str">
            <v>アニマル</v>
          </cell>
          <cell r="O1609" t="str">
            <v>none</v>
          </cell>
          <cell r="P1609" t="str">
            <v>種族なし</v>
          </cell>
          <cell r="R1609">
            <v>1</v>
          </cell>
          <cell r="S1609" t="str">
            <v>NULL</v>
          </cell>
          <cell r="T1609" t="str">
            <v>normal</v>
          </cell>
          <cell r="U1609" t="str">
            <v>NULL</v>
          </cell>
          <cell r="V1609" t="str">
            <v>NULL</v>
          </cell>
          <cell r="W1609" t="str">
            <v>NULL</v>
          </cell>
        </row>
        <row r="1610">
          <cell r="A1610">
            <v>10007</v>
          </cell>
          <cell r="B1610" t="str">
            <v>ja</v>
          </cell>
          <cell r="C1610" t="str">
            <v>テストユニット07</v>
          </cell>
          <cell r="H1610" t="str">
            <v>yellow</v>
          </cell>
          <cell r="I1610">
            <v>5</v>
          </cell>
          <cell r="J1610" t="str">
            <v>PremiumSSS</v>
          </cell>
          <cell r="K1610" t="str">
            <v>technical</v>
          </cell>
          <cell r="L1610" t="str">
            <v>テクニカルタイプ</v>
          </cell>
          <cell r="M1610" t="str">
            <v>machine</v>
          </cell>
          <cell r="N1610" t="str">
            <v>マシン</v>
          </cell>
          <cell r="O1610" t="str">
            <v>god</v>
          </cell>
          <cell r="P1610" t="str">
            <v>ゴッド</v>
          </cell>
          <cell r="R1610">
            <v>1</v>
          </cell>
          <cell r="S1610" t="str">
            <v>NULL</v>
          </cell>
          <cell r="T1610" t="str">
            <v>normal</v>
          </cell>
          <cell r="U1610" t="str">
            <v>NULL</v>
          </cell>
          <cell r="V1610" t="str">
            <v>NULL</v>
          </cell>
          <cell r="W1610" t="str">
            <v>NULL</v>
          </cell>
        </row>
        <row r="1611">
          <cell r="A1611">
            <v>10008</v>
          </cell>
          <cell r="B1611" t="str">
            <v>ja</v>
          </cell>
          <cell r="C1611" t="str">
            <v>テストユニット08</v>
          </cell>
          <cell r="H1611" t="str">
            <v>yellow</v>
          </cell>
          <cell r="I1611">
            <v>6</v>
          </cell>
          <cell r="J1611" t="str">
            <v>PremiumSSS</v>
          </cell>
          <cell r="K1611" t="str">
            <v>technical</v>
          </cell>
          <cell r="L1611" t="str">
            <v>テクニカルタイプ</v>
          </cell>
          <cell r="M1611" t="str">
            <v>machine</v>
          </cell>
          <cell r="N1611" t="str">
            <v>マシン</v>
          </cell>
          <cell r="O1611" t="str">
            <v>god</v>
          </cell>
          <cell r="P1611" t="str">
            <v>ゴッド</v>
          </cell>
          <cell r="R1611">
            <v>1</v>
          </cell>
          <cell r="S1611" t="str">
            <v>NULL</v>
          </cell>
          <cell r="T1611" t="str">
            <v>normal</v>
          </cell>
          <cell r="U1611" t="str">
            <v>NULL</v>
          </cell>
          <cell r="V1611" t="str">
            <v>NULL</v>
          </cell>
          <cell r="W1611" t="str">
            <v>NULL</v>
          </cell>
        </row>
        <row r="1612">
          <cell r="A1612">
            <v>10009</v>
          </cell>
          <cell r="B1612" t="str">
            <v>ja</v>
          </cell>
          <cell r="C1612" t="str">
            <v>青テスト01</v>
          </cell>
          <cell r="H1612" t="str">
            <v>blue</v>
          </cell>
          <cell r="I1612">
            <v>6</v>
          </cell>
          <cell r="J1612" t="str">
            <v>DropWizS</v>
          </cell>
          <cell r="K1612" t="str">
            <v>heal</v>
          </cell>
          <cell r="L1612" t="str">
            <v>回復タイプ</v>
          </cell>
          <cell r="M1612" t="str">
            <v>human</v>
          </cell>
          <cell r="N1612" t="str">
            <v>ヒューマン</v>
          </cell>
          <cell r="O1612" t="str">
            <v>none</v>
          </cell>
          <cell r="P1612" t="str">
            <v>種族なし</v>
          </cell>
          <cell r="R1612">
            <v>1</v>
          </cell>
          <cell r="S1612" t="str">
            <v>NULL</v>
          </cell>
          <cell r="T1612" t="str">
            <v>normal</v>
          </cell>
          <cell r="U1612" t="str">
            <v>NULL</v>
          </cell>
          <cell r="V1612" t="str">
            <v>NULL</v>
          </cell>
          <cell r="W1612" t="str">
            <v>NULL</v>
          </cell>
        </row>
        <row r="1613">
          <cell r="A1613">
            <v>10010</v>
          </cell>
          <cell r="B1613" t="str">
            <v>ja</v>
          </cell>
          <cell r="C1613" t="str">
            <v>赤テスト01</v>
          </cell>
          <cell r="H1613" t="str">
            <v>red</v>
          </cell>
          <cell r="I1613">
            <v>6</v>
          </cell>
          <cell r="J1613" t="str">
            <v>PremiumSSS</v>
          </cell>
          <cell r="K1613" t="str">
            <v>technical</v>
          </cell>
          <cell r="L1613" t="str">
            <v>テクニカルタイプ</v>
          </cell>
          <cell r="M1613" t="str">
            <v>human</v>
          </cell>
          <cell r="N1613" t="str">
            <v>ヒューマン</v>
          </cell>
          <cell r="O1613" t="str">
            <v>queen</v>
          </cell>
          <cell r="P1613" t="str">
            <v>QUEEN</v>
          </cell>
          <cell r="R1613">
            <v>1</v>
          </cell>
          <cell r="S1613" t="str">
            <v>NULL</v>
          </cell>
          <cell r="T1613" t="str">
            <v>normal</v>
          </cell>
          <cell r="U1613" t="str">
            <v>NULL</v>
          </cell>
          <cell r="V1613" t="str">
            <v>NULL</v>
          </cell>
          <cell r="W1613" t="str">
            <v>NULL</v>
          </cell>
        </row>
        <row r="1614">
          <cell r="A1614">
            <v>10011</v>
          </cell>
          <cell r="B1614" t="str">
            <v>ja</v>
          </cell>
          <cell r="C1614" t="str">
            <v>テストユニット11</v>
          </cell>
          <cell r="H1614" t="str">
            <v>red</v>
          </cell>
          <cell r="I1614">
            <v>5</v>
          </cell>
          <cell r="J1614" t="str">
            <v>PremiumSSS</v>
          </cell>
          <cell r="K1614" t="str">
            <v>technical</v>
          </cell>
          <cell r="L1614" t="str">
            <v>テクニカルタイプ</v>
          </cell>
          <cell r="M1614" t="str">
            <v>academia</v>
          </cell>
          <cell r="N1614" t="str">
            <v>アカデミア</v>
          </cell>
          <cell r="O1614" t="str">
            <v>hero</v>
          </cell>
          <cell r="P1614" t="str">
            <v>ヒーロー</v>
          </cell>
          <cell r="R1614">
            <v>1</v>
          </cell>
          <cell r="S1614" t="str">
            <v>NULL</v>
          </cell>
          <cell r="T1614" t="str">
            <v>normal</v>
          </cell>
          <cell r="U1614" t="str">
            <v>NULL</v>
          </cell>
          <cell r="V1614" t="str">
            <v>NULL</v>
          </cell>
          <cell r="W1614" t="str">
            <v>NULL</v>
          </cell>
        </row>
        <row r="1615">
          <cell r="A1615">
            <v>10012</v>
          </cell>
          <cell r="B1615" t="str">
            <v>ja</v>
          </cell>
          <cell r="C1615" t="str">
            <v>テストユニット12</v>
          </cell>
          <cell r="H1615" t="str">
            <v>red</v>
          </cell>
          <cell r="I1615">
            <v>6</v>
          </cell>
          <cell r="J1615" t="str">
            <v>PremiumSSS</v>
          </cell>
          <cell r="K1615" t="str">
            <v>technical</v>
          </cell>
          <cell r="L1615" t="str">
            <v>テクニカルタイプ</v>
          </cell>
          <cell r="M1615" t="str">
            <v>academia</v>
          </cell>
          <cell r="N1615" t="str">
            <v>アカデミア</v>
          </cell>
          <cell r="O1615" t="str">
            <v>hero</v>
          </cell>
          <cell r="P1615" t="str">
            <v>ヒーロー</v>
          </cell>
          <cell r="R1615">
            <v>1</v>
          </cell>
          <cell r="S1615" t="str">
            <v>NULL</v>
          </cell>
          <cell r="T1615" t="str">
            <v>normal</v>
          </cell>
          <cell r="U1615" t="str">
            <v>NULL</v>
          </cell>
          <cell r="V1615" t="str">
            <v>NULL</v>
          </cell>
          <cell r="W1615" t="str">
            <v>NULL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理論値幅"/>
      <sheetName val="fork_awake_units"/>
      <sheetName val="fork_awake_materials"/>
      <sheetName val="awake_material_habitats"/>
      <sheetName val="awake_material_habitats_manual"/>
      <sheetName val="ビット"/>
    </sheetNames>
    <sheetDataSet>
      <sheetData sheetId="0"/>
      <sheetData sheetId="1"/>
      <sheetData sheetId="2">
        <row r="1">
          <cell r="A1" t="str">
            <v>character_id</v>
          </cell>
        </row>
      </sheetData>
      <sheetData sheetId="3"/>
      <sheetData sheetId="4"/>
      <sheetData sheetId="5"/>
      <sheetData sheetId="6">
        <row r="2">
          <cell r="A2" t="str">
            <v>レアレリティ</v>
          </cell>
          <cell r="B2" t="str">
            <v>金額</v>
          </cell>
        </row>
        <row r="3">
          <cell r="A3">
            <v>1</v>
          </cell>
          <cell r="B3">
            <v>5000</v>
          </cell>
        </row>
        <row r="4">
          <cell r="A4">
            <v>2</v>
          </cell>
          <cell r="B4">
            <v>10000</v>
          </cell>
        </row>
        <row r="5">
          <cell r="A5">
            <v>3</v>
          </cell>
          <cell r="B5">
            <v>20000</v>
          </cell>
        </row>
        <row r="6">
          <cell r="A6">
            <v>4</v>
          </cell>
          <cell r="B6">
            <v>50000</v>
          </cell>
        </row>
        <row r="7">
          <cell r="A7">
            <v>5</v>
          </cell>
          <cell r="B7">
            <v>200000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abilities"/>
      <sheetName val="ability_基礎設計"/>
      <sheetName val="unit_abilities"/>
      <sheetName val="文言管理シート"/>
      <sheetName val="Sheet1"/>
    </sheetNames>
    <sheetDataSet>
      <sheetData sheetId="0"/>
      <sheetData sheetId="1">
        <row r="1">
          <cell r="A1" t="str">
            <v>ability_id</v>
          </cell>
          <cell r="B1" t="str">
            <v>language</v>
          </cell>
          <cell r="C1" t="str">
            <v>name</v>
          </cell>
          <cell r="D1" t="str">
            <v>comment</v>
          </cell>
        </row>
        <row r="2">
          <cell r="A2">
            <v>100</v>
          </cell>
          <cell r="B2" t="str">
            <v>ja</v>
          </cell>
          <cell r="C2" t="str">
            <v>プロテクトブレイク</v>
          </cell>
          <cell r="D2" t="str">
            <v>自身が先頭の時、プロテクトを無視してパネル破壊できる</v>
          </cell>
        </row>
        <row r="3">
          <cell r="A3">
            <v>101</v>
          </cell>
          <cell r="B3" t="str">
            <v>ja</v>
          </cell>
          <cell r="C3" t="str">
            <v>プロテクトブレイクS(仮)</v>
          </cell>
          <cell r="D3" t="str">
            <v>自身が先頭の時、プロテクトを無視してパネル破壊できる</v>
          </cell>
        </row>
        <row r="4">
          <cell r="A4">
            <v>102</v>
          </cell>
          <cell r="B4" t="str">
            <v>ja</v>
          </cell>
          <cell r="C4" t="str">
            <v>プロテクトブレイク</v>
          </cell>
          <cell r="D4" t="str">
            <v>自身が先頭の時、プロテクトを無視してパネル破壊できる</v>
          </cell>
        </row>
        <row r="5">
          <cell r="A5">
            <v>103</v>
          </cell>
          <cell r="B5" t="str">
            <v>ja</v>
          </cell>
          <cell r="C5" t="str">
            <v>お邪魔ブレイク</v>
          </cell>
          <cell r="D5" t="str">
            <v>自身が先頭の時、お邪魔パネルを破壊できる</v>
          </cell>
        </row>
        <row r="6">
          <cell r="A6">
            <v>104</v>
          </cell>
          <cell r="B6" t="str">
            <v>ja</v>
          </cell>
          <cell r="C6" t="str">
            <v>お邪魔ブレイク</v>
          </cell>
          <cell r="D6" t="str">
            <v>自身が先頭の時、お邪魔パネルを破壊できる</v>
          </cell>
        </row>
        <row r="7">
          <cell r="A7">
            <v>105</v>
          </cell>
          <cell r="B7" t="str">
            <v>ja</v>
          </cell>
          <cell r="C7" t="str">
            <v>お邪魔ブレイク</v>
          </cell>
          <cell r="D7" t="str">
            <v>自身が先頭の時、お邪魔パネルを破壊できる</v>
          </cell>
        </row>
        <row r="8">
          <cell r="A8">
            <v>106</v>
          </cell>
          <cell r="B8" t="str">
            <v>ja</v>
          </cell>
          <cell r="C8" t="str">
            <v>時限式ブレイク</v>
          </cell>
          <cell r="D8" t="str">
            <v>自身が先頭の時、時限式ダメージパネルを破壊できる</v>
          </cell>
        </row>
        <row r="9">
          <cell r="A9">
            <v>107</v>
          </cell>
          <cell r="B9" t="str">
            <v>ja</v>
          </cell>
          <cell r="C9" t="str">
            <v>時限式ブレイク</v>
          </cell>
          <cell r="D9" t="str">
            <v>自身が先頭の時、時限式ダメージパネルを破壊できる</v>
          </cell>
        </row>
        <row r="10">
          <cell r="A10">
            <v>108</v>
          </cell>
          <cell r="B10" t="str">
            <v>ja</v>
          </cell>
          <cell r="C10" t="str">
            <v>時限式ブレイク</v>
          </cell>
          <cell r="D10" t="str">
            <v>自身が先頭の時、時限式ダメージパネルを破壊できる</v>
          </cell>
        </row>
        <row r="11">
          <cell r="A11">
            <v>200</v>
          </cell>
          <cell r="B11" t="str">
            <v>ja</v>
          </cell>
          <cell r="C11" t="str">
            <v>ウィルス無効</v>
          </cell>
          <cell r="D11" t="str">
            <v>自身にかかるウィルスを無効化する</v>
          </cell>
        </row>
        <row r="12">
          <cell r="A12">
            <v>201</v>
          </cell>
          <cell r="B12" t="str">
            <v>ja</v>
          </cell>
          <cell r="C12" t="str">
            <v>スキルバインド無効</v>
          </cell>
          <cell r="D12" t="str">
            <v>自身にかかるスキルバインドを無効化する</v>
          </cell>
        </row>
        <row r="13">
          <cell r="A13">
            <v>202</v>
          </cell>
          <cell r="B13" t="str">
            <v>ja</v>
          </cell>
          <cell r="C13" t="str">
            <v>スリープ無効</v>
          </cell>
          <cell r="D13" t="str">
            <v>自身にかかるスリープを無効化する</v>
          </cell>
        </row>
        <row r="14">
          <cell r="A14">
            <v>203</v>
          </cell>
          <cell r="B14" t="str">
            <v>ja</v>
          </cell>
          <cell r="C14" t="str">
            <v>爆風軽減無効</v>
          </cell>
          <cell r="D14" t="str">
            <v>自身が先頭の時、爆風軽減を無効化する</v>
          </cell>
        </row>
        <row r="15">
          <cell r="A15">
            <v>204</v>
          </cell>
          <cell r="B15" t="str">
            <v>ja</v>
          </cell>
          <cell r="C15" t="str">
            <v>爆風強化</v>
          </cell>
          <cell r="D15" t="str">
            <v>自身が先頭の時、ボムの爆風を強化する</v>
          </cell>
        </row>
        <row r="16">
          <cell r="A16">
            <v>300</v>
          </cell>
          <cell r="B16" t="str">
            <v>ja</v>
          </cell>
          <cell r="C16" t="str">
            <v>対ゴッド ダメージUP</v>
          </cell>
          <cell r="D16" t="str">
            <v>自身の攻撃対象が種族ゴッドの場合全ての攻撃の威力をUP</v>
          </cell>
        </row>
        <row r="17">
          <cell r="A17">
            <v>301</v>
          </cell>
          <cell r="B17" t="str">
            <v>ja</v>
          </cell>
          <cell r="C17" t="str">
            <v>対ゴッド ダメージ大UP</v>
          </cell>
          <cell r="D17" t="str">
            <v>自身の攻撃対象が種族ゴッドの場合全ての攻撃の威力をUP</v>
          </cell>
        </row>
        <row r="18">
          <cell r="A18">
            <v>302</v>
          </cell>
          <cell r="B18" t="str">
            <v>ja</v>
          </cell>
          <cell r="C18" t="str">
            <v>対ゴッド ダメージ特大UP</v>
          </cell>
          <cell r="D18" t="str">
            <v>自身の攻撃対象が種族ゴッドの場合全ての攻撃の威力をUP</v>
          </cell>
        </row>
        <row r="19">
          <cell r="A19">
            <v>303</v>
          </cell>
          <cell r="B19" t="str">
            <v>ja</v>
          </cell>
          <cell r="C19" t="str">
            <v>対ゴッド ダメージ超大UP</v>
          </cell>
          <cell r="D19" t="str">
            <v>自身の攻撃対象が種族ゴッドの場合全ての攻撃の威力をUP</v>
          </cell>
        </row>
        <row r="20">
          <cell r="A20">
            <v>304</v>
          </cell>
          <cell r="B20" t="str">
            <v>ja</v>
          </cell>
          <cell r="C20" t="str">
            <v>対ヒューマン ダメージUP</v>
          </cell>
          <cell r="D20" t="str">
            <v>自身の攻撃対象が種族ヒューマンの場合全ての攻撃の威力をUP</v>
          </cell>
        </row>
        <row r="21">
          <cell r="A21">
            <v>305</v>
          </cell>
          <cell r="B21" t="str">
            <v>ja</v>
          </cell>
          <cell r="C21" t="str">
            <v>対ヒューマン ダメージUP</v>
          </cell>
          <cell r="D21" t="str">
            <v>自身の攻撃対象が種族ヒューマンの場合全ての攻撃の威力をUP</v>
          </cell>
        </row>
        <row r="22">
          <cell r="A22">
            <v>306</v>
          </cell>
          <cell r="B22" t="str">
            <v>ja</v>
          </cell>
          <cell r="C22" t="str">
            <v>対ヒューマン ダメージUP</v>
          </cell>
          <cell r="D22" t="str">
            <v>自身の攻撃対象が種族ヒューマンの場合全ての攻撃の威力をUP</v>
          </cell>
        </row>
        <row r="23">
          <cell r="A23">
            <v>307</v>
          </cell>
          <cell r="B23" t="str">
            <v>ja</v>
          </cell>
          <cell r="C23" t="str">
            <v>対ヒューマン ダメージUP</v>
          </cell>
          <cell r="D23" t="str">
            <v>自身の攻撃対象が種族ヒューマンの場合全ての攻撃の威力をUP</v>
          </cell>
        </row>
        <row r="24">
          <cell r="A24">
            <v>308</v>
          </cell>
          <cell r="B24" t="str">
            <v>ja</v>
          </cell>
          <cell r="C24" t="str">
            <v>対アニマル ダメージUP</v>
          </cell>
          <cell r="D24" t="str">
            <v>自身の攻撃対象が種族アニマルの場合全ての攻撃の威力をUP</v>
          </cell>
        </row>
        <row r="25">
          <cell r="A25">
            <v>309</v>
          </cell>
          <cell r="B25" t="str">
            <v>ja</v>
          </cell>
          <cell r="C25" t="str">
            <v>対アニマル ダメージUP</v>
          </cell>
          <cell r="D25" t="str">
            <v>自身の攻撃対象が種族アニマルの場合全ての攻撃の威力をUP</v>
          </cell>
        </row>
        <row r="26">
          <cell r="A26">
            <v>310</v>
          </cell>
          <cell r="B26" t="str">
            <v>ja</v>
          </cell>
          <cell r="C26" t="str">
            <v>対アニマル ダメージUP</v>
          </cell>
          <cell r="D26" t="str">
            <v>自身の攻撃対象が種族アニマルの場合全ての攻撃の威力をUP</v>
          </cell>
        </row>
        <row r="27">
          <cell r="A27">
            <v>311</v>
          </cell>
          <cell r="B27" t="str">
            <v>ja</v>
          </cell>
          <cell r="C27" t="str">
            <v>対アニマル ダメージUP</v>
          </cell>
          <cell r="D27" t="str">
            <v>自身の攻撃対象が種族アニマルの場合全ての攻撃の威力をUP</v>
          </cell>
        </row>
        <row r="28">
          <cell r="A28">
            <v>312</v>
          </cell>
          <cell r="B28" t="str">
            <v>ja</v>
          </cell>
          <cell r="C28" t="str">
            <v>対ドラゴン ダメージUP</v>
          </cell>
          <cell r="D28" t="str">
            <v>自身の攻撃対象が種族ドラゴンの場合全ての攻撃の威力をUP</v>
          </cell>
        </row>
        <row r="29">
          <cell r="A29">
            <v>313</v>
          </cell>
          <cell r="B29" t="str">
            <v>ja</v>
          </cell>
          <cell r="C29" t="str">
            <v>対ドラゴン ダメージUP</v>
          </cell>
          <cell r="D29" t="str">
            <v>自身の攻撃対象が種族ドラゴンの場合全ての攻撃の威力をUP</v>
          </cell>
        </row>
        <row r="30">
          <cell r="A30">
            <v>314</v>
          </cell>
          <cell r="B30" t="str">
            <v>ja</v>
          </cell>
          <cell r="C30" t="str">
            <v>対ドラゴン ダメージUP</v>
          </cell>
          <cell r="D30" t="str">
            <v>自身の攻撃対象が種族ドラゴンの場合全ての攻撃の威力をUP</v>
          </cell>
        </row>
        <row r="31">
          <cell r="A31">
            <v>315</v>
          </cell>
          <cell r="B31" t="str">
            <v>ja</v>
          </cell>
          <cell r="C31" t="str">
            <v>対ドラゴン ダメージUP</v>
          </cell>
          <cell r="D31" t="str">
            <v>自身の攻撃対象が種族ドラゴンの場合全ての攻撃の威力をUP</v>
          </cell>
        </row>
        <row r="32">
          <cell r="A32">
            <v>316</v>
          </cell>
          <cell r="B32" t="str">
            <v>ja</v>
          </cell>
          <cell r="C32" t="str">
            <v>対Unknown ダメージUP</v>
          </cell>
          <cell r="D32" t="str">
            <v>自身の攻撃対象が種族Unknownの場合全ての攻撃の威力をUP</v>
          </cell>
        </row>
        <row r="33">
          <cell r="A33">
            <v>317</v>
          </cell>
          <cell r="B33" t="str">
            <v>ja</v>
          </cell>
          <cell r="C33" t="str">
            <v>対Unknown ダメージUP</v>
          </cell>
          <cell r="D33" t="str">
            <v>自身の攻撃対象が種族Unknownの場合全ての攻撃の威力をUP</v>
          </cell>
        </row>
        <row r="34">
          <cell r="A34">
            <v>318</v>
          </cell>
          <cell r="B34" t="str">
            <v>ja</v>
          </cell>
          <cell r="C34" t="str">
            <v>対Unknown ダメージUP</v>
          </cell>
          <cell r="D34" t="str">
            <v>自身の攻撃対象が種族Unknownの場合全ての攻撃の威力をUP</v>
          </cell>
        </row>
        <row r="35">
          <cell r="A35">
            <v>319</v>
          </cell>
          <cell r="B35" t="str">
            <v>ja</v>
          </cell>
          <cell r="C35" t="str">
            <v>対Unknown ダメージUP</v>
          </cell>
          <cell r="D35" t="str">
            <v>自身の攻撃対象が種族Unknownの場合全ての攻撃の威力をUP</v>
          </cell>
        </row>
        <row r="36">
          <cell r="A36">
            <v>320</v>
          </cell>
          <cell r="B36" t="str">
            <v>ja</v>
          </cell>
          <cell r="C36" t="str">
            <v>対サムライ ダメージUP</v>
          </cell>
          <cell r="D36" t="str">
            <v>自身の攻撃対象が種族サムライの場合全ての攻撃の威力をUP</v>
          </cell>
        </row>
        <row r="37">
          <cell r="A37">
            <v>321</v>
          </cell>
          <cell r="B37" t="str">
            <v>ja</v>
          </cell>
          <cell r="C37" t="str">
            <v>対サムライ ダメージUP</v>
          </cell>
          <cell r="D37" t="str">
            <v>自身の攻撃対象が種族サムライの場合全ての攻撃の威力をUP</v>
          </cell>
        </row>
        <row r="38">
          <cell r="A38">
            <v>322</v>
          </cell>
          <cell r="B38" t="str">
            <v>ja</v>
          </cell>
          <cell r="C38" t="str">
            <v>対サムライ ダメージUP</v>
          </cell>
          <cell r="D38" t="str">
            <v>自身の攻撃対象が種族サムライの場合全ての攻撃の威力をUP</v>
          </cell>
        </row>
        <row r="39">
          <cell r="A39">
            <v>323</v>
          </cell>
          <cell r="B39" t="str">
            <v>ja</v>
          </cell>
          <cell r="C39" t="str">
            <v>対サムライ ダメージUP</v>
          </cell>
          <cell r="D39" t="str">
            <v>自身の攻撃対象が種族サムライの場合全ての攻撃の威力をUP</v>
          </cell>
        </row>
        <row r="40">
          <cell r="A40">
            <v>324</v>
          </cell>
          <cell r="B40" t="str">
            <v>ja</v>
          </cell>
          <cell r="C40" t="str">
            <v>対ウェポン ダメージUP</v>
          </cell>
          <cell r="D40" t="str">
            <v>自身の攻撃対象が種族ウェポンの場合全ての攻撃の威力をUP</v>
          </cell>
        </row>
        <row r="41">
          <cell r="A41">
            <v>325</v>
          </cell>
          <cell r="B41" t="str">
            <v>ja</v>
          </cell>
          <cell r="C41" t="str">
            <v>対ウェポン ダメージUP</v>
          </cell>
          <cell r="D41" t="str">
            <v>自身の攻撃対象が種族ウェポンの場合全ての攻撃の威力をUP</v>
          </cell>
        </row>
        <row r="42">
          <cell r="A42">
            <v>326</v>
          </cell>
          <cell r="B42" t="str">
            <v>ja</v>
          </cell>
          <cell r="C42" t="str">
            <v>対ウェポン ダメージUP</v>
          </cell>
          <cell r="D42" t="str">
            <v>自身の攻撃対象が種族ウェポンの場合全ての攻撃の威力をUP</v>
          </cell>
        </row>
        <row r="43">
          <cell r="A43">
            <v>327</v>
          </cell>
          <cell r="B43" t="str">
            <v>ja</v>
          </cell>
          <cell r="C43" t="str">
            <v>対ウェポン ダメージUP</v>
          </cell>
          <cell r="D43" t="str">
            <v>自身の攻撃対象が種族ウェポンの場合全ての攻撃の威力をUP</v>
          </cell>
        </row>
        <row r="44">
          <cell r="A44">
            <v>328</v>
          </cell>
          <cell r="B44" t="str">
            <v>ja</v>
          </cell>
          <cell r="C44" t="str">
            <v>対アカデミア ダメージUP</v>
          </cell>
          <cell r="D44" t="str">
            <v>自身の攻撃対象が種族アカデミアの場合全ての攻撃の威力をUP</v>
          </cell>
        </row>
        <row r="45">
          <cell r="A45">
            <v>329</v>
          </cell>
          <cell r="B45" t="str">
            <v>ja</v>
          </cell>
          <cell r="C45" t="str">
            <v>対アカデミア ダメージUP</v>
          </cell>
          <cell r="D45" t="str">
            <v>自身の攻撃対象が種族アカデミアの場合全ての攻撃の威力をUP</v>
          </cell>
        </row>
        <row r="46">
          <cell r="A46">
            <v>330</v>
          </cell>
          <cell r="B46" t="str">
            <v>ja</v>
          </cell>
          <cell r="C46" t="str">
            <v>対アカデミア ダメージUP</v>
          </cell>
          <cell r="D46" t="str">
            <v>自身の攻撃対象が種族アカデミアの場合全ての攻撃の威力をUP</v>
          </cell>
        </row>
        <row r="47">
          <cell r="A47">
            <v>331</v>
          </cell>
          <cell r="B47" t="str">
            <v>ja</v>
          </cell>
          <cell r="C47" t="str">
            <v>対アカデミア ダメージUP</v>
          </cell>
          <cell r="D47" t="str">
            <v>自身の攻撃対象が種族アカデミアの場合全ての攻撃の威力をUP</v>
          </cell>
        </row>
        <row r="48">
          <cell r="A48">
            <v>332</v>
          </cell>
          <cell r="B48" t="str">
            <v>ja</v>
          </cell>
          <cell r="C48" t="str">
            <v>対タイタン ダメージUP</v>
          </cell>
          <cell r="D48" t="str">
            <v>自身の攻撃対象が種族タイタンの場合全ての攻撃の威力をUP</v>
          </cell>
        </row>
        <row r="49">
          <cell r="A49">
            <v>333</v>
          </cell>
          <cell r="B49" t="str">
            <v>ja</v>
          </cell>
          <cell r="C49" t="str">
            <v>対タイタン ダメージUP</v>
          </cell>
          <cell r="D49" t="str">
            <v>自身の攻撃対象が種族タイタンの場合全ての攻撃の威力をUP</v>
          </cell>
        </row>
        <row r="50">
          <cell r="A50">
            <v>334</v>
          </cell>
          <cell r="B50" t="str">
            <v>ja</v>
          </cell>
          <cell r="C50" t="str">
            <v>対タイタン ダメージUP</v>
          </cell>
          <cell r="D50" t="str">
            <v>自身の攻撃対象が種族タイタンの場合全ての攻撃の威力をUP</v>
          </cell>
        </row>
        <row r="51">
          <cell r="A51">
            <v>335</v>
          </cell>
          <cell r="B51" t="str">
            <v>ja</v>
          </cell>
          <cell r="C51" t="str">
            <v>対タイタン ダメージUP</v>
          </cell>
          <cell r="D51" t="str">
            <v>自身の攻撃対象が種族タイタンの場合全ての攻撃の威力をUP</v>
          </cell>
        </row>
        <row r="52">
          <cell r="A52">
            <v>336</v>
          </cell>
          <cell r="B52" t="str">
            <v>ja</v>
          </cell>
          <cell r="C52" t="str">
            <v>対マシン ダメージUP</v>
          </cell>
          <cell r="D52" t="str">
            <v>自身の攻撃対象が種族マシンの場合全ての攻撃の威力をUP</v>
          </cell>
        </row>
        <row r="53">
          <cell r="A53">
            <v>337</v>
          </cell>
          <cell r="B53" t="str">
            <v>ja</v>
          </cell>
          <cell r="C53" t="str">
            <v>対マシン ダメージUP</v>
          </cell>
          <cell r="D53" t="str">
            <v>自身の攻撃対象が種族マシンの場合全ての攻撃の威力をUP</v>
          </cell>
        </row>
        <row r="54">
          <cell r="A54">
            <v>338</v>
          </cell>
          <cell r="B54" t="str">
            <v>ja</v>
          </cell>
          <cell r="C54" t="str">
            <v>対マシン ダメージUP</v>
          </cell>
          <cell r="D54" t="str">
            <v>自身の攻撃対象が種族マシンの場合全ての攻撃の威力をUP</v>
          </cell>
        </row>
        <row r="55">
          <cell r="A55">
            <v>339</v>
          </cell>
          <cell r="B55" t="str">
            <v>ja</v>
          </cell>
          <cell r="C55" t="str">
            <v>対マシン ダメージUP</v>
          </cell>
          <cell r="D55" t="str">
            <v>自身の攻撃対象が種族マシンの場合全ての攻撃の威力をUP</v>
          </cell>
        </row>
        <row r="56">
          <cell r="A56">
            <v>400</v>
          </cell>
          <cell r="B56" t="str">
            <v>ja</v>
          </cell>
          <cell r="C56" t="str">
            <v>攻撃タイプキラー</v>
          </cell>
          <cell r="D56" t="str">
            <v>攻撃対象が攻撃タイプの場合威力UP</v>
          </cell>
        </row>
        <row r="57">
          <cell r="A57">
            <v>401</v>
          </cell>
          <cell r="B57" t="str">
            <v>ja</v>
          </cell>
          <cell r="C57" t="str">
            <v>攻撃タイプキラー</v>
          </cell>
          <cell r="D57" t="str">
            <v>攻撃対象が攻撃タイプの場合威力UP</v>
          </cell>
        </row>
        <row r="58">
          <cell r="A58">
            <v>402</v>
          </cell>
          <cell r="B58" t="str">
            <v>ja</v>
          </cell>
          <cell r="C58" t="str">
            <v>攻撃タイプキラー</v>
          </cell>
          <cell r="D58" t="str">
            <v>攻撃対象が攻撃タイプの場合威力UP</v>
          </cell>
        </row>
        <row r="59">
          <cell r="A59">
            <v>403</v>
          </cell>
          <cell r="B59" t="str">
            <v>ja</v>
          </cell>
          <cell r="C59" t="str">
            <v>攻撃タイプキラー</v>
          </cell>
          <cell r="D59" t="str">
            <v>攻撃対象が攻撃タイプの場合威力UP</v>
          </cell>
        </row>
        <row r="60">
          <cell r="A60">
            <v>404</v>
          </cell>
          <cell r="B60" t="str">
            <v>ja</v>
          </cell>
          <cell r="C60" t="str">
            <v>バランスタイプキラー</v>
          </cell>
          <cell r="D60" t="str">
            <v>攻撃対象が攻撃タイプの場合威力UP</v>
          </cell>
        </row>
        <row r="61">
          <cell r="A61">
            <v>405</v>
          </cell>
          <cell r="B61" t="str">
            <v>ja</v>
          </cell>
          <cell r="C61" t="str">
            <v>バランスタイプキラー</v>
          </cell>
          <cell r="D61" t="str">
            <v>攻撃対象が攻撃タイプの場合威力UP</v>
          </cell>
        </row>
        <row r="62">
          <cell r="A62">
            <v>406</v>
          </cell>
          <cell r="B62" t="str">
            <v>ja</v>
          </cell>
          <cell r="C62" t="str">
            <v>バランスタイプキラー</v>
          </cell>
          <cell r="D62" t="str">
            <v>攻撃対象が攻撃タイプの場合威力UP</v>
          </cell>
        </row>
        <row r="63">
          <cell r="A63">
            <v>407</v>
          </cell>
          <cell r="B63" t="str">
            <v>ja</v>
          </cell>
          <cell r="C63" t="str">
            <v>バランスタイプキラー</v>
          </cell>
          <cell r="D63" t="str">
            <v>攻撃対象が攻撃タイプの場合威力UP</v>
          </cell>
        </row>
        <row r="64">
          <cell r="A64">
            <v>408</v>
          </cell>
          <cell r="B64" t="str">
            <v>ja</v>
          </cell>
          <cell r="C64" t="str">
            <v>体力タイプキラー</v>
          </cell>
          <cell r="D64" t="str">
            <v>攻撃対象が攻撃タイプの場合威力UP</v>
          </cell>
        </row>
        <row r="65">
          <cell r="A65">
            <v>409</v>
          </cell>
          <cell r="B65" t="str">
            <v>ja</v>
          </cell>
          <cell r="C65" t="str">
            <v>体力タイプキラー</v>
          </cell>
          <cell r="D65" t="str">
            <v>攻撃対象が攻撃タイプの場合威力UP</v>
          </cell>
        </row>
        <row r="66">
          <cell r="A66">
            <v>410</v>
          </cell>
          <cell r="B66" t="str">
            <v>ja</v>
          </cell>
          <cell r="C66" t="str">
            <v>体力タイプキラー</v>
          </cell>
          <cell r="D66" t="str">
            <v>攻撃対象が攻撃タイプの場合威力UP</v>
          </cell>
        </row>
        <row r="67">
          <cell r="A67">
            <v>411</v>
          </cell>
          <cell r="B67" t="str">
            <v>ja</v>
          </cell>
          <cell r="C67" t="str">
            <v>体力タイプキラー</v>
          </cell>
          <cell r="D67" t="str">
            <v>攻撃対象が攻撃タイプの場合威力UP</v>
          </cell>
        </row>
        <row r="68">
          <cell r="A68">
            <v>412</v>
          </cell>
          <cell r="B68" t="str">
            <v>ja</v>
          </cell>
          <cell r="C68" t="str">
            <v>テクニカルタイプキラー</v>
          </cell>
          <cell r="D68" t="str">
            <v>攻撃対象が攻撃タイプの場合威力UP</v>
          </cell>
        </row>
        <row r="69">
          <cell r="A69">
            <v>413</v>
          </cell>
          <cell r="B69" t="str">
            <v>ja</v>
          </cell>
          <cell r="C69" t="str">
            <v>テクニカルタイプキラー</v>
          </cell>
          <cell r="D69" t="str">
            <v>攻撃対象が攻撃タイプの場合威力UP</v>
          </cell>
        </row>
        <row r="70">
          <cell r="A70">
            <v>414</v>
          </cell>
          <cell r="B70" t="str">
            <v>ja</v>
          </cell>
          <cell r="C70" t="str">
            <v>テクニカルタイプキラー</v>
          </cell>
          <cell r="D70" t="str">
            <v>攻撃対象が攻撃タイプの場合威力UP</v>
          </cell>
        </row>
        <row r="71">
          <cell r="A71">
            <v>415</v>
          </cell>
          <cell r="B71" t="str">
            <v>ja</v>
          </cell>
          <cell r="C71" t="str">
            <v>テクニカルタイプキラー</v>
          </cell>
          <cell r="D71" t="str">
            <v>攻撃対象が攻撃タイプの場合威力UP</v>
          </cell>
        </row>
        <row r="72">
          <cell r="A72">
            <v>416</v>
          </cell>
          <cell r="B72" t="str">
            <v>ja</v>
          </cell>
          <cell r="C72" t="str">
            <v>回復タイプキラー</v>
          </cell>
          <cell r="D72" t="str">
            <v>攻撃対象が攻撃タイプの場合威力UP</v>
          </cell>
        </row>
        <row r="73">
          <cell r="A73">
            <v>417</v>
          </cell>
          <cell r="B73" t="str">
            <v>ja</v>
          </cell>
          <cell r="C73" t="str">
            <v>回復タイプキラー</v>
          </cell>
          <cell r="D73" t="str">
            <v>攻撃対象が攻撃タイプの場合威力UP</v>
          </cell>
        </row>
        <row r="74">
          <cell r="A74">
            <v>418</v>
          </cell>
          <cell r="B74" t="str">
            <v>ja</v>
          </cell>
          <cell r="C74" t="str">
            <v>回復タイプキラー</v>
          </cell>
          <cell r="D74" t="str">
            <v>攻撃対象が攻撃タイプの場合威力UP</v>
          </cell>
        </row>
        <row r="75">
          <cell r="A75">
            <v>419</v>
          </cell>
          <cell r="B75" t="str">
            <v>ja</v>
          </cell>
          <cell r="C75" t="str">
            <v>回復タイプキラー</v>
          </cell>
          <cell r="D75" t="str">
            <v>攻撃対象が攻撃タイプの場合威力UP</v>
          </cell>
        </row>
        <row r="76">
          <cell r="A76">
            <v>420</v>
          </cell>
          <cell r="B76" t="str">
            <v>ja</v>
          </cell>
          <cell r="C76" t="str">
            <v>強化素材タイプキラー</v>
          </cell>
          <cell r="D76" t="str">
            <v>攻撃対象が攻撃タイプの場合威力UP</v>
          </cell>
        </row>
        <row r="77">
          <cell r="A77">
            <v>421</v>
          </cell>
          <cell r="B77" t="str">
            <v>ja</v>
          </cell>
          <cell r="C77" t="str">
            <v>強化素材タイプキラー</v>
          </cell>
          <cell r="D77" t="str">
            <v>攻撃対象が攻撃タイプの場合威力UP</v>
          </cell>
        </row>
        <row r="78">
          <cell r="A78">
            <v>422</v>
          </cell>
          <cell r="B78" t="str">
            <v>ja</v>
          </cell>
          <cell r="C78" t="str">
            <v>強化素材タイプキラー</v>
          </cell>
          <cell r="D78" t="str">
            <v>攻撃対象が攻撃タイプの場合威力UP</v>
          </cell>
        </row>
        <row r="79">
          <cell r="A79">
            <v>423</v>
          </cell>
          <cell r="B79" t="str">
            <v>ja</v>
          </cell>
          <cell r="C79" t="str">
            <v>強化素材タイプキラー</v>
          </cell>
          <cell r="D79" t="str">
            <v>攻撃対象が攻撃タイプの場合威力UP</v>
          </cell>
        </row>
        <row r="80">
          <cell r="A80">
            <v>424</v>
          </cell>
          <cell r="B80" t="str">
            <v>ja</v>
          </cell>
          <cell r="C80" t="str">
            <v>コインタイプキラー</v>
          </cell>
          <cell r="D80" t="str">
            <v>攻撃対象が攻撃タイプの場合威力UP</v>
          </cell>
        </row>
        <row r="81">
          <cell r="A81">
            <v>425</v>
          </cell>
          <cell r="B81" t="str">
            <v>ja</v>
          </cell>
          <cell r="C81" t="str">
            <v>コインタイプキラー</v>
          </cell>
          <cell r="D81" t="str">
            <v>攻撃対象が攻撃タイプの場合威力UP</v>
          </cell>
        </row>
        <row r="82">
          <cell r="A82">
            <v>426</v>
          </cell>
          <cell r="B82" t="str">
            <v>ja</v>
          </cell>
          <cell r="C82" t="str">
            <v>コインタイプキラー</v>
          </cell>
          <cell r="D82" t="str">
            <v>攻撃対象が攻撃タイプの場合威力UP</v>
          </cell>
        </row>
        <row r="83">
          <cell r="A83">
            <v>427</v>
          </cell>
          <cell r="B83" t="str">
            <v>ja</v>
          </cell>
          <cell r="C83" t="str">
            <v>コインタイプキラー</v>
          </cell>
          <cell r="D83" t="str">
            <v>攻撃対象が攻撃タイプの場合威力UP</v>
          </cell>
        </row>
        <row r="84">
          <cell r="A84">
            <v>428</v>
          </cell>
          <cell r="B84" t="str">
            <v>ja</v>
          </cell>
          <cell r="C84" t="str">
            <v>限界突破素材タイプキラー</v>
          </cell>
          <cell r="D84" t="str">
            <v>攻撃対象が攻撃タイプの場合威力UP</v>
          </cell>
        </row>
        <row r="85">
          <cell r="A85">
            <v>429</v>
          </cell>
          <cell r="B85" t="str">
            <v>ja</v>
          </cell>
          <cell r="C85" t="str">
            <v>限界突破素材タイプキラー</v>
          </cell>
          <cell r="D85" t="str">
            <v>攻撃対象が攻撃タイプの場合威力UP</v>
          </cell>
        </row>
        <row r="86">
          <cell r="A86">
            <v>430</v>
          </cell>
          <cell r="B86" t="str">
            <v>ja</v>
          </cell>
          <cell r="C86" t="str">
            <v>限界突破素材タイプキラー</v>
          </cell>
          <cell r="D86" t="str">
            <v>攻撃対象が攻撃タイプの場合威力UP</v>
          </cell>
        </row>
        <row r="87">
          <cell r="A87">
            <v>431</v>
          </cell>
          <cell r="B87" t="str">
            <v>ja</v>
          </cell>
          <cell r="C87" t="str">
            <v>限界突破素材タイプキラー</v>
          </cell>
          <cell r="D87" t="str">
            <v>攻撃対象が攻撃タイプの場合威力UP</v>
          </cell>
        </row>
        <row r="88">
          <cell r="A88">
            <v>432</v>
          </cell>
          <cell r="B88" t="str">
            <v>ja</v>
          </cell>
          <cell r="C88" t="str">
            <v>スキルレベル素材タイプキラー</v>
          </cell>
          <cell r="D88" t="str">
            <v>攻撃対象が攻撃タイプの場合威力UP</v>
          </cell>
        </row>
        <row r="89">
          <cell r="A89">
            <v>433</v>
          </cell>
          <cell r="B89" t="str">
            <v>ja</v>
          </cell>
          <cell r="C89" t="str">
            <v>スキルレベル素材タイプキラー</v>
          </cell>
          <cell r="D89" t="str">
            <v>攻撃対象が攻撃タイプの場合威力UP</v>
          </cell>
        </row>
        <row r="90">
          <cell r="A90">
            <v>434</v>
          </cell>
          <cell r="B90" t="str">
            <v>ja</v>
          </cell>
          <cell r="C90" t="str">
            <v>スキルレベル素材タイプキラー</v>
          </cell>
          <cell r="D90" t="str">
            <v>攻撃対象が攻撃タイプの場合威力UP</v>
          </cell>
        </row>
        <row r="91">
          <cell r="A91">
            <v>435</v>
          </cell>
          <cell r="B91" t="str">
            <v>ja</v>
          </cell>
          <cell r="C91" t="str">
            <v>スキルレベル素材タイプキラー</v>
          </cell>
          <cell r="D91" t="str">
            <v>攻撃対象が攻撃タイプの場合威力UP</v>
          </cell>
        </row>
        <row r="92">
          <cell r="A92">
            <v>600</v>
          </cell>
          <cell r="B92" t="str">
            <v>ja</v>
          </cell>
          <cell r="C92" t="str">
            <v>赤属性耐性25</v>
          </cell>
          <cell r="D92" t="str">
            <v>自身に対する赤属性の敵からの攻撃を25％軽減</v>
          </cell>
        </row>
        <row r="93">
          <cell r="A93">
            <v>601</v>
          </cell>
          <cell r="B93" t="str">
            <v>ja</v>
          </cell>
          <cell r="C93" t="str">
            <v>赤属性耐性25</v>
          </cell>
          <cell r="D93" t="str">
            <v>自身に対する赤属性の敵からの攻撃を25％軽減</v>
          </cell>
        </row>
        <row r="94">
          <cell r="A94">
            <v>602</v>
          </cell>
          <cell r="B94" t="str">
            <v>ja</v>
          </cell>
          <cell r="C94" t="str">
            <v>赤属性耐性25</v>
          </cell>
          <cell r="D94" t="str">
            <v>自身に対する赤属性の敵からの攻撃を25％軽減</v>
          </cell>
        </row>
        <row r="95">
          <cell r="A95">
            <v>603</v>
          </cell>
          <cell r="B95" t="str">
            <v>ja</v>
          </cell>
          <cell r="C95" t="str">
            <v>青属性耐性25</v>
          </cell>
          <cell r="D95" t="str">
            <v>自身に対する青属性の敵からの攻撃を25％軽減</v>
          </cell>
        </row>
        <row r="96">
          <cell r="A96">
            <v>604</v>
          </cell>
          <cell r="B96" t="str">
            <v>ja</v>
          </cell>
          <cell r="C96" t="str">
            <v>青属性耐性25</v>
          </cell>
          <cell r="D96" t="str">
            <v>自身に対する青属性の敵からの攻撃を25％軽減</v>
          </cell>
        </row>
        <row r="97">
          <cell r="A97">
            <v>605</v>
          </cell>
          <cell r="B97" t="str">
            <v>ja</v>
          </cell>
          <cell r="C97" t="str">
            <v>青属性耐性25</v>
          </cell>
          <cell r="D97" t="str">
            <v>自身に対する青属性の敵からの攻撃を25％軽減</v>
          </cell>
        </row>
        <row r="98">
          <cell r="A98">
            <v>606</v>
          </cell>
          <cell r="B98" t="str">
            <v>ja</v>
          </cell>
          <cell r="C98" t="str">
            <v>緑属性耐性25</v>
          </cell>
          <cell r="D98" t="str">
            <v>自身に対する緑属性の敵からの攻撃を25％軽減</v>
          </cell>
        </row>
        <row r="99">
          <cell r="A99">
            <v>607</v>
          </cell>
          <cell r="B99" t="str">
            <v>ja</v>
          </cell>
          <cell r="C99" t="str">
            <v>緑属性耐性25</v>
          </cell>
          <cell r="D99" t="str">
            <v>自身に対する緑属性の敵からの攻撃を25％軽減</v>
          </cell>
        </row>
        <row r="100">
          <cell r="A100">
            <v>608</v>
          </cell>
          <cell r="B100" t="str">
            <v>ja</v>
          </cell>
          <cell r="C100" t="str">
            <v>緑属性耐性25</v>
          </cell>
          <cell r="D100" t="str">
            <v>自身に対する緑属性の敵からの攻撃を25％軽減</v>
          </cell>
        </row>
        <row r="101">
          <cell r="A101">
            <v>609</v>
          </cell>
          <cell r="B101" t="str">
            <v>ja</v>
          </cell>
          <cell r="C101" t="str">
            <v>黄属性耐性25</v>
          </cell>
          <cell r="D101" t="str">
            <v>自身に対する黄属性の敵からの攻撃を25％軽減</v>
          </cell>
        </row>
        <row r="102">
          <cell r="A102">
            <v>610</v>
          </cell>
          <cell r="B102" t="str">
            <v>ja</v>
          </cell>
          <cell r="C102" t="str">
            <v>黄属性耐性25</v>
          </cell>
          <cell r="D102" t="str">
            <v>自身に対する黄属性の敵からの攻撃を25％軽減</v>
          </cell>
        </row>
        <row r="103">
          <cell r="A103">
            <v>611</v>
          </cell>
          <cell r="B103" t="str">
            <v>ja</v>
          </cell>
          <cell r="C103" t="str">
            <v>黄属性耐性25</v>
          </cell>
          <cell r="D103" t="str">
            <v>自身に対する黄属性の敵からの攻撃を25％軽減</v>
          </cell>
        </row>
        <row r="104">
          <cell r="A104">
            <v>612</v>
          </cell>
          <cell r="B104" t="str">
            <v>ja</v>
          </cell>
          <cell r="C104" t="str">
            <v>全属性耐性10</v>
          </cell>
          <cell r="D104" t="str">
            <v>自身に対する全属性の敵からの攻撃を10％軽減</v>
          </cell>
        </row>
        <row r="105">
          <cell r="A105">
            <v>700</v>
          </cell>
          <cell r="B105" t="str">
            <v>ja</v>
          </cell>
          <cell r="C105" t="str">
            <v>フロア 回復</v>
          </cell>
          <cell r="D105" t="str">
            <v>全フロアの1ターン目終了時にパーティの合計HPの20％を回復する</v>
          </cell>
        </row>
        <row r="106">
          <cell r="A106">
            <v>800</v>
          </cell>
          <cell r="B106" t="str">
            <v>ja</v>
          </cell>
          <cell r="C106" t="str">
            <v>パネルブレイク30 攻撃力UP</v>
          </cell>
          <cell r="D106" t="str">
            <v>自身が先頭の時、1ターンの間に合計30個以上パネルを破壊した場合に攻撃力UP</v>
          </cell>
        </row>
        <row r="107">
          <cell r="A107">
            <v>900</v>
          </cell>
          <cell r="B107" t="str">
            <v>ja</v>
          </cell>
          <cell r="C107" t="str">
            <v>チェイン12 攻撃力UP</v>
          </cell>
          <cell r="D107" t="str">
            <v>自身が先頭の時、1タップで12個以上パネルを繋げた場合にHPを2000回復(1ターンに1度だけ発動)</v>
          </cell>
        </row>
      </sheetData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AC15"/>
  <sheetViews>
    <sheetView tabSelected="1" workbookViewId="0">
      <selection activeCell="B16" sqref="B16"/>
    </sheetView>
  </sheetViews>
  <sheetFormatPr baseColWidth="12" defaultRowHeight="15" x14ac:dyDescent="0.15"/>
  <cols>
    <col min="2" max="2" width="14.83203125" bestFit="1" customWidth="1"/>
    <col min="5" max="5" width="17.6640625" bestFit="1" customWidth="1"/>
    <col min="6" max="6" width="22.1640625" bestFit="1" customWidth="1"/>
  </cols>
  <sheetData>
    <row r="1" spans="1:29" x14ac:dyDescent="0.15">
      <c r="A1" s="107" t="s">
        <v>125</v>
      </c>
      <c r="B1" s="107" t="s">
        <v>116</v>
      </c>
      <c r="C1" s="107" t="s">
        <v>117</v>
      </c>
      <c r="D1" s="107" t="s">
        <v>118</v>
      </c>
      <c r="E1" s="107" t="s">
        <v>119</v>
      </c>
      <c r="F1" s="107" t="s">
        <v>120</v>
      </c>
      <c r="G1" s="107" t="s">
        <v>121</v>
      </c>
      <c r="H1" s="107"/>
      <c r="I1" s="107"/>
      <c r="J1" s="107"/>
      <c r="K1" s="107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</row>
    <row r="2" spans="1:29" x14ac:dyDescent="0.15">
      <c r="A2" s="109" t="s">
        <v>259</v>
      </c>
      <c r="B2" s="109" t="s">
        <v>129</v>
      </c>
      <c r="C2" s="167" t="s">
        <v>257</v>
      </c>
      <c r="D2" s="109" t="s">
        <v>128</v>
      </c>
      <c r="E2" s="108" t="str">
        <f>B2&amp;C2&amp;D2</f>
        <v>units_ERROR.tmp</v>
      </c>
      <c r="F2" s="109" t="s">
        <v>124</v>
      </c>
      <c r="G2" s="63" t="s">
        <v>17</v>
      </c>
      <c r="H2" s="64" t="s">
        <v>96</v>
      </c>
      <c r="I2" s="64" t="s">
        <v>1</v>
      </c>
      <c r="J2" s="64" t="s">
        <v>3</v>
      </c>
      <c r="K2" s="64" t="s">
        <v>2</v>
      </c>
      <c r="L2" s="64" t="s">
        <v>98</v>
      </c>
      <c r="M2" s="64" t="s">
        <v>20</v>
      </c>
      <c r="N2" s="64" t="s">
        <v>103</v>
      </c>
      <c r="O2" s="64" t="s">
        <v>101</v>
      </c>
      <c r="P2" s="64" t="s">
        <v>39</v>
      </c>
      <c r="Q2" s="64" t="s">
        <v>57</v>
      </c>
      <c r="R2" s="109"/>
      <c r="S2" s="109"/>
      <c r="T2" s="109"/>
      <c r="U2" s="109"/>
      <c r="V2" s="109"/>
      <c r="W2" s="109"/>
    </row>
    <row r="3" spans="1:29" x14ac:dyDescent="0.15">
      <c r="A3" s="109" t="s">
        <v>184</v>
      </c>
      <c r="B3" s="109" t="s">
        <v>302</v>
      </c>
      <c r="C3" s="167" t="str">
        <f>C2</f>
        <v>ERROR</v>
      </c>
      <c r="D3" s="109" t="s">
        <v>128</v>
      </c>
      <c r="E3" s="108" t="str">
        <f>B3&amp;C3&amp;D3</f>
        <v>fork_awake_units_ERROR.tmp</v>
      </c>
      <c r="F3" s="109" t="s">
        <v>303</v>
      </c>
      <c r="G3" s="63" t="s">
        <v>17</v>
      </c>
      <c r="H3" s="64" t="s">
        <v>304</v>
      </c>
      <c r="I3" s="64" t="s">
        <v>305</v>
      </c>
      <c r="J3" s="64" t="s">
        <v>306</v>
      </c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2"/>
    </row>
    <row r="4" spans="1:29" x14ac:dyDescent="0.15">
      <c r="A4" s="109" t="s">
        <v>184</v>
      </c>
      <c r="B4" s="109" t="s">
        <v>130</v>
      </c>
      <c r="C4" s="167" t="str">
        <f>C2</f>
        <v>ERROR</v>
      </c>
      <c r="D4" s="109" t="s">
        <v>128</v>
      </c>
      <c r="E4" s="108" t="str">
        <f>B4&amp;C4&amp;D4</f>
        <v>awake_materials_ERROR.tmp</v>
      </c>
      <c r="F4" s="109" t="s">
        <v>123</v>
      </c>
      <c r="G4" s="110" t="s">
        <v>38</v>
      </c>
      <c r="H4" s="111" t="s">
        <v>36</v>
      </c>
      <c r="I4" s="111" t="s">
        <v>37</v>
      </c>
      <c r="J4" s="113" t="s">
        <v>126</v>
      </c>
      <c r="K4" s="112"/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/>
      <c r="W4" s="112"/>
    </row>
    <row r="5" spans="1:29" x14ac:dyDescent="0.15">
      <c r="A5" s="109" t="s">
        <v>184</v>
      </c>
      <c r="B5" s="109" t="s">
        <v>301</v>
      </c>
      <c r="C5" s="167" t="str">
        <f>C4</f>
        <v>ERROR</v>
      </c>
      <c r="D5" s="109" t="s">
        <v>128</v>
      </c>
      <c r="E5" s="108" t="str">
        <f>B5&amp;C5&amp;D5</f>
        <v>fork_awake_materials_ERROR.tmp</v>
      </c>
      <c r="F5" s="109" t="s">
        <v>123</v>
      </c>
      <c r="G5" s="189" t="s">
        <v>307</v>
      </c>
      <c r="H5" s="189" t="s">
        <v>308</v>
      </c>
      <c r="I5" s="189" t="s">
        <v>36</v>
      </c>
      <c r="J5" s="189" t="s">
        <v>37</v>
      </c>
      <c r="K5" s="189" t="s">
        <v>309</v>
      </c>
      <c r="L5" s="189" t="s">
        <v>310</v>
      </c>
      <c r="M5" s="112"/>
      <c r="N5" s="112"/>
      <c r="O5" s="112"/>
      <c r="P5" s="112"/>
      <c r="Q5" s="112"/>
      <c r="R5" s="112"/>
      <c r="S5" s="112"/>
      <c r="T5" s="112"/>
      <c r="U5" s="112"/>
      <c r="V5" s="112"/>
      <c r="W5" s="112"/>
    </row>
    <row r="6" spans="1:29" x14ac:dyDescent="0.15">
      <c r="A6" s="109" t="s">
        <v>184</v>
      </c>
      <c r="B6" s="109" t="s">
        <v>131</v>
      </c>
      <c r="C6" s="167" t="str">
        <f>C4</f>
        <v>ERROR</v>
      </c>
      <c r="D6" s="109" t="s">
        <v>132</v>
      </c>
      <c r="E6" s="108" t="str">
        <f t="shared" ref="E6" si="0">B6&amp;C6&amp;D6</f>
        <v>unit_levels_calc_ERROR.tmp</v>
      </c>
      <c r="F6" s="109" t="s">
        <v>122</v>
      </c>
      <c r="G6" s="59" t="s">
        <v>17</v>
      </c>
      <c r="H6" s="60" t="s">
        <v>2</v>
      </c>
      <c r="I6" s="61" t="s">
        <v>79</v>
      </c>
      <c r="J6" s="61" t="s">
        <v>80</v>
      </c>
      <c r="K6" s="61" t="s">
        <v>81</v>
      </c>
      <c r="L6" s="61" t="s">
        <v>82</v>
      </c>
      <c r="M6" s="61" t="s">
        <v>87</v>
      </c>
      <c r="N6" s="61" t="s">
        <v>88</v>
      </c>
      <c r="O6" s="61" t="s">
        <v>89</v>
      </c>
      <c r="P6" s="61" t="s">
        <v>90</v>
      </c>
      <c r="Q6" s="61" t="s">
        <v>91</v>
      </c>
      <c r="R6" s="61" t="s">
        <v>94</v>
      </c>
      <c r="S6" s="61" t="s">
        <v>92</v>
      </c>
      <c r="T6" s="61" t="s">
        <v>93</v>
      </c>
      <c r="U6" s="61" t="s">
        <v>83</v>
      </c>
      <c r="V6" s="61" t="s">
        <v>84</v>
      </c>
      <c r="W6" s="61" t="s">
        <v>85</v>
      </c>
    </row>
    <row r="7" spans="1:29" x14ac:dyDescent="0.15">
      <c r="A7" s="109" t="s">
        <v>184</v>
      </c>
      <c r="B7" s="109" t="s">
        <v>143</v>
      </c>
      <c r="C7" s="167" t="str">
        <f t="shared" ref="C7:C15" si="1">C6</f>
        <v>ERROR</v>
      </c>
      <c r="D7" s="109" t="s">
        <v>144</v>
      </c>
      <c r="E7" s="108" t="str">
        <f>B7&amp;C7&amp;D7</f>
        <v>unit_skills_data_ERROR.tmp</v>
      </c>
      <c r="F7" s="109" t="s">
        <v>145</v>
      </c>
      <c r="G7" s="117" t="s">
        <v>20</v>
      </c>
      <c r="H7" s="117" t="s">
        <v>146</v>
      </c>
      <c r="I7" s="117" t="s">
        <v>2</v>
      </c>
      <c r="J7" s="117" t="s">
        <v>147</v>
      </c>
      <c r="K7" s="117" t="s">
        <v>148</v>
      </c>
      <c r="L7" s="117" t="s">
        <v>4</v>
      </c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</row>
    <row r="8" spans="1:29" x14ac:dyDescent="0.15">
      <c r="A8" s="109" t="s">
        <v>184</v>
      </c>
      <c r="B8" s="109" t="s">
        <v>149</v>
      </c>
      <c r="C8" s="167" t="str">
        <f t="shared" si="1"/>
        <v>ERROR</v>
      </c>
      <c r="D8" s="109" t="s">
        <v>128</v>
      </c>
      <c r="E8" s="108" t="str">
        <f>B8&amp;C8&amp;D8</f>
        <v>unit_skills_i18n_ERROR.tmp</v>
      </c>
      <c r="F8" s="109" t="s">
        <v>145</v>
      </c>
      <c r="G8" s="117" t="s">
        <v>150</v>
      </c>
      <c r="H8" s="117" t="s">
        <v>134</v>
      </c>
      <c r="I8" s="117" t="s">
        <v>151</v>
      </c>
      <c r="J8" s="117" t="s">
        <v>152</v>
      </c>
      <c r="K8" s="112"/>
      <c r="L8" s="112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</row>
    <row r="9" spans="1:29" x14ac:dyDescent="0.15">
      <c r="A9" s="109" t="s">
        <v>184</v>
      </c>
      <c r="B9" s="109" t="s">
        <v>153</v>
      </c>
      <c r="C9" s="167" t="str">
        <f t="shared" si="1"/>
        <v>ERROR</v>
      </c>
      <c r="D9" s="109" t="s">
        <v>154</v>
      </c>
      <c r="E9" s="108" t="str">
        <f>B9&amp;C9&amp;D9</f>
        <v>crash_skills_data_ERROR.tmp</v>
      </c>
      <c r="F9" s="109" t="s">
        <v>155</v>
      </c>
      <c r="G9" s="117" t="s">
        <v>156</v>
      </c>
      <c r="H9" s="117" t="s">
        <v>148</v>
      </c>
      <c r="I9" s="117" t="s">
        <v>4</v>
      </c>
      <c r="J9" s="112"/>
      <c r="K9" s="112"/>
      <c r="L9" s="112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</row>
    <row r="10" spans="1:29" x14ac:dyDescent="0.15">
      <c r="A10" s="109" t="s">
        <v>184</v>
      </c>
      <c r="B10" s="109" t="s">
        <v>157</v>
      </c>
      <c r="C10" s="167" t="str">
        <f t="shared" si="1"/>
        <v>ERROR</v>
      </c>
      <c r="D10" s="109" t="s">
        <v>158</v>
      </c>
      <c r="E10" s="108" t="str">
        <f t="shared" ref="E10" si="2">B10&amp;C10&amp;D10</f>
        <v>crash_skills_i18n_ERROR.tmp</v>
      </c>
      <c r="F10" s="109" t="s">
        <v>155</v>
      </c>
      <c r="G10" s="117" t="s">
        <v>159</v>
      </c>
      <c r="H10" s="117" t="s">
        <v>160</v>
      </c>
      <c r="I10" s="117" t="s">
        <v>161</v>
      </c>
      <c r="J10" s="117" t="s">
        <v>162</v>
      </c>
      <c r="K10" s="118"/>
      <c r="L10" s="118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</row>
    <row r="11" spans="1:29" x14ac:dyDescent="0.15">
      <c r="A11" s="109" t="s">
        <v>184</v>
      </c>
      <c r="B11" s="112" t="s">
        <v>135</v>
      </c>
      <c r="C11" s="167" t="str">
        <f t="shared" si="1"/>
        <v>ERROR</v>
      </c>
      <c r="D11" s="109" t="s">
        <v>158</v>
      </c>
      <c r="E11" s="108" t="str">
        <f t="shared" ref="E11:E12" si="3">B11&amp;C11&amp;D11</f>
        <v>unit_serifs_data_ERROR.tmp</v>
      </c>
      <c r="F11" s="112" t="s">
        <v>137</v>
      </c>
      <c r="G11" s="116" t="s">
        <v>138</v>
      </c>
      <c r="H11" s="117" t="s">
        <v>139</v>
      </c>
      <c r="I11" s="117" t="s">
        <v>133</v>
      </c>
      <c r="J11" s="115" t="s">
        <v>193</v>
      </c>
      <c r="K11" s="109"/>
      <c r="L11" s="109"/>
      <c r="M11" s="109"/>
      <c r="N11" s="109"/>
      <c r="O11" s="109"/>
      <c r="P11" s="109"/>
      <c r="Q11" s="109"/>
      <c r="R11" s="109"/>
      <c r="S11" s="109"/>
      <c r="T11" s="109"/>
      <c r="U11" s="109"/>
      <c r="V11" s="109"/>
      <c r="W11" s="109"/>
    </row>
    <row r="12" spans="1:29" x14ac:dyDescent="0.15">
      <c r="A12" s="109" t="s">
        <v>184</v>
      </c>
      <c r="B12" s="112" t="s">
        <v>136</v>
      </c>
      <c r="C12" s="167" t="str">
        <f t="shared" si="1"/>
        <v>ERROR</v>
      </c>
      <c r="D12" s="109" t="s">
        <v>158</v>
      </c>
      <c r="E12" s="108" t="str">
        <f t="shared" si="3"/>
        <v>unit_serifs_i18n_ERROR.tmp</v>
      </c>
      <c r="F12" s="112" t="s">
        <v>137</v>
      </c>
      <c r="G12" s="116" t="s">
        <v>140</v>
      </c>
      <c r="H12" s="117" t="s">
        <v>141</v>
      </c>
      <c r="I12" s="117" t="s">
        <v>142</v>
      </c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</row>
    <row r="13" spans="1:29" x14ac:dyDescent="0.15">
      <c r="A13" s="109" t="s">
        <v>184</v>
      </c>
      <c r="B13" s="109" t="s">
        <v>260</v>
      </c>
      <c r="C13" s="167" t="str">
        <f t="shared" si="1"/>
        <v>ERROR</v>
      </c>
      <c r="D13" s="109" t="s">
        <v>261</v>
      </c>
      <c r="E13" s="108" t="str">
        <f>B13&amp;C13&amp;D13</f>
        <v>abilities_ERROR.tmp</v>
      </c>
      <c r="F13" s="109" t="s">
        <v>262</v>
      </c>
      <c r="G13" s="168" t="s">
        <v>263</v>
      </c>
      <c r="H13" s="168" t="s">
        <v>264</v>
      </c>
      <c r="I13" s="168" t="s">
        <v>265</v>
      </c>
      <c r="J13" s="168"/>
      <c r="K13" s="16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  <c r="AB13" s="109"/>
      <c r="AC13" s="109"/>
    </row>
    <row r="14" spans="1:29" x14ac:dyDescent="0.15">
      <c r="A14" s="109" t="s">
        <v>184</v>
      </c>
      <c r="B14" s="109" t="s">
        <v>266</v>
      </c>
      <c r="C14" s="167" t="str">
        <f t="shared" si="1"/>
        <v>ERROR</v>
      </c>
      <c r="D14" s="109" t="s">
        <v>128</v>
      </c>
      <c r="E14" s="108" t="str">
        <f>B14&amp;C14&amp;D14</f>
        <v>abilities_i18n_ERROR.tmp</v>
      </c>
      <c r="F14" s="109" t="s">
        <v>267</v>
      </c>
      <c r="G14" s="168" t="s">
        <v>263</v>
      </c>
      <c r="H14" s="168" t="s">
        <v>141</v>
      </c>
      <c r="I14" s="168" t="s">
        <v>268</v>
      </c>
      <c r="J14" s="168" t="s">
        <v>152</v>
      </c>
      <c r="K14" s="194" t="s">
        <v>331</v>
      </c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  <c r="AB14" s="109"/>
      <c r="AC14" s="109"/>
    </row>
    <row r="15" spans="1:29" x14ac:dyDescent="0.15">
      <c r="A15" s="109" t="s">
        <v>184</v>
      </c>
      <c r="B15" s="109" t="s">
        <v>269</v>
      </c>
      <c r="C15" s="167" t="str">
        <f t="shared" si="1"/>
        <v>ERROR</v>
      </c>
      <c r="D15" s="109" t="s">
        <v>128</v>
      </c>
      <c r="E15" s="108" t="str">
        <f>B15&amp;C15&amp;D15</f>
        <v>unit_abilities_ERROR.tmp</v>
      </c>
      <c r="F15" s="109" t="s">
        <v>270</v>
      </c>
      <c r="G15" s="168" t="s">
        <v>138</v>
      </c>
      <c r="H15" s="170" t="s">
        <v>271</v>
      </c>
      <c r="I15" s="170" t="s">
        <v>272</v>
      </c>
      <c r="J15" s="171" t="s">
        <v>273</v>
      </c>
      <c r="K15" s="168" t="s">
        <v>274</v>
      </c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  <c r="AB15" s="109"/>
      <c r="AC15" s="109"/>
    </row>
  </sheetData>
  <phoneticPr fontId="22"/>
  <dataValidations count="1">
    <dataValidation type="list" allowBlank="1" showInputMessage="1" showErrorMessage="1" sqref="A2:A15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Q2"/>
  <sheetViews>
    <sheetView showGridLines="0" workbookViewId="0">
      <pane xSplit="9" ySplit="1" topLeftCell="N2" activePane="bottomRight" state="frozen"/>
      <selection pane="topRight" activeCell="J1" sqref="J1"/>
      <selection pane="bottomLeft" activeCell="A3" sqref="A3"/>
      <selection pane="bottomRight" activeCell="A2" sqref="A2"/>
    </sheetView>
  </sheetViews>
  <sheetFormatPr baseColWidth="12" defaultColWidth="8.83203125" defaultRowHeight="21" customHeight="1" outlineLevelCol="1" x14ac:dyDescent="0.15"/>
  <cols>
    <col min="1" max="1" width="12.83203125" style="12" customWidth="1"/>
    <col min="2" max="2" width="21.5" style="13" bestFit="1" customWidth="1" collapsed="1"/>
    <col min="3" max="3" width="23.6640625" style="13" hidden="1" customWidth="1" outlineLevel="1"/>
    <col min="4" max="4" width="8.6640625" style="13" hidden="1" customWidth="1" outlineLevel="1"/>
    <col min="5" max="5" width="8" style="13" hidden="1" customWidth="1" outlineLevel="1"/>
    <col min="6" max="6" width="7.1640625" style="13" hidden="1" customWidth="1" outlineLevel="1"/>
    <col min="7" max="7" width="9.6640625" style="13" bestFit="1" customWidth="1"/>
    <col min="8" max="8" width="13.6640625" style="13" bestFit="1" customWidth="1"/>
    <col min="9" max="9" width="10.5" style="13" bestFit="1" customWidth="1" collapsed="1"/>
    <col min="10" max="10" width="59.5" style="13" hidden="1" customWidth="1" outlineLevel="1"/>
    <col min="11" max="13" width="13.6640625" style="13" hidden="1" customWidth="1" outlineLevel="1"/>
    <col min="14" max="14" width="10" style="13" bestFit="1" customWidth="1"/>
    <col min="15" max="15" width="13.5" style="13" bestFit="1" customWidth="1"/>
    <col min="16" max="16" width="13.5" style="13" customWidth="1"/>
    <col min="17" max="17" width="18.83203125" style="13" bestFit="1" customWidth="1"/>
    <col min="18" max="18" width="14.1640625" style="13" customWidth="1"/>
    <col min="19" max="19" width="12.33203125" style="13" customWidth="1" outlineLevel="1"/>
    <col min="20" max="22" width="13.6640625" style="13" customWidth="1" outlineLevel="1"/>
    <col min="23" max="23" width="22.83203125" style="12" bestFit="1" customWidth="1"/>
    <col min="24" max="24" width="14.1640625" style="13" customWidth="1" collapsed="1"/>
    <col min="25" max="25" width="22" style="13" hidden="1" customWidth="1" outlineLevel="1"/>
    <col min="26" max="26" width="14.1640625" style="13" hidden="1" customWidth="1" outlineLevel="1"/>
    <col min="27" max="27" width="12.33203125" style="13" hidden="1" customWidth="1" outlineLevel="1"/>
    <col min="28" max="30" width="13.6640625" style="13" hidden="1" customWidth="1" outlineLevel="1"/>
    <col min="31" max="31" width="20.1640625" style="12" bestFit="1" customWidth="1"/>
    <col min="32" max="32" width="18.83203125" style="13" bestFit="1" customWidth="1"/>
    <col min="33" max="34" width="18.83203125" style="13" customWidth="1"/>
    <col min="35" max="35" width="15.1640625" style="13" customWidth="1"/>
    <col min="36" max="36" width="13.1640625" style="12" customWidth="1"/>
    <col min="37" max="37" width="15.33203125" style="13" bestFit="1" customWidth="1"/>
    <col min="38" max="38" width="13.33203125" style="13" bestFit="1" customWidth="1"/>
    <col min="39" max="39" width="15.33203125" style="14" bestFit="1" customWidth="1"/>
    <col min="40" max="40" width="14" style="14" bestFit="1" customWidth="1"/>
    <col min="41" max="41" width="16" style="46" bestFit="1" customWidth="1"/>
    <col min="42" max="42" width="14.33203125" style="15" bestFit="1" customWidth="1"/>
    <col min="43" max="43" width="20.83203125" style="13" customWidth="1"/>
    <col min="44" max="44" width="80.6640625" style="13" customWidth="1" outlineLevel="1"/>
    <col min="45" max="45" width="6.83203125" style="13" customWidth="1"/>
    <col min="46" max="46" width="15.6640625" style="12" bestFit="1" customWidth="1"/>
    <col min="47" max="47" width="43.6640625" style="13" customWidth="1"/>
    <col min="48" max="48" width="43.6640625" style="13" customWidth="1" outlineLevel="1"/>
    <col min="49" max="49" width="6.83203125" style="13" customWidth="1"/>
    <col min="50" max="50" width="11.33203125" style="13" bestFit="1" customWidth="1"/>
    <col min="51" max="54" width="8.33203125" style="12" customWidth="1"/>
    <col min="55" max="56" width="12" style="13" bestFit="1" customWidth="1"/>
    <col min="57" max="57" width="14.33203125" style="13" customWidth="1" outlineLevel="1"/>
    <col min="58" max="58" width="16.1640625" style="13" customWidth="1" outlineLevel="1"/>
    <col min="59" max="62" width="11.83203125" style="13" customWidth="1"/>
    <col min="63" max="66" width="11.83203125" style="12" customWidth="1"/>
    <col min="67" max="67" width="12.83203125" style="12" bestFit="1" customWidth="1"/>
    <col min="68" max="68" width="12.6640625" style="12" bestFit="1" customWidth="1"/>
    <col min="69" max="69" width="13.5" style="12" bestFit="1" customWidth="1"/>
    <col min="70" max="16384" width="8.83203125" style="12"/>
  </cols>
  <sheetData>
    <row r="1" spans="1:69" ht="21" customHeight="1" x14ac:dyDescent="0.15">
      <c r="A1" s="81" t="s">
        <v>108</v>
      </c>
      <c r="B1" s="83" t="s">
        <v>44</v>
      </c>
      <c r="C1" s="86" t="s">
        <v>27</v>
      </c>
      <c r="D1" s="86" t="s">
        <v>30</v>
      </c>
      <c r="E1" s="86" t="s">
        <v>28</v>
      </c>
      <c r="F1" s="86" t="s">
        <v>29</v>
      </c>
      <c r="G1" s="81" t="s">
        <v>1</v>
      </c>
      <c r="H1" s="84" t="s">
        <v>19</v>
      </c>
      <c r="I1" s="85" t="s">
        <v>0</v>
      </c>
      <c r="J1" s="87" t="s">
        <v>49</v>
      </c>
      <c r="K1" s="87" t="s">
        <v>48</v>
      </c>
      <c r="L1" s="87" t="s">
        <v>50</v>
      </c>
      <c r="M1" s="87" t="s">
        <v>51</v>
      </c>
      <c r="N1" s="81" t="s">
        <v>3</v>
      </c>
      <c r="O1" s="88" t="s">
        <v>2</v>
      </c>
      <c r="P1" s="81" t="s">
        <v>97</v>
      </c>
      <c r="Q1" s="89" t="s">
        <v>18</v>
      </c>
      <c r="R1" s="80" t="s">
        <v>52</v>
      </c>
      <c r="S1" s="90" t="s">
        <v>23</v>
      </c>
      <c r="T1" s="90" t="s">
        <v>24</v>
      </c>
      <c r="U1" s="90" t="s">
        <v>26</v>
      </c>
      <c r="V1" s="90" t="s">
        <v>25</v>
      </c>
      <c r="W1" s="85" t="s">
        <v>32</v>
      </c>
      <c r="X1" s="86" t="s">
        <v>53</v>
      </c>
      <c r="Y1" s="85" t="s">
        <v>33</v>
      </c>
      <c r="Z1" s="86" t="s">
        <v>53</v>
      </c>
      <c r="AA1" s="87" t="s">
        <v>23</v>
      </c>
      <c r="AB1" s="87" t="s">
        <v>24</v>
      </c>
      <c r="AC1" s="87" t="s">
        <v>26</v>
      </c>
      <c r="AD1" s="87" t="s">
        <v>25</v>
      </c>
      <c r="AE1" s="91" t="s">
        <v>100</v>
      </c>
      <c r="AF1" s="80" t="s">
        <v>45</v>
      </c>
      <c r="AG1" s="92" t="s">
        <v>58</v>
      </c>
      <c r="AH1" s="80" t="s">
        <v>45</v>
      </c>
      <c r="AI1" s="92" t="s">
        <v>46</v>
      </c>
      <c r="AJ1" s="82" t="s">
        <v>67</v>
      </c>
      <c r="AK1" s="80" t="s">
        <v>21</v>
      </c>
      <c r="AL1" s="93" t="s">
        <v>68</v>
      </c>
      <c r="AM1" s="94" t="s">
        <v>66</v>
      </c>
      <c r="AN1" s="94" t="s">
        <v>69</v>
      </c>
      <c r="AO1" s="95" t="s">
        <v>31</v>
      </c>
      <c r="AP1" s="91" t="s">
        <v>20</v>
      </c>
      <c r="AQ1" s="96" t="s">
        <v>113</v>
      </c>
      <c r="AR1" s="96" t="s">
        <v>107</v>
      </c>
      <c r="AS1" s="80" t="s">
        <v>104</v>
      </c>
      <c r="AT1" s="91" t="s">
        <v>102</v>
      </c>
      <c r="AU1" s="80" t="s">
        <v>110</v>
      </c>
      <c r="AV1" s="96" t="s">
        <v>107</v>
      </c>
      <c r="AW1" s="80" t="s">
        <v>104</v>
      </c>
      <c r="AX1" s="86" t="s">
        <v>4</v>
      </c>
      <c r="AY1" s="97" t="s">
        <v>54</v>
      </c>
      <c r="AZ1" s="97" t="s">
        <v>55</v>
      </c>
      <c r="BA1" s="97" t="s">
        <v>114</v>
      </c>
      <c r="BB1" s="97" t="s">
        <v>56</v>
      </c>
      <c r="BC1" s="5" t="s">
        <v>22</v>
      </c>
      <c r="BD1" s="100" t="s">
        <v>34</v>
      </c>
      <c r="BE1" s="98" t="s">
        <v>5</v>
      </c>
      <c r="BF1" s="99" t="s">
        <v>6</v>
      </c>
      <c r="BG1" s="101" t="s">
        <v>70</v>
      </c>
      <c r="BH1" s="101" t="s">
        <v>71</v>
      </c>
      <c r="BI1" s="101" t="s">
        <v>72</v>
      </c>
      <c r="BJ1" s="101" t="s">
        <v>73</v>
      </c>
      <c r="BK1" s="102" t="s">
        <v>74</v>
      </c>
      <c r="BL1" s="102" t="s">
        <v>95</v>
      </c>
      <c r="BM1" s="102" t="s">
        <v>75</v>
      </c>
      <c r="BN1" s="102" t="s">
        <v>76</v>
      </c>
      <c r="BO1" s="103" t="s">
        <v>77</v>
      </c>
      <c r="BP1" s="104" t="s">
        <v>78</v>
      </c>
      <c r="BQ1" s="104" t="s">
        <v>86</v>
      </c>
    </row>
    <row r="2" spans="1:69" ht="26" customHeight="1" x14ac:dyDescent="0.15">
      <c r="A2" s="12">
        <v>9999</v>
      </c>
      <c r="B2" s="57" t="e">
        <f ca="1">VLOOKUP($A2,OFFSET([1]characters!$A$1,0,0,COUNTA([1]characters!$A:$A),MATCH(B$1,[1]characters!$1:$1,0)-MATCH($A$1,[1]characters!$1:$1,0)+1),MATCH(B$1,[1]characters!$1:$1,0)-MATCH($A$1,[1]characters!$1:$1,0)+1,FALSE)</f>
        <v>#N/A</v>
      </c>
      <c r="C2" s="57" t="e">
        <f ca="1">VLOOKUP($A2,OFFSET([1]characters!$A$1,0,0,COUNTA([1]characters!$A:$A),MATCH(C$1,[1]characters!$1:$1,0)-MATCH($A$1,[1]characters!$1:$1,0)+1),MATCH(C$1,[1]characters!$1:$1,0)-MATCH($A$1,[1]characters!$1:$1,0)+1,FALSE)</f>
        <v>#N/A</v>
      </c>
      <c r="D2" s="57" t="e">
        <f ca="1">VLOOKUP($A2,OFFSET([1]characters!$A$1,0,0,COUNTA([1]characters!$A:$A),MATCH(D$1,[1]characters!$1:$1,0)-MATCH($A$1,[1]characters!$1:$1,0)+1),MATCH(D$1,[1]characters!$1:$1,0)-MATCH($A$1,[1]characters!$1:$1,0)+1,FALSE)</f>
        <v>#N/A</v>
      </c>
      <c r="E2" s="57" t="e">
        <f ca="1">VLOOKUP($A2,OFFSET([1]characters!$A$1,0,0,COUNTA([1]characters!$A:$A),MATCH(E$1,[1]characters!$1:$1,0)-MATCH($A$1,[1]characters!$1:$1,0)+1),MATCH(E$1,[1]characters!$1:$1,0)-MATCH($A$1,[1]characters!$1:$1,0)+1,FALSE)</f>
        <v>#N/A</v>
      </c>
      <c r="F2" s="57" t="e">
        <f ca="1">VLOOKUP($A2,OFFSET([1]characters!$A$1,0,0,COUNTA([1]characters!$A:$A),MATCH(F$1,[1]characters!$1:$1,0)-MATCH($A$1,[1]characters!$1:$1,0)+1),MATCH(F$1,[1]characters!$1:$1,0)-MATCH($A$1,[1]characters!$1:$1,0)+1,FALSE)</f>
        <v>#N/A</v>
      </c>
      <c r="G2" s="57" t="e">
        <f ca="1">VLOOKUP($A2,OFFSET([1]characters!$A$1,0,0,COUNTA([1]characters!$A:$A),MATCH(G$1,[1]characters!$1:$1,0)-MATCH($A$1,[1]characters!$1:$1,0)+1),MATCH(G$1,[1]characters!$1:$1,0)-MATCH($A$1,[1]characters!$1:$1,0)+1,FALSE)</f>
        <v>#N/A</v>
      </c>
      <c r="H2" s="57" t="e">
        <f ca="1">VLOOKUP($A2,OFFSET([1]characters!$A$1,0,0,COUNTA([1]characters!$A:$A),MATCH(H$1,[1]characters!$1:$1,0)-MATCH($A$1,[1]characters!$1:$1,0)+1),MATCH(H$1,[1]characters!$1:$1,0)-MATCH($A$1,[1]characters!$1:$1,0)+1,FALSE)</f>
        <v>#N/A</v>
      </c>
      <c r="I2" s="57" t="e">
        <f ca="1">VLOOKUP($A2,OFFSET([1]characters!$A$1,0,0,COUNTA([1]characters!$A:$A),MATCH(I$1,[1]characters!$1:$1,0)-MATCH($A$1,[1]characters!$1:$1,0)+1),MATCH(I$1,[1]characters!$1:$1,0)-MATCH($A$1,[1]characters!$1:$1,0)+1,FALSE)</f>
        <v>#N/A</v>
      </c>
      <c r="J2" s="11" t="e">
        <f ca="1">VLOOKUP(I2,[1]属性!$A:$E,2,FALSE)</f>
        <v>#N/A</v>
      </c>
      <c r="K2" s="11" t="e">
        <f ca="1">VLOOKUP(I2,[1]属性!$A:$E,3,FALSE)</f>
        <v>#N/A</v>
      </c>
      <c r="L2" s="11" t="e">
        <f ca="1">VLOOKUP(I2,[1]属性!$A:$E,4,FALSE)</f>
        <v>#N/A</v>
      </c>
      <c r="M2" s="11" t="e">
        <f ca="1">VLOOKUP(I2,[1]属性!$A:$E,5,FALSE)</f>
        <v>#N/A</v>
      </c>
      <c r="N2" s="11" t="e">
        <f ca="1">INDEX(コスト!$A$1:$I$21,MATCH(H2,コスト!$A$1:$A$21,FALSE),MATCH(G2,コスト!$A$1:$I$1,FALSE))</f>
        <v>#N/A</v>
      </c>
      <c r="O2" s="11" t="e">
        <f ca="1">INDEX(レベル!$A$1:$I$22,MATCH(H2,レベル!$A$1:$A$22,FALSE),MATCH(G2,レベル!$A$1:$I$1,FALSE))</f>
        <v>#N/A</v>
      </c>
      <c r="P2" s="48" t="e">
        <f ca="1">IF(G2 &gt;= 6, 99,G2*15)</f>
        <v>#N/A</v>
      </c>
      <c r="Q2" s="57" t="e">
        <f ca="1">VLOOKUP($A2,OFFSET([1]characters!$A$1,0,0,COUNTA([1]characters!$A:$A),MATCH(Q$1,[1]characters!$1:$1,0)-MATCH($A$1,[1]characters!$1:$1,0)+1),MATCH(Q$1,[1]characters!$1:$1,0)-MATCH($A$1,[1]characters!$1:$1,0)+1,FALSE)</f>
        <v>#N/A</v>
      </c>
      <c r="R2" s="5" t="e">
        <f ca="1">VLOOKUP(Q2,[1]character_type_i18n!$A:$H,3,FALSE)</f>
        <v>#N/A</v>
      </c>
      <c r="S2" s="11" t="e">
        <f ca="1">VLOOKUP(Q2,[1]character_type_i18n!$A:$H,4,FALSE)</f>
        <v>#N/A</v>
      </c>
      <c r="T2" s="11" t="e">
        <f ca="1">VLOOKUP(Q2,[1]character_type_i18n!$A:$H,5,FALSE)</f>
        <v>#N/A</v>
      </c>
      <c r="U2" s="11" t="e">
        <f ca="1">VLOOKUP(Q2,[1]character_type_i18n!$A:$H,6,FALSE)</f>
        <v>#N/A</v>
      </c>
      <c r="V2" s="11" t="e">
        <f ca="1">VLOOKUP(Q2,[1]character_type_i18n!$A:$H,7,FALSE)</f>
        <v>#N/A</v>
      </c>
      <c r="W2" s="57" t="e">
        <f ca="1">VLOOKUP($A2,OFFSET([1]characters!$A$1,0,0,COUNTA([1]characters!$A:$A),MATCH(W$1,[1]characters!$1:$1,0)-MATCH($A$1,[1]characters!$1:$1,0)+1),MATCH(W$1,[1]characters!$1:$1,0)-MATCH($A$1,[1]characters!$1:$1,0)+1,FALSE)</f>
        <v>#N/A</v>
      </c>
      <c r="X2" s="5" t="e">
        <f ca="1">VLOOKUP(W2,[1]character_tribe_i18n!$A:$H,3,FALSE)</f>
        <v>#N/A</v>
      </c>
      <c r="Y2" s="57" t="e">
        <f ca="1">VLOOKUP($A2,OFFSET([1]characters!$A$1,0,0,COUNTA([1]characters!$A:$A),MATCH(Y$1,[1]characters!$1:$1,0)-MATCH($A$1,[1]characters!$1:$1,0)+1),MATCH(Y$1,[1]characters!$1:$1,0)-MATCH($A$1,[1]characters!$1:$1,0)+1,FALSE)</f>
        <v>#N/A</v>
      </c>
      <c r="Z2" s="5" t="e">
        <f ca="1">VLOOKUP(Y2,[1]character_tribe_i18n!$A:$H,3,FALSE)</f>
        <v>#N/A</v>
      </c>
      <c r="AA2" s="11" t="e">
        <f ca="1">VLOOKUP(W2,[1]character_tribe_i18n!$A:$H,4,FALSE)</f>
        <v>#N/A</v>
      </c>
      <c r="AB2" s="11" t="e">
        <f ca="1">VLOOKUP(W2,[1]character_tribe_i18n!$A:$H,5,FALSE)</f>
        <v>#N/A</v>
      </c>
      <c r="AC2" s="11" t="e">
        <f ca="1">VLOOKUP(W2,[1]character_tribe_i18n!$A:$H,6,FALSE)</f>
        <v>#N/A</v>
      </c>
      <c r="AD2" s="11" t="e">
        <f ca="1">VLOOKUP(W2,[1]character_tribe_i18n!$A:$H,7,FALSE)</f>
        <v>#N/A</v>
      </c>
      <c r="AE2" s="9" t="s">
        <v>183</v>
      </c>
      <c r="AF2" s="62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/>
      </c>
      <c r="AG2" s="5">
        <f ca="1">IF(ISNA(MATCH(A2,AE:AE,0)),A2,INDIRECT(ADDRESS(MATCH(A2,AE:AE,0),COLUMN())))</f>
        <v>9999</v>
      </c>
      <c r="AH2" s="62" t="e">
        <f ca="1">VLOOKUP($AG2,OFFSET([1]characters!$A$1,0,0,COUNTA([1]characters!$A:$A),MATCH(AH$1,[1]characters!$1:$1,0)-MATCH($A$1,[1]characters!$1:$1,0)+1),MATCH(AH$1,[1]characters!$1:$1,0)-MATCH($A$1,[1]characters!$1:$1,0)+1,FALSE)</f>
        <v>#N/A</v>
      </c>
      <c r="AI2" s="11" t="str">
        <f>IF(AE2="NULL","NULL",VLOOKUP(G2,ビット!$A$2:$B$7,2))</f>
        <v>NULL</v>
      </c>
      <c r="AJ2" s="6">
        <v>2</v>
      </c>
      <c r="AK2" s="7" t="str">
        <f t="shared" ref="AK2" si="0">IF(AJ2=1,"早熟",IF(AJ2=2,"普通",IF(AJ2=3,"晩成","")))</f>
        <v>普通</v>
      </c>
      <c r="AL2" s="11" t="e">
        <f ca="1">INDEX(経験値!$A$1:$I$21,MATCH(H2,経験値!$A$1:$A$21,FALSE),MATCH(G2,経験値!$A$1:$I$1,FALSE))</f>
        <v>#N/A</v>
      </c>
      <c r="AM2" s="8" t="e">
        <f ca="1">VLOOKUP(G2,経験値!$A$28:$B$32,2)</f>
        <v>#N/A</v>
      </c>
      <c r="AN2" s="17" t="e">
        <f ca="1">VLOOKUP(G2,ビット!$G$2:$H$7,2)</f>
        <v>#N/A</v>
      </c>
      <c r="AO2" s="45"/>
      <c r="AP2" s="67">
        <v>0</v>
      </c>
      <c r="AQ2" s="57" t="e">
        <f ca="1">VLOOKUP($AP2,OFFSET(unit_skills!$A$1,0,0,COUNTA(unit_skills!$A:$A),MATCH(AQ$1,unit_skills!$1:$1,0)-MATCH($AP$1,unit_skills!$1:$1,0)+1),MATCH(AQ$1,unit_skills!$1:$1,0)-MATCH($AP$1,unit_skills!$1:$1,0)+1,FALSE)</f>
        <v>#N/A</v>
      </c>
      <c r="AR2" s="57" t="str">
        <f ca="1">VLOOKUP($AP2,OFFSET(unit_skills!$A$1,0,0,COUNTA(unit_skills!$A:$A),MATCH(AR$1,unit_skills!$1:$1,0)-MATCH($AP$1,unit_skills!$1:$1,0)+1),MATCH(AR$1,unit_skills!$1:$1,0)-MATCH($AP$1,unit_skills!$1:$1,0)+1,FALSE)</f>
        <v>3ターンの間体力タイプの攻撃力と防御力を大UP+自身の最大HPで攻撃</v>
      </c>
      <c r="AS2" s="57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41">
        <v>0</v>
      </c>
      <c r="AU2" s="57" t="e">
        <f ca="1">VLOOKUP($AT2,OFFSET(crash_skills!$A$1,0,0,COUNTA(crash_skills!$A:$A),MATCH(AU$1,crash_skills!$1:$1,0)-MATCH($AT$1,crash_skills!$1:$1,0)+1),MATCH(AU$1,crash_skills!$1:$1,0)-MATCH($AT$1,crash_skills!$1:$1,0)+1,FALSE)</f>
        <v>#N/A</v>
      </c>
      <c r="AV2" s="57">
        <f ca="1">VLOOKUP($AT2,OFFSET(crash_skills!$A$1,0,0,COUNTA(crash_skills!$A:$A),MATCH(AV$1,crash_skills!$1:$1,0)-MATCH($AT$1,crash_skills!$1:$1,0)+1),MATCH(AV$1,crash_skills!$1:$1,0)-MATCH($AT$1,crash_skills!$1:$1,0)+1,FALSE)</f>
        <v>0</v>
      </c>
      <c r="AW2" s="57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8" t="e">
        <f ca="1">VLOOKUP($A2,OFFSET([1]characters!$A$1,0,0,COUNTA([1]characters!$A:$A),MATCH(AX$1,[1]characters!$1:$1,0)-MATCH($A$1,[1]characters!$1:$1,0)+1),MATCH(AX$1,[1]characters!$1:$1,0)-MATCH($A$1,[1]characters!$1:$1,0)+1,FALSE)</f>
        <v>#N/A</v>
      </c>
      <c r="AY2" s="68">
        <v>1</v>
      </c>
      <c r="AZ2" s="68">
        <v>1</v>
      </c>
      <c r="BA2" s="68">
        <v>0</v>
      </c>
      <c r="BB2" s="68">
        <v>1</v>
      </c>
      <c r="BC2" s="11" t="e">
        <f ca="1">INDEX('RC6SV'!$A$1:$G$21,MATCH(H2,'RC6SV'!$A$1:$A$21,FALSE),MATCH(G2,'RC6SV'!$A$1:$G$1,FALSE))</f>
        <v>#N/A</v>
      </c>
      <c r="BD2" s="48" t="e">
        <f t="shared" ref="BD2" ca="1" si="1">ROUND(BC2*IF(AJ2=1,0.95,IF(AJ2=2,1,IF(AJ2,1.05,0))),0)</f>
        <v>#N/A</v>
      </c>
      <c r="BE2" s="11">
        <f ca="1">ROUND(IFERROR(INDIRECT(ADDRESS(MATCH($A2,$AE:$AE,0),MATCH($BC$1,$1:$1,0))),0),0)</f>
        <v>0</v>
      </c>
      <c r="BF2" s="11" t="e">
        <f ca="1">ROUND(IFERROR(INDIRECT(ADDRESS(MATCH($A2,$AE:$AE,0),10)),INDIRECT(ADDRESS(MATCH($A2,$A:$A,0),10))),0)</f>
        <v>#N/A</v>
      </c>
      <c r="BG2" s="16" t="e">
        <f ca="1">IF($BE2&lt;=0,ROUND(BK2*0.5,0), ROUND($BE2*S2*AA2*J2*AY2*0.8*[1]ステータス!$B$2,0))</f>
        <v>#N/A</v>
      </c>
      <c r="BH2" s="16" t="e">
        <f ca="1">IF($BE2&lt;=0,ROUND(BL2*0.5,0), ROUND($BE2*T2*AB2*K2*AZ2*0.8*[1]ステータス!$C$2,0))</f>
        <v>#N/A</v>
      </c>
      <c r="BI2" s="16" t="e">
        <f ca="1">IF($BE2&lt;=0,ROUND(BM2*0.5,0), ROUND($BE2*U2*AC2*L2*BA2*0.8*[1]ステータス!$D$2,0))</f>
        <v>#N/A</v>
      </c>
      <c r="BJ2" s="16" t="e">
        <f ca="1">IF($BE2&lt;=0,ROUND(BN2*0.5,0), ROUND($BE2*V2*AD2*M2*BB2*0.8*[1]ステータス!$E$2,0))</f>
        <v>#N/A</v>
      </c>
      <c r="BK2" s="11" t="e">
        <f ca="1">ROUND(BD2*S2*AA2*J2*AY2*[1]ステータス!$B$2,0)</f>
        <v>#N/A</v>
      </c>
      <c r="BL2" s="11" t="e">
        <f ca="1">ROUND(BD2*T2*AB2*K2*AZ2*[1]ステータス!$C$2,0)</f>
        <v>#N/A</v>
      </c>
      <c r="BM2" s="11" t="e">
        <f ca="1">ROUND(BD2*U2*AC2*L2*BA2*[1]ステータス!$D$2,0)</f>
        <v>#N/A</v>
      </c>
      <c r="BN2" s="11" t="e">
        <f ca="1">ROUND(BD2*V2*AD2*M2*BB2*[1]ステータス!$E$2,0)</f>
        <v>#N/A</v>
      </c>
      <c r="BO2" s="10">
        <v>0</v>
      </c>
      <c r="BP2" s="10">
        <v>1</v>
      </c>
      <c r="BQ2" s="38" t="s">
        <v>47</v>
      </c>
    </row>
  </sheetData>
  <autoFilter ref="A1:BQ1"/>
  <phoneticPr fontId="10"/>
  <conditionalFormatting sqref="BO1">
    <cfRule type="cellIs" dxfId="30" priority="120" stopIfTrue="1" operator="equal">
      <formula>1</formula>
    </cfRule>
  </conditionalFormatting>
  <conditionalFormatting sqref="BQ1">
    <cfRule type="cellIs" dxfId="29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2"/>
  <sheetViews>
    <sheetView showGridLines="0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D6" sqref="D6"/>
    </sheetView>
  </sheetViews>
  <sheetFormatPr baseColWidth="12" defaultColWidth="13" defaultRowHeight="21" customHeight="1" outlineLevelCol="1" x14ac:dyDescent="0.15"/>
  <cols>
    <col min="1" max="1" width="16.1640625" style="131" bestFit="1" customWidth="1"/>
    <col min="2" max="2" width="13" style="131" bestFit="1" customWidth="1"/>
    <col min="3" max="3" width="21.83203125" style="131" customWidth="1"/>
    <col min="4" max="4" width="41.83203125" style="131" customWidth="1"/>
    <col min="5" max="5" width="9" style="131" customWidth="1"/>
    <col min="6" max="6" width="7.83203125" style="131" bestFit="1" customWidth="1"/>
    <col min="7" max="7" width="8.1640625" style="131" bestFit="1" customWidth="1"/>
    <col min="8" max="8" width="13.6640625" style="131" bestFit="1" customWidth="1"/>
    <col min="9" max="10" width="51.6640625" style="131" customWidth="1"/>
    <col min="11" max="11" width="10.83203125" style="131" customWidth="1" outlineLevel="1"/>
    <col min="12" max="17" width="9.5" style="130" customWidth="1" outlineLevel="1"/>
    <col min="18" max="18" width="20.33203125" style="131" customWidth="1" outlineLevel="1"/>
    <col min="19" max="19" width="10.33203125" style="131" bestFit="1" customWidth="1"/>
    <col min="20" max="16384" width="13" style="131"/>
  </cols>
  <sheetData>
    <row r="1" spans="1:19" s="130" customFormat="1" ht="21" customHeight="1" x14ac:dyDescent="0.15">
      <c r="A1" s="119" t="s">
        <v>20</v>
      </c>
      <c r="B1" s="120" t="s">
        <v>134</v>
      </c>
      <c r="C1" s="121" t="s">
        <v>40</v>
      </c>
      <c r="D1" s="122" t="s">
        <v>163</v>
      </c>
      <c r="E1" s="122" t="s">
        <v>164</v>
      </c>
      <c r="F1" s="119" t="s">
        <v>146</v>
      </c>
      <c r="G1" s="123" t="s">
        <v>2</v>
      </c>
      <c r="H1" s="123" t="s">
        <v>165</v>
      </c>
      <c r="I1" s="123" t="s">
        <v>166</v>
      </c>
      <c r="J1" s="124" t="s">
        <v>185</v>
      </c>
      <c r="K1" s="123" t="s">
        <v>4</v>
      </c>
      <c r="L1" s="125" t="s">
        <v>167</v>
      </c>
      <c r="M1" s="126" t="s">
        <v>168</v>
      </c>
      <c r="N1" s="126" t="s">
        <v>169</v>
      </c>
      <c r="O1" s="126" t="s">
        <v>170</v>
      </c>
      <c r="P1" s="126" t="s">
        <v>171</v>
      </c>
      <c r="Q1" s="127" t="s">
        <v>172</v>
      </c>
      <c r="R1" s="128" t="s">
        <v>173</v>
      </c>
      <c r="S1" s="129" t="s">
        <v>174</v>
      </c>
    </row>
    <row r="2" spans="1:19" ht="21" customHeight="1" x14ac:dyDescent="0.15">
      <c r="A2" s="12">
        <v>0</v>
      </c>
      <c r="B2" s="134" t="s">
        <v>186</v>
      </c>
      <c r="C2" s="135" t="e">
        <f ca="1">J2&amp;"の技"</f>
        <v>#N/A</v>
      </c>
      <c r="D2" s="135" t="s">
        <v>187</v>
      </c>
      <c r="E2" s="136">
        <f t="shared" ref="E2" si="0">LEN(D2)</f>
        <v>34</v>
      </c>
      <c r="F2" s="118">
        <v>18</v>
      </c>
      <c r="G2" s="118">
        <v>5</v>
      </c>
      <c r="H2" s="137">
        <f>2001</f>
        <v>2001</v>
      </c>
      <c r="I2" s="137" t="s">
        <v>188</v>
      </c>
      <c r="J2" s="57" t="e">
        <f ca="1">VLOOKUP($A2,OFFSET([1]characters!$A$1,0,0,COUNTA([1]characters!$A:$A),MATCH("name",[1]characters!$1:$1,0)-MATCH("character_id",[1]characters!$1:$1,0)+1),MATCH("name",[1]characters!$1:$1,0)-MATCH("character_id",[1]characters!$1:$1,0)+1,FALSE)</f>
        <v>#N/A</v>
      </c>
      <c r="K2" s="138">
        <f>IFERROR(VLOOKUP(A2,[1]characters!$A:$R,18),0)</f>
        <v>0</v>
      </c>
      <c r="L2" s="139"/>
      <c r="M2" s="140"/>
      <c r="N2" s="140"/>
      <c r="O2" s="140"/>
      <c r="P2" s="140"/>
      <c r="Q2" s="140"/>
      <c r="R2" s="135"/>
      <c r="S2" s="141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3:E1048576">
    <cfRule type="cellIs" dxfId="28" priority="7" operator="greaterThan">
      <formula>41</formula>
    </cfRule>
  </conditionalFormatting>
  <conditionalFormatting sqref="E2">
    <cfRule type="cellIs" dxfId="27" priority="1" operator="greaterThan">
      <formula>41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2"/>
  <sheetViews>
    <sheetView showGridLines="0" workbookViewId="0">
      <pane xSplit="4" ySplit="1" topLeftCell="G2" activePane="bottomRight" state="frozen"/>
      <selection pane="topRight" activeCell="D1" sqref="D1"/>
      <selection pane="bottomLeft" activeCell="A3" sqref="A3"/>
      <selection pane="bottomRight" activeCell="H3" sqref="H3"/>
    </sheetView>
  </sheetViews>
  <sheetFormatPr baseColWidth="12" defaultColWidth="13" defaultRowHeight="21" customHeight="1" x14ac:dyDescent="0.15"/>
  <cols>
    <col min="1" max="2" width="12.1640625" style="131" customWidth="1"/>
    <col min="3" max="3" width="48.83203125" style="132" customWidth="1"/>
    <col min="4" max="4" width="23.83203125" style="132" customWidth="1"/>
    <col min="5" max="5" width="10.5" style="132" customWidth="1"/>
    <col min="6" max="7" width="59.1640625" style="132" customWidth="1"/>
    <col min="8" max="8" width="6.83203125" style="131" bestFit="1" customWidth="1"/>
    <col min="9" max="9" width="20.33203125" style="131" customWidth="1"/>
    <col min="10" max="10" width="5" style="131" bestFit="1" customWidth="1"/>
    <col min="11" max="16384" width="13" style="131"/>
  </cols>
  <sheetData>
    <row r="1" spans="1:19" ht="21" customHeight="1" x14ac:dyDescent="0.15">
      <c r="A1" s="119" t="s">
        <v>182</v>
      </c>
      <c r="B1" s="120" t="s">
        <v>181</v>
      </c>
      <c r="C1" s="121" t="s">
        <v>180</v>
      </c>
      <c r="D1" s="122" t="s">
        <v>179</v>
      </c>
      <c r="E1" s="122" t="s">
        <v>178</v>
      </c>
      <c r="F1" s="123" t="s">
        <v>177</v>
      </c>
      <c r="G1" s="124" t="s">
        <v>185</v>
      </c>
      <c r="H1" s="123" t="s">
        <v>176</v>
      </c>
      <c r="I1" s="124" t="s">
        <v>175</v>
      </c>
      <c r="J1" s="128" t="s">
        <v>174</v>
      </c>
    </row>
    <row r="2" spans="1:19" ht="21" customHeight="1" x14ac:dyDescent="0.15">
      <c r="A2" s="12">
        <v>0</v>
      </c>
      <c r="B2" s="134" t="s">
        <v>189</v>
      </c>
      <c r="C2" s="135" t="e">
        <f ca="1">G2&amp;"の技"</f>
        <v>#N/A</v>
      </c>
      <c r="D2" s="135"/>
      <c r="E2" s="136">
        <f t="shared" ref="E2" si="0">LEN(D2)</f>
        <v>0</v>
      </c>
      <c r="F2" s="118"/>
      <c r="G2" s="57" t="e">
        <f ca="1">VLOOKUP($A2,OFFSET([1]characters!$A$1,0,0,COUNTA([1]characters!$A:$A),MATCH("name",[1]characters!$1:$1,0)-MATCH("character_id",[1]characters!$1:$1,0)+1),MATCH("name",[1]characters!$1:$1,0)-MATCH("character_id",[1]characters!$1:$1,0)+1,FALSE)</f>
        <v>#N/A</v>
      </c>
      <c r="H2" s="137">
        <f>IFERROR(VLOOKUP(A2,[1]characters!$A:$R,18),0)</f>
        <v>0</v>
      </c>
      <c r="I2" s="137"/>
      <c r="J2" s="142"/>
      <c r="K2" s="138">
        <v>1</v>
      </c>
      <c r="L2" s="139"/>
      <c r="M2" s="140"/>
      <c r="N2" s="140"/>
      <c r="O2" s="140"/>
      <c r="P2" s="140"/>
      <c r="Q2" s="140"/>
      <c r="R2" s="135"/>
      <c r="S2" s="141"/>
    </row>
  </sheetData>
  <sheetProtection selectLockedCells="1" selectUnlockedCells="1"/>
  <autoFilter ref="A1:J1"/>
  <phoneticPr fontId="22"/>
  <conditionalFormatting sqref="E2">
    <cfRule type="cellIs" dxfId="26" priority="1" operator="greaterThan">
      <formula>41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25"/>
  <sheetViews>
    <sheetView workbookViewId="0">
      <selection activeCell="A3" sqref="A3"/>
    </sheetView>
  </sheetViews>
  <sheetFormatPr baseColWidth="12" defaultRowHeight="15" outlineLevelCol="1" x14ac:dyDescent="0.15"/>
  <cols>
    <col min="2" max="2" width="12.83203125" style="144"/>
    <col min="4" max="4" width="12.83203125" style="144" customWidth="1" outlineLevel="1"/>
    <col min="5" max="5" width="12.83203125" style="144"/>
  </cols>
  <sheetData>
    <row r="1" spans="1:8" x14ac:dyDescent="0.15">
      <c r="A1" s="115" t="s">
        <v>190</v>
      </c>
      <c r="B1" s="143" t="s">
        <v>191</v>
      </c>
      <c r="C1" s="115" t="s">
        <v>192</v>
      </c>
      <c r="D1" s="143" t="s">
        <v>194</v>
      </c>
      <c r="E1" s="143" t="s">
        <v>195</v>
      </c>
      <c r="F1" s="113" t="s">
        <v>196</v>
      </c>
      <c r="G1" s="115" t="s">
        <v>193</v>
      </c>
      <c r="H1" s="113" t="s">
        <v>197</v>
      </c>
    </row>
    <row r="2" spans="1:8" x14ac:dyDescent="0.15">
      <c r="A2" s="109">
        <v>0</v>
      </c>
      <c r="B2" s="143" t="e">
        <f>VLOOKUP(A2,[1]characters!$A:$C,3,FALSE)</f>
        <v>#N/A</v>
      </c>
      <c r="C2" s="109" t="s">
        <v>198</v>
      </c>
      <c r="D2" s="143" t="str">
        <f>A2&amp;C2</f>
        <v>0skill</v>
      </c>
      <c r="E2" s="143">
        <f>COUNTIF(D$2:D2,D2)</f>
        <v>1</v>
      </c>
      <c r="F2" s="109" t="s">
        <v>200</v>
      </c>
      <c r="G2" s="109" t="s">
        <v>199</v>
      </c>
      <c r="H2" s="109" t="s">
        <v>201</v>
      </c>
    </row>
    <row r="3" spans="1:8" x14ac:dyDescent="0.15">
      <c r="A3" s="109">
        <v>0</v>
      </c>
      <c r="B3" s="143" t="e">
        <f>VLOOKUP(A3,[1]characters!$A:$C,3,FALSE)</f>
        <v>#N/A</v>
      </c>
      <c r="C3" s="109" t="s">
        <v>202</v>
      </c>
      <c r="D3" s="143" t="str">
        <f>A3&amp;C3</f>
        <v>0cskill</v>
      </c>
      <c r="E3" s="143">
        <f>COUNTIF(D$2:D3,D3)</f>
        <v>1</v>
      </c>
      <c r="F3" s="109" t="s">
        <v>200</v>
      </c>
      <c r="G3" s="109" t="s">
        <v>199</v>
      </c>
      <c r="H3" s="109" t="s">
        <v>203</v>
      </c>
    </row>
    <row r="4" spans="1:8" x14ac:dyDescent="0.15">
      <c r="A4" s="109"/>
      <c r="B4" s="143"/>
      <c r="C4" s="109"/>
      <c r="D4" s="143"/>
      <c r="E4" s="143"/>
      <c r="F4" s="109"/>
      <c r="G4" s="109"/>
      <c r="H4" s="109"/>
    </row>
    <row r="5" spans="1:8" x14ac:dyDescent="0.15">
      <c r="A5" s="109"/>
      <c r="B5" s="143"/>
      <c r="C5" s="109"/>
      <c r="D5" s="143"/>
      <c r="E5" s="143"/>
      <c r="F5" s="109"/>
      <c r="G5" s="109"/>
      <c r="H5" s="109"/>
    </row>
    <row r="6" spans="1:8" x14ac:dyDescent="0.15">
      <c r="A6" s="109"/>
      <c r="B6" s="143"/>
      <c r="C6" s="109"/>
      <c r="D6" s="143"/>
      <c r="E6" s="143"/>
      <c r="F6" s="109"/>
      <c r="G6" s="109"/>
      <c r="H6" s="109"/>
    </row>
    <row r="7" spans="1:8" x14ac:dyDescent="0.15">
      <c r="A7" s="109"/>
      <c r="B7" s="143"/>
      <c r="C7" s="109"/>
      <c r="D7" s="143"/>
      <c r="E7" s="143"/>
      <c r="F7" s="109"/>
      <c r="G7" s="109"/>
      <c r="H7" s="109"/>
    </row>
    <row r="8" spans="1:8" x14ac:dyDescent="0.15">
      <c r="A8" s="109"/>
      <c r="B8" s="143"/>
      <c r="C8" s="109"/>
      <c r="D8" s="143"/>
      <c r="E8" s="143"/>
      <c r="F8" s="109"/>
      <c r="G8" s="109"/>
      <c r="H8" s="109"/>
    </row>
    <row r="9" spans="1:8" x14ac:dyDescent="0.15">
      <c r="A9" s="109"/>
      <c r="B9" s="143"/>
      <c r="C9" s="109"/>
      <c r="D9" s="143"/>
      <c r="E9" s="143"/>
      <c r="F9" s="109"/>
      <c r="G9" s="109"/>
      <c r="H9" s="109"/>
    </row>
    <row r="10" spans="1:8" x14ac:dyDescent="0.15">
      <c r="A10" s="109"/>
      <c r="B10" s="143"/>
      <c r="C10" s="109"/>
      <c r="D10" s="143"/>
      <c r="E10" s="143"/>
      <c r="F10" s="109"/>
      <c r="G10" s="109"/>
      <c r="H10" s="109"/>
    </row>
    <row r="11" spans="1:8" x14ac:dyDescent="0.15">
      <c r="A11" s="109"/>
      <c r="B11" s="143"/>
      <c r="C11" s="109"/>
      <c r="D11" s="143"/>
      <c r="E11" s="143"/>
      <c r="F11" s="109"/>
      <c r="G11" s="109"/>
      <c r="H11" s="109"/>
    </row>
    <row r="12" spans="1:8" x14ac:dyDescent="0.15">
      <c r="A12" s="109"/>
      <c r="B12" s="143"/>
      <c r="C12" s="109"/>
      <c r="D12" s="143"/>
      <c r="E12" s="143"/>
      <c r="F12" s="109"/>
      <c r="G12" s="109"/>
      <c r="H12" s="109"/>
    </row>
    <row r="13" spans="1:8" x14ac:dyDescent="0.15">
      <c r="A13" s="109"/>
      <c r="B13" s="143"/>
      <c r="C13" s="109"/>
      <c r="D13" s="143"/>
      <c r="E13" s="143"/>
      <c r="F13" s="109"/>
      <c r="G13" s="109"/>
      <c r="H13" s="109"/>
    </row>
    <row r="14" spans="1:8" x14ac:dyDescent="0.15">
      <c r="A14" s="109"/>
      <c r="B14" s="143"/>
      <c r="C14" s="109"/>
      <c r="D14" s="143"/>
      <c r="E14" s="143"/>
      <c r="F14" s="109"/>
      <c r="G14" s="109"/>
      <c r="H14" s="109"/>
    </row>
    <row r="15" spans="1:8" x14ac:dyDescent="0.15">
      <c r="A15" s="109"/>
      <c r="B15" s="143"/>
      <c r="C15" s="109"/>
      <c r="D15" s="143"/>
      <c r="E15" s="143"/>
      <c r="F15" s="109"/>
      <c r="G15" s="109"/>
      <c r="H15" s="109"/>
    </row>
    <row r="16" spans="1:8" x14ac:dyDescent="0.15">
      <c r="A16" s="109"/>
      <c r="B16" s="143"/>
      <c r="C16" s="109"/>
      <c r="D16" s="143"/>
      <c r="E16" s="143"/>
      <c r="F16" s="109"/>
      <c r="G16" s="109"/>
      <c r="H16" s="109"/>
    </row>
    <row r="17" spans="1:8" x14ac:dyDescent="0.15">
      <c r="A17" s="109"/>
      <c r="B17" s="143"/>
      <c r="C17" s="109"/>
      <c r="D17" s="143"/>
      <c r="E17" s="143"/>
      <c r="F17" s="109"/>
      <c r="G17" s="109"/>
      <c r="H17" s="109"/>
    </row>
    <row r="18" spans="1:8" x14ac:dyDescent="0.15">
      <c r="A18" s="109"/>
      <c r="B18" s="143"/>
      <c r="C18" s="109"/>
      <c r="D18" s="143"/>
      <c r="E18" s="143"/>
      <c r="F18" s="109"/>
      <c r="G18" s="109"/>
      <c r="H18" s="109"/>
    </row>
    <row r="19" spans="1:8" x14ac:dyDescent="0.15">
      <c r="A19" s="109"/>
      <c r="B19" s="143"/>
      <c r="C19" s="109"/>
      <c r="D19" s="143"/>
      <c r="E19" s="143"/>
      <c r="F19" s="109"/>
      <c r="G19" s="109"/>
      <c r="H19" s="109"/>
    </row>
    <row r="20" spans="1:8" x14ac:dyDescent="0.15">
      <c r="A20" s="109"/>
      <c r="B20" s="143"/>
      <c r="C20" s="109"/>
      <c r="D20" s="143"/>
      <c r="E20" s="143"/>
      <c r="F20" s="109"/>
      <c r="G20" s="109"/>
      <c r="H20" s="109"/>
    </row>
    <row r="21" spans="1:8" x14ac:dyDescent="0.15">
      <c r="A21" s="109"/>
      <c r="B21" s="143"/>
      <c r="C21" s="109"/>
      <c r="D21" s="143"/>
      <c r="E21" s="143"/>
      <c r="F21" s="109"/>
      <c r="G21" s="109"/>
      <c r="H21" s="109"/>
    </row>
    <row r="22" spans="1:8" x14ac:dyDescent="0.15">
      <c r="A22" s="109"/>
      <c r="B22" s="143"/>
      <c r="C22" s="109"/>
      <c r="D22" s="143"/>
      <c r="E22" s="143"/>
      <c r="F22" s="109"/>
      <c r="G22" s="109"/>
      <c r="H22" s="109"/>
    </row>
    <row r="23" spans="1:8" x14ac:dyDescent="0.15">
      <c r="A23" s="109"/>
      <c r="B23" s="143"/>
      <c r="C23" s="109"/>
      <c r="D23" s="143"/>
      <c r="E23" s="143"/>
      <c r="F23" s="109"/>
      <c r="G23" s="109"/>
      <c r="H23" s="109"/>
    </row>
    <row r="24" spans="1:8" x14ac:dyDescent="0.15">
      <c r="A24" s="109"/>
      <c r="B24" s="143"/>
      <c r="C24" s="109"/>
      <c r="D24" s="143"/>
      <c r="E24" s="143"/>
      <c r="F24" s="109"/>
      <c r="G24" s="109"/>
      <c r="H24" s="109"/>
    </row>
    <row r="25" spans="1:8" x14ac:dyDescent="0.15">
      <c r="A25" s="109"/>
      <c r="B25" s="143"/>
      <c r="C25" s="109"/>
      <c r="D25" s="143"/>
      <c r="E25" s="143"/>
      <c r="F25" s="109"/>
      <c r="G25" s="109"/>
      <c r="H25" s="109"/>
    </row>
  </sheetData>
  <phoneticPr fontId="22"/>
  <dataValidations count="2">
    <dataValidation type="list" allowBlank="1" showInputMessage="1" showErrorMessage="1" sqref="G2:G3">
      <formula1>"maru,giza,kumo"</formula1>
    </dataValidation>
    <dataValidation type="list" allowBlank="1" showInputMessage="1" showErrorMessage="1" sqref="C2:C3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tabColor rgb="FFFF0000"/>
    <outlinePr summaryBelow="0" summaryRight="0"/>
  </sheetPr>
  <dimension ref="A1:U2"/>
  <sheetViews>
    <sheetView showGridLines="0" workbookViewId="0">
      <pane xSplit="9" ySplit="1" topLeftCell="J2" activePane="bottomRight" state="frozen"/>
      <selection pane="topRight" activeCell="J1" sqref="J1"/>
      <selection pane="bottomLeft" activeCell="A3" sqref="A3"/>
      <selection pane="bottomRight" activeCell="H15" sqref="H15"/>
    </sheetView>
  </sheetViews>
  <sheetFormatPr baseColWidth="12" defaultColWidth="8.83203125" defaultRowHeight="21" customHeight="1" outlineLevelCol="1" x14ac:dyDescent="0.15"/>
  <cols>
    <col min="1" max="1" width="12.83203125" style="12" customWidth="1"/>
    <col min="2" max="2" width="21.5" style="13" bestFit="1" customWidth="1" collapsed="1"/>
    <col min="3" max="3" width="23.6640625" style="13" hidden="1" customWidth="1" outlineLevel="1"/>
    <col min="4" max="4" width="8.6640625" style="13" hidden="1" customWidth="1" outlineLevel="1"/>
    <col min="5" max="5" width="8" style="13" hidden="1" customWidth="1" outlineLevel="1"/>
    <col min="6" max="6" width="7.1640625" style="13" hidden="1" customWidth="1" outlineLevel="1"/>
    <col min="7" max="7" width="9.6640625" style="13" bestFit="1" customWidth="1"/>
    <col min="8" max="8" width="13.6640625" style="13" bestFit="1" customWidth="1"/>
    <col min="9" max="9" width="10.5" style="13" bestFit="1" customWidth="1" collapsed="1"/>
    <col min="10" max="10" width="22" style="13" hidden="1" customWidth="1" outlineLevel="1"/>
    <col min="11" max="11" width="14.1640625" style="13" hidden="1" customWidth="1" outlineLevel="1"/>
    <col min="12" max="12" width="12.33203125" style="13" hidden="1" customWidth="1" outlineLevel="1"/>
    <col min="13" max="15" width="13.6640625" style="13" hidden="1" customWidth="1" outlineLevel="1"/>
    <col min="16" max="16" width="15.1640625" style="13" customWidth="1"/>
    <col min="17" max="17" width="20.1640625" style="12" bestFit="1" customWidth="1"/>
    <col min="18" max="18" width="18.83203125" style="13" bestFit="1" customWidth="1"/>
    <col min="19" max="20" width="18.83203125" style="13" customWidth="1"/>
    <col min="21" max="21" width="15.1640625" style="13" customWidth="1"/>
    <col min="22" max="16384" width="8.83203125" style="12"/>
  </cols>
  <sheetData>
    <row r="1" spans="1:21" ht="21" customHeight="1" x14ac:dyDescent="0.15">
      <c r="A1" s="81" t="s">
        <v>284</v>
      </c>
      <c r="B1" s="95" t="s">
        <v>285</v>
      </c>
      <c r="C1" s="86" t="s">
        <v>286</v>
      </c>
      <c r="D1" s="86" t="s">
        <v>287</v>
      </c>
      <c r="E1" s="86" t="s">
        <v>288</v>
      </c>
      <c r="F1" s="86" t="s">
        <v>289</v>
      </c>
      <c r="G1" s="86" t="s">
        <v>1</v>
      </c>
      <c r="H1" s="182" t="s">
        <v>19</v>
      </c>
      <c r="I1" s="86" t="s">
        <v>0</v>
      </c>
      <c r="J1" s="85" t="s">
        <v>290</v>
      </c>
      <c r="K1" s="86" t="s">
        <v>285</v>
      </c>
      <c r="L1" s="87" t="s">
        <v>49</v>
      </c>
      <c r="M1" s="87" t="s">
        <v>48</v>
      </c>
      <c r="N1" s="87" t="s">
        <v>291</v>
      </c>
      <c r="O1" s="87" t="s">
        <v>292</v>
      </c>
      <c r="P1" s="92" t="s">
        <v>293</v>
      </c>
      <c r="Q1" s="91" t="s">
        <v>294</v>
      </c>
      <c r="R1" s="80" t="s">
        <v>285</v>
      </c>
      <c r="S1" s="92" t="s">
        <v>295</v>
      </c>
      <c r="T1" s="80" t="s">
        <v>285</v>
      </c>
      <c r="U1" s="92" t="s">
        <v>296</v>
      </c>
    </row>
    <row r="2" spans="1:21" ht="21" customHeight="1" x14ac:dyDescent="0.15">
      <c r="A2" s="183">
        <v>9999</v>
      </c>
      <c r="B2" s="57" t="e">
        <f ca="1">VLOOKUP($A2,OFFSET([1]characters!$A$1,0,0,COUNTA([1]characters!$A:$A),MATCH(B$1,[1]characters!$1:$1,0)-MATCH($A$1,[1]characters!$1:$1,0)+1),MATCH(B$1,[1]characters!$1:$1,0)-MATCH($A$1,[1]characters!$1:$1,0)+1,FALSE)</f>
        <v>#N/A</v>
      </c>
      <c r="C2" s="57" t="e">
        <f ca="1">VLOOKUP($A2,OFFSET([1]characters!$A$1,0,0,COUNTA([1]characters!$A:$A),MATCH(C$1,[1]characters!$1:$1,0)-MATCH($A$1,[1]characters!$1:$1,0)+1),MATCH(C$1,[1]characters!$1:$1,0)-MATCH($A$1,[1]characters!$1:$1,0)+1,FALSE)</f>
        <v>#N/A</v>
      </c>
      <c r="D2" s="57" t="e">
        <f ca="1">VLOOKUP($A2,OFFSET([1]characters!$A$1,0,0,COUNTA([1]characters!$A:$A),MATCH(D$1,[1]characters!$1:$1,0)-MATCH($A$1,[1]characters!$1:$1,0)+1),MATCH(D$1,[1]characters!$1:$1,0)-MATCH($A$1,[1]characters!$1:$1,0)+1,FALSE)</f>
        <v>#N/A</v>
      </c>
      <c r="E2" s="57" t="e">
        <f ca="1">VLOOKUP($A2,OFFSET([1]characters!$A$1,0,0,COUNTA([1]characters!$A:$A),MATCH(E$1,[1]characters!$1:$1,0)-MATCH($A$1,[1]characters!$1:$1,0)+1),MATCH(E$1,[1]characters!$1:$1,0)-MATCH($A$1,[1]characters!$1:$1,0)+1,FALSE)</f>
        <v>#N/A</v>
      </c>
      <c r="F2" s="57" t="e">
        <f ca="1">VLOOKUP($A2,OFFSET([1]characters!$A$1,0,0,COUNTA([1]characters!$A:$A),MATCH(F$1,[1]characters!$1:$1,0)-MATCH($A$1,[1]characters!$1:$1,0)+1),MATCH(F$1,[1]characters!$1:$1,0)-MATCH($A$1,[1]characters!$1:$1,0)+1,FALSE)</f>
        <v>#N/A</v>
      </c>
      <c r="G2" s="57" t="e">
        <f ca="1">VLOOKUP($A2,OFFSET([1]characters!$A$1,0,0,COUNTA([1]characters!$A:$A),MATCH(G$1,[1]characters!$1:$1,0)-MATCH($A$1,[1]characters!$1:$1,0)+1),MATCH(G$1,[1]characters!$1:$1,0)-MATCH($A$1,[1]characters!$1:$1,0)+1,FALSE)</f>
        <v>#N/A</v>
      </c>
      <c r="H2" s="57" t="e">
        <f ca="1">VLOOKUP($A2,OFFSET([1]characters!$A$1,0,0,COUNTA([1]characters!$A:$A),MATCH(H$1,[1]characters!$1:$1,0)-MATCH($A$1,[1]characters!$1:$1,0)+1),MATCH(H$1,[1]characters!$1:$1,0)-MATCH($A$1,[1]characters!$1:$1,0)+1,FALSE)</f>
        <v>#N/A</v>
      </c>
      <c r="I2" s="57" t="e">
        <f ca="1">VLOOKUP($A2,OFFSET([1]characters!$A$1,0,0,COUNTA([1]characters!$A:$A),MATCH(I$1,[1]characters!$1:$1,0)-MATCH($A$1,[1]characters!$1:$1,0)+1),MATCH(I$1,[1]characters!$1:$1,0)-MATCH($A$1,[1]characters!$1:$1,0)+1,FALSE)</f>
        <v>#N/A</v>
      </c>
      <c r="J2" s="57" t="e">
        <f ca="1">VLOOKUP($A2,OFFSET([1]characters!$A$1,0,0,COUNTA([1]characters!$A:$A),MATCH(J$1,[1]characters!$1:$1,0)-MATCH($A$1,[1]characters!$1:$1,0)+1),MATCH(J$1,[1]characters!$1:$1,0)-MATCH($A$1,[1]characters!$1:$1,0)+1,FALSE)</f>
        <v>#N/A</v>
      </c>
      <c r="K2" s="5" t="e">
        <f ca="1">VLOOKUP(J2,[1]character_tribe_i18n!$A:$H,3,FALSE)</f>
        <v>#N/A</v>
      </c>
      <c r="L2" s="11" t="e">
        <f>VLOOKUP(#REF!,[1]character_tribe_i18n!$A:$H,4,FALSE)</f>
        <v>#REF!</v>
      </c>
      <c r="M2" s="11" t="e">
        <f>VLOOKUP(#REF!,[1]character_tribe_i18n!$A:$H,5,FALSE)</f>
        <v>#REF!</v>
      </c>
      <c r="N2" s="11" t="e">
        <f>VLOOKUP(#REF!,[1]character_tribe_i18n!$A:$H,6,FALSE)</f>
        <v>#REF!</v>
      </c>
      <c r="O2" s="11" t="e">
        <f>VLOOKUP(#REF!,[1]character_tribe_i18n!$A:$H,7,FALSE)</f>
        <v>#REF!</v>
      </c>
      <c r="P2" s="183" t="str">
        <f>VLOOKUP(Q2,[1]characters!$A:$AC,20)</f>
        <v>normal</v>
      </c>
      <c r="Q2" s="9">
        <v>99999</v>
      </c>
      <c r="R2" s="62" t="e">
        <f ca="1">IF(Q2="NULL","",VLOOKUP($Q2,OFFSET([1]characters!$A$1,0,0,COUNTA([1]characters!$A:$A),MATCH(R$1,[1]characters!$1:$1,0)-MATCH($A$1,[1]characters!$1:$1,0)+1),MATCH(R$1,[1]characters!$1:$1,0)-MATCH($A$1,[1]characters!$1:$1,0)+1,FALSE))</f>
        <v>#N/A</v>
      </c>
      <c r="S2" s="5">
        <f ca="1">IF(ISNA(MATCH(A2,Q:Q,0)),A2,INDIRECT(ADDRESS(MATCH(A2,Q:Q,0),COLUMN())))</f>
        <v>9999</v>
      </c>
      <c r="T2" s="62" t="e">
        <f ca="1">VLOOKUP($S2,OFFSET([1]characters!$A$1,0,0,COUNTA([1]characters!$A:$A),MATCH(T$1,[1]characters!$1:$1,0)-MATCH($A$1,[1]characters!$1:$1,0)+1),MATCH(T$1,[1]characters!$1:$1,0)-MATCH($A$1,[1]characters!$1:$1,0)+1,FALSE)</f>
        <v>#N/A</v>
      </c>
      <c r="U2" s="11" t="e">
        <f ca="1">IF(Q2="NULL","NULL",VLOOKUP(G2,[2]ビット!$A$2:$B$7,2))</f>
        <v>#N/A</v>
      </c>
    </row>
  </sheetData>
  <autoFilter ref="A1:U2"/>
  <phoneticPr fontId="22"/>
  <conditionalFormatting sqref="W1:W1048576">
    <cfRule type="cellIs" dxfId="25" priority="1" operator="equal">
      <formula>"FALSE"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N2"/>
  <sheetViews>
    <sheetView showGridLines="0" workbookViewId="0">
      <pane ySplit="1" topLeftCell="A2" activePane="bottomLeft" state="frozen"/>
      <selection pane="bottomLeft" activeCell="I2" sqref="I2"/>
    </sheetView>
  </sheetViews>
  <sheetFormatPr baseColWidth="12" defaultColWidth="13" defaultRowHeight="15" x14ac:dyDescent="0.15"/>
  <cols>
    <col min="1" max="1" width="11.5" style="65" bestFit="1" customWidth="1"/>
    <col min="2" max="2" width="19.1640625" style="3" bestFit="1" customWidth="1"/>
    <col min="3" max="3" width="19.1640625" style="3" customWidth="1"/>
    <col min="4" max="4" width="22.83203125" style="2" bestFit="1" customWidth="1"/>
    <col min="5" max="5" width="9.6640625" style="2" bestFit="1" customWidth="1"/>
    <col min="6" max="6" width="13.6640625" style="2" bestFit="1" customWidth="1"/>
    <col min="7" max="7" width="19.1640625" style="3" customWidth="1"/>
    <col min="8" max="8" width="22.83203125" style="2" bestFit="1" customWidth="1"/>
    <col min="9" max="9" width="21.33203125" style="2" bestFit="1" customWidth="1"/>
    <col min="10" max="10" width="13.5" style="2" bestFit="1" customWidth="1"/>
    <col min="11" max="11" width="17" style="1" bestFit="1" customWidth="1"/>
    <col min="12" max="16384" width="13" style="2"/>
  </cols>
  <sheetData>
    <row r="1" spans="1:14" ht="21" customHeight="1" x14ac:dyDescent="0.15">
      <c r="A1" s="65" t="s">
        <v>99</v>
      </c>
      <c r="B1" s="42" t="s">
        <v>38</v>
      </c>
      <c r="C1" s="184" t="s">
        <v>297</v>
      </c>
      <c r="D1" s="20" t="s">
        <v>40</v>
      </c>
      <c r="E1" s="20" t="s">
        <v>42</v>
      </c>
      <c r="F1" s="20" t="s">
        <v>43</v>
      </c>
      <c r="G1" s="184" t="s">
        <v>298</v>
      </c>
      <c r="H1" s="20" t="s">
        <v>40</v>
      </c>
      <c r="I1" s="43" t="s">
        <v>36</v>
      </c>
      <c r="J1" s="20" t="s">
        <v>41</v>
      </c>
      <c r="K1" s="19" t="s">
        <v>37</v>
      </c>
      <c r="L1" s="187" t="s">
        <v>127</v>
      </c>
      <c r="M1" s="188" t="s">
        <v>300</v>
      </c>
    </row>
    <row r="2" spans="1:14" ht="21" customHeight="1" x14ac:dyDescent="0.15">
      <c r="A2" s="65" t="str">
        <f>B2&amp;"_"&amp;I2</f>
        <v>9999_101</v>
      </c>
      <c r="B2" s="44">
        <v>9999</v>
      </c>
      <c r="C2" s="185">
        <f>B2</f>
        <v>9999</v>
      </c>
      <c r="D2" s="57" t="e">
        <f ca="1">VLOOKUP($C2,OFFSET([1]characters!$A$1,0,0,COUNTA([1]characters!$A:$A),MATCH(D$1,[1]characters!$1:$1,0)-MATCH($C$1,[1]characters!$1:$1,0)+1),MATCH(D$1,[1]characters!$1:$1,0)-MATCH($C$1,[1]characters!$1:$1,0)+1,FALSE)</f>
        <v>#N/A</v>
      </c>
      <c r="E2" s="57" t="e">
        <f ca="1">VLOOKUP($C2,OFFSET([1]characters!$A$1,0,0,COUNTA([1]characters!$A:$A),MATCH(E$1,[1]characters!$1:$1,0)-MATCH($C$1,[1]characters!$1:$1,0)+1),MATCH(E$1,[1]characters!$1:$1,0)-MATCH($C$1,[1]characters!$1:$1,0)+1,FALSE)</f>
        <v>#N/A</v>
      </c>
      <c r="F2" s="57" t="e">
        <f ca="1">VLOOKUP($C2,OFFSET([1]characters!$A$1,0,0,COUNTA([1]characters!$A:$A),MATCH(F$1,[1]characters!$1:$1,0)-MATCH($C$1,[1]characters!$1:$1,0)+1),MATCH(F$1,[1]characters!$1:$1,0)-MATCH($C$1,[1]characters!$1:$1,0)+1,FALSE)</f>
        <v>#N/A</v>
      </c>
      <c r="G2" s="186">
        <v>99999</v>
      </c>
      <c r="H2" s="57" t="e">
        <f ca="1">VLOOKUP($G2,OFFSET([1]characters!$A$1,0,0,COUNTA([1]characters!$A:$A),MATCH(H$1,[1]characters!$1:$1,0)-MATCH($C$1,[1]characters!$1:$1,0)+1),MATCH(H$1,[1]characters!$1:$1,0)-MATCH($C$1,[1]characters!$1:$1,0)+1,FALSE)</f>
        <v>#N/A</v>
      </c>
      <c r="I2" s="44">
        <v>101</v>
      </c>
      <c r="J2" s="57" t="str">
        <f ca="1">VLOOKUP($I2,OFFSET([1]characters!$A$1,0,0,COUNTA([1]characters!$A:$A),MATCH(J$1,[1]characters!$1:$1,0)-MATCH($C$1,[1]characters!$1:$1,0)+1),MATCH(J$1,[1]characters!$1:$1,0)-MATCH($C$1,[1]characters!$1:$1,0)+1,FALSE)</f>
        <v>レッドチェシャ</v>
      </c>
      <c r="K2" s="18">
        <v>1</v>
      </c>
      <c r="L2" s="114">
        <v>1</v>
      </c>
      <c r="M2" s="114">
        <v>10</v>
      </c>
      <c r="N2" s="2" t="s">
        <v>299</v>
      </c>
    </row>
  </sheetData>
  <sheetProtection selectLockedCells="1" selectUnlockedCells="1"/>
  <autoFilter ref="B1:K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293173"/>
  </sheetPr>
  <dimension ref="A1:K2"/>
  <sheetViews>
    <sheetView topLeftCell="G1" workbookViewId="0">
      <selection activeCell="J1" sqref="J1:J1048576"/>
    </sheetView>
  </sheetViews>
  <sheetFormatPr baseColWidth="12" defaultRowHeight="15" x14ac:dyDescent="0.15"/>
  <cols>
    <col min="3" max="3" width="16.5" customWidth="1"/>
    <col min="4" max="4" width="43.6640625" customWidth="1"/>
    <col min="5" max="5" width="10.1640625" customWidth="1"/>
    <col min="6" max="6" width="18" customWidth="1"/>
    <col min="7" max="7" width="66.5" customWidth="1"/>
    <col min="8" max="8" width="11.6640625" customWidth="1"/>
    <col min="9" max="9" width="116.5" hidden="1" customWidth="1"/>
    <col min="10" max="10" width="7.5" style="193" bestFit="1" customWidth="1"/>
  </cols>
  <sheetData>
    <row r="1" spans="1:11" s="23" customFormat="1" ht="21" customHeight="1" x14ac:dyDescent="0.15">
      <c r="A1" s="172" t="s">
        <v>311</v>
      </c>
      <c r="B1" s="120" t="s">
        <v>312</v>
      </c>
      <c r="C1" s="121" t="s">
        <v>313</v>
      </c>
      <c r="D1" s="122" t="s">
        <v>314</v>
      </c>
      <c r="E1" s="122" t="s">
        <v>315</v>
      </c>
      <c r="F1" s="122" t="s">
        <v>316</v>
      </c>
      <c r="G1" s="122" t="s">
        <v>317</v>
      </c>
      <c r="H1" s="122" t="s">
        <v>318</v>
      </c>
      <c r="I1" s="180" t="s">
        <v>319</v>
      </c>
      <c r="J1" s="192" t="s">
        <v>331</v>
      </c>
      <c r="K1" s="173" t="s">
        <v>320</v>
      </c>
    </row>
    <row r="2" spans="1:11" s="23" customFormat="1" ht="21" customHeight="1" x14ac:dyDescent="0.15">
      <c r="A2" s="66">
        <v>0</v>
      </c>
      <c r="B2" s="174" t="s">
        <v>321</v>
      </c>
      <c r="C2" s="175" t="s">
        <v>325</v>
      </c>
      <c r="D2" s="175" t="s">
        <v>326</v>
      </c>
      <c r="E2" s="175" t="s">
        <v>322</v>
      </c>
      <c r="F2" s="175" t="s">
        <v>327</v>
      </c>
      <c r="G2" s="175" t="s">
        <v>323</v>
      </c>
      <c r="H2" s="175" t="s">
        <v>324</v>
      </c>
      <c r="I2" s="190" t="str">
        <f>"{"&amp;""""&amp;$E$1&amp;""""&amp;":"&amp;""""&amp;E2&amp;""""&amp;","""""&amp;"type"&amp;""""&amp;":"&amp;""""&amp;"ability"&amp;""""&amp;","&amp;""""&amp;$G$1&amp;""""&amp;":"&amp;""""&amp;G2&amp;""""&amp;","&amp;""""&amp;$F$1&amp;""""&amp;":"&amp;""""&amp;F2&amp;""""&amp;","&amp;""""&amp;$H$1&amp;""""&amp;":"&amp;H2&amp;"}"</f>
        <v>{"ver":"1.7.0",""type":"ability","effects":"[effect:enhance_unit, target:myself, turn:1, status:attack, val:0.2, calc:mul, animation:enhance_unit_all_attack03]","conditions":"[condition:active_unit],[condition:panel_chain,count:16]","priority":0}</v>
      </c>
      <c r="J2" s="190" t="s">
        <v>332</v>
      </c>
      <c r="K2" s="176">
        <v>0</v>
      </c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293173"/>
  </sheetPr>
  <dimension ref="A1:H2"/>
  <sheetViews>
    <sheetView workbookViewId="0">
      <selection activeCell="E5" sqref="E5"/>
    </sheetView>
  </sheetViews>
  <sheetFormatPr baseColWidth="12" defaultRowHeight="15" x14ac:dyDescent="0.15"/>
  <cols>
    <col min="5" max="5" width="22.6640625" customWidth="1"/>
    <col min="6" max="6" width="35.33203125" customWidth="1"/>
  </cols>
  <sheetData>
    <row r="1" spans="1:8" s="23" customFormat="1" ht="21" customHeight="1" x14ac:dyDescent="0.15">
      <c r="A1" s="172" t="s">
        <v>138</v>
      </c>
      <c r="B1" s="177" t="s">
        <v>275</v>
      </c>
      <c r="C1" s="120" t="s">
        <v>276</v>
      </c>
      <c r="D1" s="120" t="s">
        <v>277</v>
      </c>
      <c r="E1" s="178" t="s">
        <v>278</v>
      </c>
      <c r="F1" s="178" t="s">
        <v>279</v>
      </c>
      <c r="G1" s="123" t="s">
        <v>280</v>
      </c>
      <c r="H1" s="172" t="s">
        <v>281</v>
      </c>
    </row>
    <row r="2" spans="1:8" s="4" customFormat="1" ht="21" customHeight="1" x14ac:dyDescent="0.15">
      <c r="A2" s="174">
        <v>0</v>
      </c>
      <c r="B2" s="179" t="e">
        <f>VLOOKUP(A2,[1]characters!$A:$C,3)</f>
        <v>#N/A</v>
      </c>
      <c r="C2" s="174">
        <v>1</v>
      </c>
      <c r="D2" s="174">
        <v>100</v>
      </c>
      <c r="E2" s="180" t="str">
        <f>IF(ISERROR(VLOOKUP(D2,[3]abilities!A:D,3,FALSE))=FALSE,VLOOKUP(D2,[3]abilities!A:D,3),IF(ISERROR(VLOOKUP(D2,abilities!A:D,3,FALSE))=FALSE,VLOOKUP(D2,abilities!A:D,3),"なし"))</f>
        <v>プロテクトブレイク</v>
      </c>
      <c r="F2" s="180" t="str">
        <f>IF(ISERROR(VLOOKUP(D2,[3]abilities!A:D,4,FALSE))=FALSE,VLOOKUP(D2,[3]abilities!A:D,4),IF(ISERROR(VLOOKUP(D2,abilities!A:D,4,FALSE))=FALSE,VLOOKUP(D2,abilities!A:D,4),"なし"))</f>
        <v>自身が先頭の時、プロテクトを無視してパネル破壊できる</v>
      </c>
      <c r="G2" s="181" t="s">
        <v>282</v>
      </c>
      <c r="H2" s="181" t="s">
        <v>283</v>
      </c>
    </row>
  </sheetData>
  <phoneticPr fontId="2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1"/>
  <sheetViews>
    <sheetView showGridLines="0" workbookViewId="0">
      <selection activeCell="G10" sqref="G10"/>
    </sheetView>
  </sheetViews>
  <sheetFormatPr baseColWidth="12" defaultColWidth="13" defaultRowHeight="21" customHeight="1" x14ac:dyDescent="0.15"/>
  <cols>
    <col min="1" max="1" width="13" style="4"/>
    <col min="2" max="16384" width="13" style="23"/>
  </cols>
  <sheetData>
    <row r="1" spans="1:9" s="4" customFormat="1" ht="21" customHeight="1" x14ac:dyDescent="0.15">
      <c r="A1" s="30" t="s">
        <v>239</v>
      </c>
      <c r="B1" s="32">
        <v>1</v>
      </c>
      <c r="C1" s="32">
        <v>2</v>
      </c>
      <c r="D1" s="32">
        <v>3</v>
      </c>
      <c r="E1" s="32">
        <v>4</v>
      </c>
      <c r="F1" s="32">
        <v>5</v>
      </c>
      <c r="G1" s="32">
        <v>6</v>
      </c>
      <c r="H1" s="32">
        <v>7</v>
      </c>
      <c r="I1" s="32">
        <v>8</v>
      </c>
    </row>
    <row r="2" spans="1:9" s="4" customFormat="1" ht="21" customHeight="1" x14ac:dyDescent="0.15">
      <c r="A2" s="146" t="s">
        <v>240</v>
      </c>
      <c r="B2" s="147"/>
      <c r="C2" s="148"/>
      <c r="D2" s="149" t="s">
        <v>241</v>
      </c>
      <c r="E2" s="149">
        <v>30</v>
      </c>
      <c r="F2" s="149">
        <v>40</v>
      </c>
      <c r="G2" s="149">
        <f>15+F2</f>
        <v>55</v>
      </c>
      <c r="H2" s="148"/>
      <c r="I2" s="148"/>
    </row>
    <row r="3" spans="1:9" s="4" customFormat="1" ht="21" customHeight="1" x14ac:dyDescent="0.15">
      <c r="A3" s="146" t="s">
        <v>242</v>
      </c>
      <c r="B3" s="150"/>
      <c r="C3" s="151"/>
      <c r="D3" s="152" t="s">
        <v>241</v>
      </c>
      <c r="E3" s="152">
        <v>25</v>
      </c>
      <c r="F3" s="152">
        <v>35</v>
      </c>
      <c r="G3" s="149">
        <f t="shared" ref="G3:G4" si="0">15+F3</f>
        <v>50</v>
      </c>
      <c r="H3" s="151"/>
      <c r="I3" s="151"/>
    </row>
    <row r="4" spans="1:9" s="4" customFormat="1" ht="21" customHeight="1" x14ac:dyDescent="0.15">
      <c r="A4" s="146" t="s">
        <v>243</v>
      </c>
      <c r="B4" s="153"/>
      <c r="C4" s="154"/>
      <c r="D4" s="155">
        <v>10</v>
      </c>
      <c r="E4" s="155">
        <v>20</v>
      </c>
      <c r="F4" s="155">
        <v>30</v>
      </c>
      <c r="G4" s="155">
        <f t="shared" si="0"/>
        <v>45</v>
      </c>
      <c r="H4" s="154"/>
      <c r="I4" s="154"/>
    </row>
    <row r="5" spans="1:9" s="4" customFormat="1" ht="21" customHeight="1" x14ac:dyDescent="0.15">
      <c r="A5" s="165" t="s">
        <v>244</v>
      </c>
      <c r="B5" s="160"/>
      <c r="C5" s="161"/>
      <c r="D5" s="28">
        <v>9</v>
      </c>
      <c r="E5" s="28">
        <v>18</v>
      </c>
      <c r="F5" s="28">
        <v>28</v>
      </c>
      <c r="G5" s="39">
        <v>38</v>
      </c>
      <c r="H5" s="161"/>
      <c r="I5" s="161"/>
    </row>
    <row r="6" spans="1:9" s="4" customFormat="1" ht="21" customHeight="1" x14ac:dyDescent="0.15">
      <c r="A6" s="165" t="s">
        <v>245</v>
      </c>
      <c r="B6" s="160"/>
      <c r="C6" s="161"/>
      <c r="D6" s="28">
        <v>7</v>
      </c>
      <c r="E6" s="28">
        <v>16</v>
      </c>
      <c r="F6" s="69" t="s">
        <v>11</v>
      </c>
      <c r="G6" s="69" t="s">
        <v>11</v>
      </c>
      <c r="H6" s="161"/>
      <c r="I6" s="161"/>
    </row>
    <row r="7" spans="1:9" ht="21" customHeight="1" x14ac:dyDescent="0.15">
      <c r="A7" s="74" t="s">
        <v>246</v>
      </c>
      <c r="B7" s="47" t="s">
        <v>11</v>
      </c>
      <c r="C7" s="47" t="s">
        <v>11</v>
      </c>
      <c r="D7" s="39" t="s">
        <v>241</v>
      </c>
      <c r="E7" s="39" t="s">
        <v>241</v>
      </c>
      <c r="F7" s="39" t="s">
        <v>241</v>
      </c>
      <c r="G7" s="39" t="s">
        <v>241</v>
      </c>
      <c r="H7" s="39" t="s">
        <v>241</v>
      </c>
      <c r="I7" s="39" t="s">
        <v>241</v>
      </c>
    </row>
    <row r="8" spans="1:9" ht="21" customHeight="1" x14ac:dyDescent="0.15">
      <c r="A8" s="75" t="s">
        <v>247</v>
      </c>
      <c r="B8" s="47" t="s">
        <v>11</v>
      </c>
      <c r="C8" s="47" t="s">
        <v>11</v>
      </c>
      <c r="D8" s="39" t="s">
        <v>241</v>
      </c>
      <c r="E8" s="39">
        <v>30</v>
      </c>
      <c r="F8" s="39">
        <v>40</v>
      </c>
      <c r="G8" s="39">
        <f>15+F8</f>
        <v>55</v>
      </c>
      <c r="H8" s="39" t="s">
        <v>241</v>
      </c>
      <c r="I8" s="39" t="s">
        <v>241</v>
      </c>
    </row>
    <row r="9" spans="1:9" s="46" customFormat="1" ht="21" customHeight="1" x14ac:dyDescent="0.15">
      <c r="A9" s="76" t="s">
        <v>328</v>
      </c>
      <c r="B9" s="28" t="s">
        <v>11</v>
      </c>
      <c r="C9" s="28" t="s">
        <v>11</v>
      </c>
      <c r="D9" s="106" t="s">
        <v>109</v>
      </c>
      <c r="E9" s="106" t="s">
        <v>109</v>
      </c>
      <c r="F9" s="106">
        <v>38</v>
      </c>
      <c r="G9" s="39">
        <f>15+F9</f>
        <v>53</v>
      </c>
      <c r="H9" s="106" t="s">
        <v>109</v>
      </c>
      <c r="I9" s="106" t="s">
        <v>109</v>
      </c>
    </row>
    <row r="10" spans="1:9" s="46" customFormat="1" ht="21" customHeight="1" x14ac:dyDescent="0.15">
      <c r="A10" s="76" t="s">
        <v>248</v>
      </c>
      <c r="B10" s="28" t="s">
        <v>11</v>
      </c>
      <c r="C10" s="28" t="s">
        <v>11</v>
      </c>
      <c r="D10" s="106" t="s">
        <v>241</v>
      </c>
      <c r="E10" s="106">
        <v>25</v>
      </c>
      <c r="F10" s="106">
        <v>35</v>
      </c>
      <c r="G10" s="39">
        <f t="shared" ref="G10:G11" si="1">15+F10</f>
        <v>50</v>
      </c>
      <c r="H10" s="106" t="s">
        <v>241</v>
      </c>
      <c r="I10" s="106" t="s">
        <v>241</v>
      </c>
    </row>
    <row r="11" spans="1:9" ht="21" customHeight="1" x14ac:dyDescent="0.15">
      <c r="A11" s="76" t="s">
        <v>9</v>
      </c>
      <c r="B11" s="69" t="s">
        <v>11</v>
      </c>
      <c r="C11" s="69" t="s">
        <v>11</v>
      </c>
      <c r="D11" s="28">
        <v>10</v>
      </c>
      <c r="E11" s="28">
        <v>20</v>
      </c>
      <c r="F11" s="28">
        <v>30</v>
      </c>
      <c r="G11" s="39">
        <f t="shared" si="1"/>
        <v>45</v>
      </c>
      <c r="H11" s="69" t="s">
        <v>11</v>
      </c>
      <c r="I11" s="69" t="s">
        <v>11</v>
      </c>
    </row>
    <row r="12" spans="1:9" ht="21" customHeight="1" x14ac:dyDescent="0.15">
      <c r="A12" s="76" t="s">
        <v>249</v>
      </c>
      <c r="B12" s="69" t="s">
        <v>11</v>
      </c>
      <c r="C12" s="69" t="s">
        <v>11</v>
      </c>
      <c r="D12" s="28">
        <v>9</v>
      </c>
      <c r="E12" s="28">
        <v>18</v>
      </c>
      <c r="F12" s="28">
        <v>28</v>
      </c>
      <c r="G12" s="39">
        <v>38</v>
      </c>
      <c r="H12" s="69" t="s">
        <v>11</v>
      </c>
      <c r="I12" s="69" t="s">
        <v>11</v>
      </c>
    </row>
    <row r="13" spans="1:9" ht="21" customHeight="1" x14ac:dyDescent="0.15">
      <c r="A13" s="76" t="s">
        <v>250</v>
      </c>
      <c r="B13" s="69" t="s">
        <v>11</v>
      </c>
      <c r="C13" s="69" t="s">
        <v>11</v>
      </c>
      <c r="D13" s="28">
        <v>7</v>
      </c>
      <c r="E13" s="28">
        <v>16</v>
      </c>
      <c r="F13" s="69" t="s">
        <v>11</v>
      </c>
      <c r="G13" s="69" t="s">
        <v>11</v>
      </c>
      <c r="H13" s="69" t="s">
        <v>11</v>
      </c>
      <c r="I13" s="69" t="s">
        <v>11</v>
      </c>
    </row>
    <row r="14" spans="1:9" ht="21" customHeight="1" x14ac:dyDescent="0.15">
      <c r="A14" s="105" t="s">
        <v>251</v>
      </c>
      <c r="B14" s="69" t="s">
        <v>11</v>
      </c>
      <c r="C14" s="69" t="s">
        <v>11</v>
      </c>
      <c r="D14" s="28">
        <v>8</v>
      </c>
      <c r="E14" s="28">
        <v>17</v>
      </c>
      <c r="F14" s="28">
        <v>26</v>
      </c>
      <c r="G14" s="69" t="s">
        <v>11</v>
      </c>
      <c r="H14" s="69" t="s">
        <v>11</v>
      </c>
      <c r="I14" s="69" t="s">
        <v>11</v>
      </c>
    </row>
    <row r="15" spans="1:9" ht="21" customHeight="1" x14ac:dyDescent="0.15">
      <c r="A15" s="76" t="s">
        <v>252</v>
      </c>
      <c r="B15" s="69" t="s">
        <v>11</v>
      </c>
      <c r="C15" s="69" t="s">
        <v>11</v>
      </c>
      <c r="D15" s="28">
        <v>8</v>
      </c>
      <c r="E15" s="28">
        <v>17</v>
      </c>
      <c r="F15" s="28">
        <v>26</v>
      </c>
      <c r="G15" s="69" t="s">
        <v>11</v>
      </c>
      <c r="H15" s="69" t="s">
        <v>11</v>
      </c>
      <c r="I15" s="69" t="s">
        <v>11</v>
      </c>
    </row>
    <row r="16" spans="1:9" ht="21" customHeight="1" x14ac:dyDescent="0.15">
      <c r="A16" s="76" t="s">
        <v>253</v>
      </c>
      <c r="B16" s="69" t="s">
        <v>11</v>
      </c>
      <c r="C16" s="69" t="s">
        <v>11</v>
      </c>
      <c r="D16" s="28">
        <v>6</v>
      </c>
      <c r="E16" s="28">
        <v>14</v>
      </c>
      <c r="F16" s="69" t="s">
        <v>11</v>
      </c>
      <c r="G16" s="69" t="s">
        <v>11</v>
      </c>
      <c r="H16" s="69" t="s">
        <v>11</v>
      </c>
      <c r="I16" s="69" t="s">
        <v>11</v>
      </c>
    </row>
    <row r="17" spans="1:9" ht="21" customHeight="1" x14ac:dyDescent="0.15">
      <c r="A17" s="76" t="s">
        <v>254</v>
      </c>
      <c r="B17" s="69" t="s">
        <v>11</v>
      </c>
      <c r="C17" s="28">
        <v>4</v>
      </c>
      <c r="D17" s="28">
        <v>6</v>
      </c>
      <c r="E17" s="28">
        <v>14</v>
      </c>
      <c r="F17" s="69" t="s">
        <v>11</v>
      </c>
      <c r="G17" s="69" t="s">
        <v>11</v>
      </c>
      <c r="H17" s="69" t="s">
        <v>11</v>
      </c>
      <c r="I17" s="69" t="s">
        <v>11</v>
      </c>
    </row>
    <row r="18" spans="1:9" ht="21" customHeight="1" x14ac:dyDescent="0.15">
      <c r="A18" s="76" t="s">
        <v>8</v>
      </c>
      <c r="B18" s="28">
        <v>2</v>
      </c>
      <c r="C18" s="28">
        <v>4</v>
      </c>
      <c r="D18" s="28">
        <v>6</v>
      </c>
      <c r="E18" s="69" t="s">
        <v>11</v>
      </c>
      <c r="F18" s="69" t="s">
        <v>11</v>
      </c>
      <c r="G18" s="69" t="s">
        <v>11</v>
      </c>
      <c r="H18" s="69" t="s">
        <v>11</v>
      </c>
      <c r="I18" s="69" t="s">
        <v>11</v>
      </c>
    </row>
    <row r="19" spans="1:9" ht="21" customHeight="1" x14ac:dyDescent="0.15">
      <c r="A19" s="77" t="s">
        <v>7</v>
      </c>
      <c r="B19" s="31">
        <v>1</v>
      </c>
      <c r="C19" s="31">
        <v>2</v>
      </c>
      <c r="D19" s="70" t="s">
        <v>11</v>
      </c>
      <c r="E19" s="70" t="s">
        <v>11</v>
      </c>
      <c r="F19" s="70" t="s">
        <v>11</v>
      </c>
      <c r="G19" s="70" t="s">
        <v>11</v>
      </c>
      <c r="H19" s="70" t="s">
        <v>11</v>
      </c>
      <c r="I19" s="70" t="s">
        <v>11</v>
      </c>
    </row>
    <row r="20" spans="1:9" ht="21" customHeight="1" x14ac:dyDescent="0.15">
      <c r="A20" s="78" t="s">
        <v>255</v>
      </c>
      <c r="B20" s="26">
        <v>1</v>
      </c>
      <c r="C20" s="26">
        <v>1</v>
      </c>
      <c r="D20" s="70" t="s">
        <v>11</v>
      </c>
      <c r="E20" s="70" t="s">
        <v>11</v>
      </c>
      <c r="F20" s="70" t="s">
        <v>11</v>
      </c>
      <c r="G20" s="70" t="s">
        <v>11</v>
      </c>
      <c r="H20" s="70" t="s">
        <v>11</v>
      </c>
      <c r="I20" s="70" t="s">
        <v>11</v>
      </c>
    </row>
    <row r="21" spans="1:9" ht="21" customHeight="1" x14ac:dyDescent="0.15">
      <c r="A21" s="37" t="s">
        <v>256</v>
      </c>
      <c r="B21" s="36">
        <v>99</v>
      </c>
      <c r="C21" s="36">
        <v>99</v>
      </c>
      <c r="D21" s="36">
        <v>99</v>
      </c>
      <c r="E21" s="36">
        <v>99</v>
      </c>
      <c r="F21" s="36">
        <v>99</v>
      </c>
      <c r="G21" s="36">
        <v>99</v>
      </c>
      <c r="H21" s="36">
        <v>99</v>
      </c>
      <c r="I21" s="36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1"/>
  <sheetViews>
    <sheetView showGridLines="0" topLeftCell="P1" workbookViewId="0">
      <selection activeCell="E9" sqref="E9"/>
    </sheetView>
  </sheetViews>
  <sheetFormatPr baseColWidth="12" defaultColWidth="13" defaultRowHeight="21" customHeight="1" x14ac:dyDescent="0.15"/>
  <cols>
    <col min="1" max="1" width="13" style="4"/>
    <col min="2" max="16384" width="13" style="23"/>
  </cols>
  <sheetData>
    <row r="1" spans="1:9" ht="21" customHeight="1" x14ac:dyDescent="0.15">
      <c r="A1" s="32" t="s">
        <v>10</v>
      </c>
      <c r="B1" s="22">
        <v>1</v>
      </c>
      <c r="C1" s="22">
        <v>2</v>
      </c>
      <c r="D1" s="22">
        <v>3</v>
      </c>
      <c r="E1" s="22">
        <v>4</v>
      </c>
      <c r="F1" s="22">
        <v>5</v>
      </c>
      <c r="G1" s="22">
        <v>6</v>
      </c>
      <c r="H1" s="22">
        <v>7</v>
      </c>
      <c r="I1" s="22">
        <v>8</v>
      </c>
    </row>
    <row r="2" spans="1:9" s="4" customFormat="1" ht="21" customHeight="1" x14ac:dyDescent="0.15">
      <c r="A2" s="146" t="s">
        <v>240</v>
      </c>
      <c r="B2" s="162"/>
      <c r="C2" s="148"/>
      <c r="D2" s="156" t="s">
        <v>109</v>
      </c>
      <c r="E2" s="156">
        <v>60</v>
      </c>
      <c r="F2" s="156">
        <v>80</v>
      </c>
      <c r="G2" s="156">
        <v>99</v>
      </c>
      <c r="H2" s="148"/>
      <c r="I2" s="148"/>
    </row>
    <row r="3" spans="1:9" s="4" customFormat="1" ht="21" customHeight="1" x14ac:dyDescent="0.15">
      <c r="A3" s="146" t="s">
        <v>242</v>
      </c>
      <c r="B3" s="163"/>
      <c r="C3" s="151"/>
      <c r="D3" s="156" t="s">
        <v>109</v>
      </c>
      <c r="E3" s="156">
        <v>60</v>
      </c>
      <c r="F3" s="156">
        <v>80</v>
      </c>
      <c r="G3" s="156">
        <v>99</v>
      </c>
      <c r="H3" s="151"/>
      <c r="I3" s="151"/>
    </row>
    <row r="4" spans="1:9" s="4" customFormat="1" ht="21" customHeight="1" x14ac:dyDescent="0.15">
      <c r="A4" s="146" t="s">
        <v>236</v>
      </c>
      <c r="B4" s="164"/>
      <c r="C4" s="154"/>
      <c r="D4" s="156">
        <v>40</v>
      </c>
      <c r="E4" s="156">
        <v>60</v>
      </c>
      <c r="F4" s="156">
        <v>80</v>
      </c>
      <c r="G4" s="156">
        <v>99</v>
      </c>
      <c r="H4" s="154"/>
      <c r="I4" s="154"/>
    </row>
    <row r="5" spans="1:9" s="4" customFormat="1" ht="21" customHeight="1" x14ac:dyDescent="0.15">
      <c r="A5" s="165" t="s">
        <v>244</v>
      </c>
      <c r="B5" s="160"/>
      <c r="C5" s="161"/>
      <c r="D5" s="156">
        <v>40</v>
      </c>
      <c r="E5" s="156">
        <v>60</v>
      </c>
      <c r="F5" s="156">
        <v>80</v>
      </c>
      <c r="G5" s="156">
        <v>99</v>
      </c>
      <c r="H5" s="161"/>
      <c r="I5" s="161"/>
    </row>
    <row r="6" spans="1:9" s="4" customFormat="1" ht="21" customHeight="1" x14ac:dyDescent="0.15">
      <c r="A6" s="165" t="s">
        <v>245</v>
      </c>
      <c r="B6" s="160"/>
      <c r="C6" s="161"/>
      <c r="D6" s="156">
        <v>40</v>
      </c>
      <c r="E6" s="156">
        <v>60</v>
      </c>
      <c r="F6" s="156" t="s">
        <v>109</v>
      </c>
      <c r="G6" s="156" t="s">
        <v>109</v>
      </c>
      <c r="H6" s="161"/>
      <c r="I6" s="161"/>
    </row>
    <row r="7" spans="1:9" ht="21" customHeight="1" x14ac:dyDescent="0.15">
      <c r="A7" s="74" t="s">
        <v>212</v>
      </c>
      <c r="B7" s="40" t="s">
        <v>109</v>
      </c>
      <c r="C7" s="40" t="s">
        <v>109</v>
      </c>
      <c r="D7" s="40" t="s">
        <v>109</v>
      </c>
      <c r="E7" s="40" t="s">
        <v>109</v>
      </c>
      <c r="F7" s="40" t="s">
        <v>109</v>
      </c>
      <c r="G7" s="40" t="s">
        <v>109</v>
      </c>
      <c r="H7" s="40" t="s">
        <v>109</v>
      </c>
      <c r="I7" s="40" t="s">
        <v>109</v>
      </c>
    </row>
    <row r="8" spans="1:9" ht="21" customHeight="1" x14ac:dyDescent="0.15">
      <c r="A8" s="75" t="s">
        <v>247</v>
      </c>
      <c r="B8" s="40" t="s">
        <v>109</v>
      </c>
      <c r="C8" s="40" t="s">
        <v>109</v>
      </c>
      <c r="D8" s="40" t="s">
        <v>109</v>
      </c>
      <c r="E8" s="40">
        <v>60</v>
      </c>
      <c r="F8" s="40">
        <v>80</v>
      </c>
      <c r="G8" s="40">
        <v>99</v>
      </c>
      <c r="H8" s="40" t="s">
        <v>109</v>
      </c>
      <c r="I8" s="40" t="s">
        <v>109</v>
      </c>
    </row>
    <row r="9" spans="1:9" s="46" customFormat="1" ht="21" customHeight="1" x14ac:dyDescent="0.15">
      <c r="A9" s="76" t="s">
        <v>329</v>
      </c>
      <c r="B9" s="66" t="s">
        <v>109</v>
      </c>
      <c r="C9" s="66" t="s">
        <v>109</v>
      </c>
      <c r="D9" s="66" t="s">
        <v>109</v>
      </c>
      <c r="E9" s="66" t="s">
        <v>109</v>
      </c>
      <c r="F9" s="66">
        <v>80</v>
      </c>
      <c r="G9" s="66">
        <v>99</v>
      </c>
      <c r="H9" s="66" t="s">
        <v>109</v>
      </c>
      <c r="I9" s="66" t="s">
        <v>109</v>
      </c>
    </row>
    <row r="10" spans="1:9" s="46" customFormat="1" ht="21" customHeight="1" x14ac:dyDescent="0.15">
      <c r="A10" s="76" t="s">
        <v>248</v>
      </c>
      <c r="B10" s="66" t="s">
        <v>109</v>
      </c>
      <c r="C10" s="66" t="s">
        <v>109</v>
      </c>
      <c r="D10" s="66" t="s">
        <v>109</v>
      </c>
      <c r="E10" s="66">
        <v>60</v>
      </c>
      <c r="F10" s="66">
        <v>80</v>
      </c>
      <c r="G10" s="66">
        <v>99</v>
      </c>
      <c r="H10" s="66" t="s">
        <v>109</v>
      </c>
      <c r="I10" s="66" t="s">
        <v>109</v>
      </c>
    </row>
    <row r="11" spans="1:9" ht="21" customHeight="1" x14ac:dyDescent="0.15">
      <c r="A11" s="76" t="s">
        <v>9</v>
      </c>
      <c r="B11" s="71" t="s">
        <v>109</v>
      </c>
      <c r="C11" s="71" t="s">
        <v>109</v>
      </c>
      <c r="D11" s="36">
        <v>40</v>
      </c>
      <c r="E11" s="36">
        <v>60</v>
      </c>
      <c r="F11" s="36">
        <v>80</v>
      </c>
      <c r="G11" s="40">
        <v>99</v>
      </c>
      <c r="H11" s="71" t="s">
        <v>109</v>
      </c>
      <c r="I11" s="71" t="s">
        <v>109</v>
      </c>
    </row>
    <row r="12" spans="1:9" ht="21" customHeight="1" x14ac:dyDescent="0.15">
      <c r="A12" s="76" t="s">
        <v>215</v>
      </c>
      <c r="B12" s="71" t="s">
        <v>109</v>
      </c>
      <c r="C12" s="71" t="s">
        <v>109</v>
      </c>
      <c r="D12" s="36">
        <v>40</v>
      </c>
      <c r="E12" s="36">
        <v>60</v>
      </c>
      <c r="F12" s="36">
        <v>80</v>
      </c>
      <c r="G12" s="66">
        <v>99</v>
      </c>
      <c r="H12" s="71" t="s">
        <v>109</v>
      </c>
      <c r="I12" s="71" t="s">
        <v>109</v>
      </c>
    </row>
    <row r="13" spans="1:9" ht="21" customHeight="1" x14ac:dyDescent="0.15">
      <c r="A13" s="76" t="s">
        <v>211</v>
      </c>
      <c r="B13" s="71" t="s">
        <v>109</v>
      </c>
      <c r="C13" s="71" t="s">
        <v>109</v>
      </c>
      <c r="D13" s="36">
        <v>40</v>
      </c>
      <c r="E13" s="36">
        <v>60</v>
      </c>
      <c r="F13" s="71" t="s">
        <v>109</v>
      </c>
      <c r="G13" s="71" t="s">
        <v>109</v>
      </c>
      <c r="H13" s="71" t="s">
        <v>109</v>
      </c>
      <c r="I13" s="71" t="s">
        <v>109</v>
      </c>
    </row>
    <row r="14" spans="1:9" ht="21" customHeight="1" x14ac:dyDescent="0.15">
      <c r="A14" s="105" t="s">
        <v>251</v>
      </c>
      <c r="B14" s="71" t="s">
        <v>109</v>
      </c>
      <c r="C14" s="71" t="s">
        <v>109</v>
      </c>
      <c r="D14" s="36">
        <v>40</v>
      </c>
      <c r="E14" s="36">
        <v>60</v>
      </c>
      <c r="F14" s="36">
        <v>80</v>
      </c>
      <c r="G14" s="71" t="s">
        <v>109</v>
      </c>
      <c r="H14" s="71" t="s">
        <v>109</v>
      </c>
      <c r="I14" s="71" t="s">
        <v>109</v>
      </c>
    </row>
    <row r="15" spans="1:9" ht="21" customHeight="1" x14ac:dyDescent="0.15">
      <c r="A15" s="76" t="s">
        <v>252</v>
      </c>
      <c r="B15" s="71" t="s">
        <v>109</v>
      </c>
      <c r="C15" s="71" t="s">
        <v>109</v>
      </c>
      <c r="D15" s="36">
        <v>40</v>
      </c>
      <c r="E15" s="36">
        <v>60</v>
      </c>
      <c r="F15" s="36">
        <v>80</v>
      </c>
      <c r="G15" s="71" t="s">
        <v>109</v>
      </c>
      <c r="H15" s="71" t="s">
        <v>109</v>
      </c>
      <c r="I15" s="71" t="s">
        <v>109</v>
      </c>
    </row>
    <row r="16" spans="1:9" ht="21" customHeight="1" x14ac:dyDescent="0.15">
      <c r="A16" s="76" t="s">
        <v>105</v>
      </c>
      <c r="B16" s="71" t="s">
        <v>109</v>
      </c>
      <c r="C16" s="36">
        <v>30</v>
      </c>
      <c r="D16" s="36">
        <v>40</v>
      </c>
      <c r="E16" s="36">
        <v>60</v>
      </c>
      <c r="F16" s="71" t="s">
        <v>109</v>
      </c>
      <c r="G16" s="71" t="s">
        <v>109</v>
      </c>
      <c r="H16" s="71" t="s">
        <v>109</v>
      </c>
      <c r="I16" s="71" t="s">
        <v>109</v>
      </c>
    </row>
    <row r="17" spans="1:9" ht="21" customHeight="1" x14ac:dyDescent="0.15">
      <c r="A17" s="76" t="s">
        <v>254</v>
      </c>
      <c r="B17" s="71" t="s">
        <v>109</v>
      </c>
      <c r="C17" s="36">
        <v>30</v>
      </c>
      <c r="D17" s="36">
        <v>40</v>
      </c>
      <c r="E17" s="36">
        <v>60</v>
      </c>
      <c r="F17" s="71" t="s">
        <v>109</v>
      </c>
      <c r="G17" s="71" t="s">
        <v>109</v>
      </c>
      <c r="H17" s="71" t="s">
        <v>109</v>
      </c>
      <c r="I17" s="71" t="s">
        <v>109</v>
      </c>
    </row>
    <row r="18" spans="1:9" ht="21" customHeight="1" x14ac:dyDescent="0.15">
      <c r="A18" s="76" t="s">
        <v>8</v>
      </c>
      <c r="B18" s="36">
        <v>15</v>
      </c>
      <c r="C18" s="36">
        <v>30</v>
      </c>
      <c r="D18" s="36">
        <v>40</v>
      </c>
      <c r="E18" s="71" t="s">
        <v>109</v>
      </c>
      <c r="F18" s="71" t="s">
        <v>109</v>
      </c>
      <c r="G18" s="71" t="s">
        <v>109</v>
      </c>
      <c r="H18" s="71" t="s">
        <v>109</v>
      </c>
      <c r="I18" s="71" t="s">
        <v>109</v>
      </c>
    </row>
    <row r="19" spans="1:9" ht="21" customHeight="1" x14ac:dyDescent="0.15">
      <c r="A19" s="77" t="s">
        <v>7</v>
      </c>
      <c r="B19" s="36">
        <v>15</v>
      </c>
      <c r="C19" s="36">
        <v>30</v>
      </c>
      <c r="D19" s="36">
        <v>40</v>
      </c>
      <c r="E19" s="71" t="s">
        <v>221</v>
      </c>
      <c r="F19" s="71" t="s">
        <v>221</v>
      </c>
      <c r="G19" s="71" t="s">
        <v>221</v>
      </c>
      <c r="H19" s="71" t="s">
        <v>221</v>
      </c>
      <c r="I19" s="71" t="s">
        <v>221</v>
      </c>
    </row>
    <row r="20" spans="1:9" ht="21" customHeight="1" x14ac:dyDescent="0.15">
      <c r="A20" s="78" t="s">
        <v>255</v>
      </c>
      <c r="B20" s="36">
        <v>10</v>
      </c>
      <c r="C20" s="36">
        <v>20</v>
      </c>
      <c r="D20" s="71" t="s">
        <v>221</v>
      </c>
      <c r="E20" s="71" t="s">
        <v>221</v>
      </c>
      <c r="F20" s="71" t="s">
        <v>221</v>
      </c>
      <c r="G20" s="71" t="s">
        <v>221</v>
      </c>
      <c r="H20" s="71" t="s">
        <v>221</v>
      </c>
      <c r="I20" s="71" t="s">
        <v>221</v>
      </c>
    </row>
    <row r="21" spans="1:9" ht="21" customHeight="1" x14ac:dyDescent="0.15">
      <c r="A21" s="37" t="s">
        <v>256</v>
      </c>
      <c r="B21" s="36">
        <v>1</v>
      </c>
      <c r="C21" s="36">
        <v>1</v>
      </c>
      <c r="D21" s="36">
        <v>1</v>
      </c>
      <c r="E21" s="36">
        <v>1</v>
      </c>
      <c r="F21" s="36">
        <v>1</v>
      </c>
      <c r="G21" s="36">
        <v>1</v>
      </c>
      <c r="H21" s="36">
        <v>1</v>
      </c>
      <c r="I21" s="36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2"/>
  <sheetViews>
    <sheetView showGridLines="0" workbookViewId="0">
      <selection activeCell="E9" sqref="E9"/>
    </sheetView>
  </sheetViews>
  <sheetFormatPr baseColWidth="12" defaultColWidth="13" defaultRowHeight="21" customHeight="1" x14ac:dyDescent="0.15"/>
  <cols>
    <col min="1" max="16384" width="13" style="23"/>
  </cols>
  <sheetData>
    <row r="1" spans="1:11" ht="21" customHeight="1" x14ac:dyDescent="0.15">
      <c r="A1" s="49" t="s">
        <v>10</v>
      </c>
      <c r="B1" s="50">
        <v>1</v>
      </c>
      <c r="C1" s="50">
        <v>2</v>
      </c>
      <c r="D1" s="50">
        <v>3</v>
      </c>
      <c r="E1" s="50">
        <v>4</v>
      </c>
      <c r="F1" s="50">
        <v>5</v>
      </c>
      <c r="G1" s="50">
        <v>6</v>
      </c>
      <c r="H1" s="50">
        <v>7</v>
      </c>
      <c r="I1" s="50">
        <v>8</v>
      </c>
    </row>
    <row r="2" spans="1:11" s="4" customFormat="1" ht="21" customHeight="1" x14ac:dyDescent="0.15">
      <c r="A2" s="146" t="s">
        <v>240</v>
      </c>
      <c r="B2" s="147"/>
      <c r="C2" s="148"/>
      <c r="D2" s="156" t="s">
        <v>109</v>
      </c>
      <c r="E2" s="157" t="s">
        <v>59</v>
      </c>
      <c r="F2" s="157" t="s">
        <v>59</v>
      </c>
      <c r="G2" s="157" t="s">
        <v>258</v>
      </c>
      <c r="H2" s="148"/>
      <c r="I2" s="148"/>
    </row>
    <row r="3" spans="1:11" s="4" customFormat="1" ht="21" customHeight="1" x14ac:dyDescent="0.15">
      <c r="A3" s="146" t="s">
        <v>242</v>
      </c>
      <c r="B3" s="150"/>
      <c r="C3" s="151"/>
      <c r="D3" s="157" t="s">
        <v>59</v>
      </c>
      <c r="E3" s="157" t="s">
        <v>59</v>
      </c>
      <c r="F3" s="157" t="s">
        <v>59</v>
      </c>
      <c r="G3" s="157" t="s">
        <v>235</v>
      </c>
      <c r="H3" s="151"/>
      <c r="I3" s="151"/>
    </row>
    <row r="4" spans="1:11" s="4" customFormat="1" ht="21" customHeight="1" x14ac:dyDescent="0.15">
      <c r="A4" s="146" t="s">
        <v>236</v>
      </c>
      <c r="B4" s="153"/>
      <c r="C4" s="154"/>
      <c r="D4" s="158" t="s">
        <v>59</v>
      </c>
      <c r="E4" s="158" t="s">
        <v>59</v>
      </c>
      <c r="F4" s="158" t="s">
        <v>59</v>
      </c>
      <c r="G4" s="157" t="s">
        <v>235</v>
      </c>
      <c r="H4" s="154"/>
      <c r="I4" s="154"/>
    </row>
    <row r="5" spans="1:11" s="4" customFormat="1" ht="21" customHeight="1" x14ac:dyDescent="0.15">
      <c r="A5" s="165" t="s">
        <v>244</v>
      </c>
      <c r="B5" s="160"/>
      <c r="C5" s="161"/>
      <c r="D5" s="158" t="s">
        <v>59</v>
      </c>
      <c r="E5" s="158" t="s">
        <v>59</v>
      </c>
      <c r="F5" s="158" t="s">
        <v>59</v>
      </c>
      <c r="G5" s="157" t="s">
        <v>225</v>
      </c>
      <c r="H5" s="161"/>
      <c r="I5" s="161"/>
    </row>
    <row r="6" spans="1:11" s="4" customFormat="1" ht="21" customHeight="1" x14ac:dyDescent="0.15">
      <c r="A6" s="165" t="s">
        <v>245</v>
      </c>
      <c r="B6" s="160"/>
      <c r="C6" s="161"/>
      <c r="D6" s="166" t="s">
        <v>60</v>
      </c>
      <c r="E6" s="166" t="s">
        <v>60</v>
      </c>
      <c r="F6" s="156" t="s">
        <v>109</v>
      </c>
      <c r="G6" s="156" t="s">
        <v>109</v>
      </c>
      <c r="H6" s="161"/>
      <c r="I6" s="161"/>
    </row>
    <row r="7" spans="1:11" ht="21" customHeight="1" x14ac:dyDescent="0.15">
      <c r="A7" s="74" t="s">
        <v>212</v>
      </c>
      <c r="B7" s="40" t="s">
        <v>109</v>
      </c>
      <c r="C7" s="40" t="s">
        <v>109</v>
      </c>
      <c r="D7" s="40" t="s">
        <v>109</v>
      </c>
      <c r="E7" s="40" t="s">
        <v>109</v>
      </c>
      <c r="F7" s="40" t="s">
        <v>109</v>
      </c>
      <c r="G7" s="40" t="s">
        <v>109</v>
      </c>
      <c r="H7" s="40" t="s">
        <v>109</v>
      </c>
      <c r="I7" s="40" t="s">
        <v>109</v>
      </c>
    </row>
    <row r="8" spans="1:11" ht="21" customHeight="1" x14ac:dyDescent="0.15">
      <c r="A8" s="75" t="s">
        <v>247</v>
      </c>
      <c r="B8" s="40" t="s">
        <v>109</v>
      </c>
      <c r="C8" s="40" t="s">
        <v>109</v>
      </c>
      <c r="D8" s="40" t="s">
        <v>222</v>
      </c>
      <c r="E8" s="52" t="s">
        <v>115</v>
      </c>
      <c r="F8" s="52" t="s">
        <v>115</v>
      </c>
      <c r="G8" s="52" t="s">
        <v>223</v>
      </c>
      <c r="H8" s="40" t="s">
        <v>222</v>
      </c>
      <c r="I8" s="40" t="s">
        <v>109</v>
      </c>
    </row>
    <row r="9" spans="1:11" s="46" customFormat="1" ht="21" customHeight="1" x14ac:dyDescent="0.15">
      <c r="A9" s="76" t="s">
        <v>328</v>
      </c>
      <c r="B9" s="66" t="s">
        <v>109</v>
      </c>
      <c r="C9" s="66" t="s">
        <v>109</v>
      </c>
      <c r="D9" s="66" t="s">
        <v>109</v>
      </c>
      <c r="E9" s="66" t="s">
        <v>109</v>
      </c>
      <c r="F9" s="52" t="s">
        <v>59</v>
      </c>
      <c r="G9" s="52" t="s">
        <v>115</v>
      </c>
      <c r="H9" s="66" t="s">
        <v>109</v>
      </c>
      <c r="I9" s="66" t="s">
        <v>109</v>
      </c>
    </row>
    <row r="10" spans="1:11" s="46" customFormat="1" ht="21" customHeight="1" x14ac:dyDescent="0.15">
      <c r="A10" s="76" t="s">
        <v>248</v>
      </c>
      <c r="B10" s="66" t="s">
        <v>109</v>
      </c>
      <c r="C10" s="66" t="s">
        <v>109</v>
      </c>
      <c r="D10" s="66" t="s">
        <v>109</v>
      </c>
      <c r="E10" s="52" t="s">
        <v>59</v>
      </c>
      <c r="F10" s="52" t="s">
        <v>59</v>
      </c>
      <c r="G10" s="52" t="s">
        <v>115</v>
      </c>
      <c r="H10" s="66" t="s">
        <v>224</v>
      </c>
      <c r="I10" s="66" t="s">
        <v>224</v>
      </c>
    </row>
    <row r="11" spans="1:11" ht="21" customHeight="1" x14ac:dyDescent="0.15">
      <c r="A11" s="76" t="s">
        <v>9</v>
      </c>
      <c r="B11" s="71" t="s">
        <v>109</v>
      </c>
      <c r="C11" s="71" t="s">
        <v>109</v>
      </c>
      <c r="D11" s="52" t="s">
        <v>59</v>
      </c>
      <c r="E11" s="52" t="s">
        <v>59</v>
      </c>
      <c r="F11" s="52" t="s">
        <v>59</v>
      </c>
      <c r="G11" s="52" t="s">
        <v>225</v>
      </c>
      <c r="H11" s="71" t="s">
        <v>224</v>
      </c>
      <c r="I11" s="71" t="s">
        <v>224</v>
      </c>
      <c r="K11" s="27" t="s">
        <v>12</v>
      </c>
    </row>
    <row r="12" spans="1:11" ht="21" customHeight="1" x14ac:dyDescent="0.15">
      <c r="A12" s="76" t="s">
        <v>215</v>
      </c>
      <c r="B12" s="71" t="s">
        <v>109</v>
      </c>
      <c r="C12" s="71" t="s">
        <v>109</v>
      </c>
      <c r="D12" s="53" t="s">
        <v>59</v>
      </c>
      <c r="E12" s="53" t="s">
        <v>59</v>
      </c>
      <c r="F12" s="53" t="s">
        <v>59</v>
      </c>
      <c r="G12" s="52" t="s">
        <v>225</v>
      </c>
      <c r="H12" s="71" t="s">
        <v>224</v>
      </c>
      <c r="I12" s="71" t="s">
        <v>224</v>
      </c>
      <c r="K12" s="29" t="s">
        <v>13</v>
      </c>
    </row>
    <row r="13" spans="1:11" ht="21" customHeight="1" x14ac:dyDescent="0.15">
      <c r="A13" s="76" t="s">
        <v>211</v>
      </c>
      <c r="B13" s="71" t="s">
        <v>109</v>
      </c>
      <c r="C13" s="71" t="s">
        <v>109</v>
      </c>
      <c r="D13" s="54" t="s">
        <v>60</v>
      </c>
      <c r="E13" s="54" t="s">
        <v>60</v>
      </c>
      <c r="F13" s="71" t="s">
        <v>109</v>
      </c>
      <c r="G13" s="71" t="s">
        <v>109</v>
      </c>
      <c r="H13" s="71" t="s">
        <v>109</v>
      </c>
      <c r="I13" s="71" t="s">
        <v>109</v>
      </c>
      <c r="K13" s="72" t="s">
        <v>35</v>
      </c>
    </row>
    <row r="14" spans="1:11" ht="21" customHeight="1" x14ac:dyDescent="0.15">
      <c r="A14" s="105" t="s">
        <v>251</v>
      </c>
      <c r="B14" s="71" t="s">
        <v>109</v>
      </c>
      <c r="C14" s="71" t="s">
        <v>109</v>
      </c>
      <c r="D14" s="55" t="s">
        <v>59</v>
      </c>
      <c r="E14" s="55" t="s">
        <v>59</v>
      </c>
      <c r="F14" s="55" t="s">
        <v>59</v>
      </c>
      <c r="G14" s="71" t="s">
        <v>109</v>
      </c>
      <c r="H14" s="71" t="s">
        <v>109</v>
      </c>
      <c r="I14" s="71" t="s">
        <v>109</v>
      </c>
      <c r="K14" s="73"/>
    </row>
    <row r="15" spans="1:11" ht="21" customHeight="1" x14ac:dyDescent="0.15">
      <c r="A15" s="76" t="s">
        <v>252</v>
      </c>
      <c r="B15" s="71" t="s">
        <v>109</v>
      </c>
      <c r="C15" s="71" t="s">
        <v>109</v>
      </c>
      <c r="D15" s="55" t="s">
        <v>59</v>
      </c>
      <c r="E15" s="55" t="s">
        <v>59</v>
      </c>
      <c r="F15" s="55" t="s">
        <v>59</v>
      </c>
      <c r="G15" s="71" t="s">
        <v>109</v>
      </c>
      <c r="H15" s="71" t="s">
        <v>109</v>
      </c>
      <c r="I15" s="71" t="s">
        <v>109</v>
      </c>
    </row>
    <row r="16" spans="1:11" ht="21" customHeight="1" x14ac:dyDescent="0.15">
      <c r="A16" s="76" t="s">
        <v>105</v>
      </c>
      <c r="B16" s="71" t="s">
        <v>109</v>
      </c>
      <c r="C16" s="71" t="s">
        <v>109</v>
      </c>
      <c r="D16" s="55" t="s">
        <v>60</v>
      </c>
      <c r="E16" s="55" t="s">
        <v>60</v>
      </c>
      <c r="F16" s="71" t="s">
        <v>109</v>
      </c>
      <c r="G16" s="71" t="s">
        <v>109</v>
      </c>
      <c r="H16" s="71" t="s">
        <v>109</v>
      </c>
      <c r="I16" s="71" t="s">
        <v>109</v>
      </c>
    </row>
    <row r="17" spans="1:9" ht="21" customHeight="1" x14ac:dyDescent="0.15">
      <c r="A17" s="76" t="s">
        <v>254</v>
      </c>
      <c r="B17" s="71" t="s">
        <v>109</v>
      </c>
      <c r="C17" s="55" t="s">
        <v>60</v>
      </c>
      <c r="D17" s="55" t="s">
        <v>60</v>
      </c>
      <c r="E17" s="55" t="s">
        <v>60</v>
      </c>
      <c r="F17" s="71" t="s">
        <v>109</v>
      </c>
      <c r="G17" s="71" t="s">
        <v>109</v>
      </c>
      <c r="H17" s="71" t="s">
        <v>109</v>
      </c>
      <c r="I17" s="71" t="s">
        <v>109</v>
      </c>
    </row>
    <row r="18" spans="1:9" ht="21" customHeight="1" x14ac:dyDescent="0.15">
      <c r="A18" s="76" t="s">
        <v>8</v>
      </c>
      <c r="B18" s="56" t="s">
        <v>61</v>
      </c>
      <c r="C18" s="56" t="s">
        <v>61</v>
      </c>
      <c r="D18" s="56" t="s">
        <v>61</v>
      </c>
      <c r="E18" s="71" t="s">
        <v>109</v>
      </c>
      <c r="F18" s="71" t="s">
        <v>109</v>
      </c>
      <c r="G18" s="71" t="s">
        <v>109</v>
      </c>
      <c r="H18" s="71" t="s">
        <v>109</v>
      </c>
      <c r="I18" s="71" t="s">
        <v>109</v>
      </c>
    </row>
    <row r="19" spans="1:9" ht="21" customHeight="1" x14ac:dyDescent="0.15">
      <c r="A19" s="77" t="s">
        <v>7</v>
      </c>
      <c r="B19" s="51" t="s">
        <v>62</v>
      </c>
      <c r="C19" s="51" t="s">
        <v>62</v>
      </c>
      <c r="D19" s="71" t="s">
        <v>109</v>
      </c>
      <c r="E19" s="71" t="s">
        <v>109</v>
      </c>
      <c r="F19" s="71" t="s">
        <v>109</v>
      </c>
      <c r="G19" s="71" t="s">
        <v>109</v>
      </c>
      <c r="H19" s="71" t="s">
        <v>109</v>
      </c>
      <c r="I19" s="71" t="s">
        <v>109</v>
      </c>
    </row>
    <row r="20" spans="1:9" ht="21" customHeight="1" x14ac:dyDescent="0.15">
      <c r="A20" s="78" t="s">
        <v>255</v>
      </c>
      <c r="B20" s="53" t="s">
        <v>63</v>
      </c>
      <c r="C20" s="53" t="s">
        <v>63</v>
      </c>
      <c r="D20" s="71" t="s">
        <v>109</v>
      </c>
      <c r="E20" s="71" t="s">
        <v>109</v>
      </c>
      <c r="F20" s="71" t="s">
        <v>109</v>
      </c>
      <c r="G20" s="71" t="s">
        <v>109</v>
      </c>
      <c r="H20" s="71" t="s">
        <v>109</v>
      </c>
      <c r="I20" s="71" t="s">
        <v>109</v>
      </c>
    </row>
    <row r="21" spans="1:9" ht="21" customHeight="1" x14ac:dyDescent="0.15">
      <c r="A21" s="37" t="s">
        <v>256</v>
      </c>
      <c r="B21" s="79" t="s">
        <v>47</v>
      </c>
      <c r="C21" s="79" t="s">
        <v>47</v>
      </c>
      <c r="D21" s="79" t="s">
        <v>47</v>
      </c>
      <c r="E21" s="79" t="s">
        <v>47</v>
      </c>
      <c r="F21" s="79" t="s">
        <v>47</v>
      </c>
      <c r="G21" s="79" t="s">
        <v>47</v>
      </c>
      <c r="H21" s="79" t="s">
        <v>47</v>
      </c>
      <c r="I21" s="79" t="s">
        <v>47</v>
      </c>
    </row>
    <row r="26" spans="1:9" ht="21" customHeight="1" x14ac:dyDescent="0.15">
      <c r="A26" s="23" t="s">
        <v>14</v>
      </c>
    </row>
    <row r="27" spans="1:9" ht="21" customHeight="1" x14ac:dyDescent="0.15">
      <c r="A27" s="21" t="s">
        <v>64</v>
      </c>
      <c r="B27" s="21" t="s">
        <v>65</v>
      </c>
    </row>
    <row r="28" spans="1:9" ht="21" customHeight="1" x14ac:dyDescent="0.15">
      <c r="A28" s="24">
        <v>1</v>
      </c>
      <c r="B28" s="24">
        <v>200</v>
      </c>
    </row>
    <row r="29" spans="1:9" ht="21" customHeight="1" x14ac:dyDescent="0.15">
      <c r="A29" s="24">
        <v>2</v>
      </c>
      <c r="B29" s="24">
        <v>600</v>
      </c>
    </row>
    <row r="30" spans="1:9" ht="21" customHeight="1" x14ac:dyDescent="0.15">
      <c r="A30" s="24">
        <v>3</v>
      </c>
      <c r="B30" s="24">
        <v>1500</v>
      </c>
    </row>
    <row r="31" spans="1:9" ht="21" customHeight="1" x14ac:dyDescent="0.15">
      <c r="A31" s="24">
        <v>4</v>
      </c>
      <c r="B31" s="24">
        <v>3400</v>
      </c>
    </row>
    <row r="32" spans="1:9" ht="21" customHeight="1" x14ac:dyDescent="0.15">
      <c r="A32" s="24">
        <v>5</v>
      </c>
      <c r="B32" s="24">
        <v>6400</v>
      </c>
    </row>
  </sheetData>
  <sheetProtection selectLockedCells="1" selectUnlockedCells="1"/>
  <phoneticPr fontId="9"/>
  <conditionalFormatting sqref="A35:I65541 J1:IV1 J11:J14 L11:IV14 J15:IV65541 J7:IV7">
    <cfRule type="cellIs" dxfId="24" priority="28" stopIfTrue="1" operator="equal">
      <formula>1</formula>
    </cfRule>
  </conditionalFormatting>
  <conditionalFormatting sqref="A25:B26 A33:B34 C25:I34">
    <cfRule type="cellIs" dxfId="23" priority="27" stopIfTrue="1" operator="equal">
      <formula>1</formula>
    </cfRule>
  </conditionalFormatting>
  <conditionalFormatting sqref="K11:K14">
    <cfRule type="cellIs" dxfId="22" priority="23" stopIfTrue="1" operator="equal">
      <formula>1</formula>
    </cfRule>
  </conditionalFormatting>
  <conditionalFormatting sqref="J8:IV8">
    <cfRule type="cellIs" dxfId="21" priority="22" stopIfTrue="1" operator="equal">
      <formula>1</formula>
    </cfRule>
  </conditionalFormatting>
  <conditionalFormatting sqref="J10:IV10">
    <cfRule type="cellIs" dxfId="20" priority="21" stopIfTrue="1" operator="equal">
      <formula>1</formula>
    </cfRule>
  </conditionalFormatting>
  <conditionalFormatting sqref="G20:I20">
    <cfRule type="cellIs" dxfId="19" priority="13" stopIfTrue="1" operator="equal">
      <formula>1</formula>
    </cfRule>
  </conditionalFormatting>
  <conditionalFormatting sqref="D19:G19 F16:G18 H16:I19">
    <cfRule type="cellIs" dxfId="18" priority="12" stopIfTrue="1" operator="equal">
      <formula>1</formula>
    </cfRule>
  </conditionalFormatting>
  <conditionalFormatting sqref="F18:G18">
    <cfRule type="cellIs" dxfId="17" priority="11" stopIfTrue="1" operator="equal">
      <formula>1</formula>
    </cfRule>
  </conditionalFormatting>
  <conditionalFormatting sqref="A21">
    <cfRule type="cellIs" dxfId="16" priority="10" stopIfTrue="1" operator="equal">
      <formula>1</formula>
    </cfRule>
  </conditionalFormatting>
  <conditionalFormatting sqref="G13:I15 H11:I12">
    <cfRule type="cellIs" dxfId="15" priority="9" stopIfTrue="1" operator="equal">
      <formula>1</formula>
    </cfRule>
  </conditionalFormatting>
  <conditionalFormatting sqref="B11:C16">
    <cfRule type="cellIs" dxfId="14" priority="8" stopIfTrue="1" operator="equal">
      <formula>1</formula>
    </cfRule>
  </conditionalFormatting>
  <conditionalFormatting sqref="B17">
    <cfRule type="cellIs" dxfId="13" priority="7" stopIfTrue="1" operator="equal">
      <formula>1</formula>
    </cfRule>
  </conditionalFormatting>
  <conditionalFormatting sqref="E18">
    <cfRule type="cellIs" dxfId="12" priority="6" stopIfTrue="1" operator="equal">
      <formula>1</formula>
    </cfRule>
  </conditionalFormatting>
  <conditionalFormatting sqref="F13">
    <cfRule type="cellIs" dxfId="11" priority="5" stopIfTrue="1" operator="equal">
      <formula>1</formula>
    </cfRule>
  </conditionalFormatting>
  <conditionalFormatting sqref="J2:IV6">
    <cfRule type="cellIs" dxfId="10" priority="4" stopIfTrue="1" operator="equal">
      <formula>1</formula>
    </cfRule>
  </conditionalFormatting>
  <conditionalFormatting sqref="G6">
    <cfRule type="cellIs" dxfId="9" priority="3" stopIfTrue="1" operator="equal">
      <formula>1</formula>
    </cfRule>
  </conditionalFormatting>
  <conditionalFormatting sqref="F6">
    <cfRule type="cellIs" dxfId="8" priority="2" stopIfTrue="1" operator="equal">
      <formula>1</formula>
    </cfRule>
  </conditionalFormatting>
  <conditionalFormatting sqref="J9:IV9">
    <cfRule type="cellIs" dxfId="7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1"/>
  <sheetViews>
    <sheetView showGridLines="0" workbookViewId="0">
      <selection activeCell="O19" sqref="O19"/>
    </sheetView>
  </sheetViews>
  <sheetFormatPr baseColWidth="12" defaultColWidth="13" defaultRowHeight="21" customHeight="1" x14ac:dyDescent="0.15"/>
  <cols>
    <col min="1" max="1" width="13" style="4"/>
    <col min="2" max="16384" width="13" style="23"/>
  </cols>
  <sheetData>
    <row r="1" spans="1:9" s="4" customFormat="1" ht="21" customHeight="1" x14ac:dyDescent="0.15">
      <c r="A1" s="32" t="s">
        <v>10</v>
      </c>
      <c r="B1" s="32">
        <v>1</v>
      </c>
      <c r="C1" s="32">
        <v>2</v>
      </c>
      <c r="D1" s="32">
        <v>3</v>
      </c>
      <c r="E1" s="32">
        <v>4</v>
      </c>
      <c r="F1" s="32">
        <v>5</v>
      </c>
      <c r="G1" s="32">
        <v>6</v>
      </c>
      <c r="H1" s="32">
        <v>7</v>
      </c>
      <c r="I1" s="32">
        <v>8</v>
      </c>
    </row>
    <row r="2" spans="1:9" s="4" customFormat="1" ht="21" customHeight="1" x14ac:dyDescent="0.15">
      <c r="A2" s="146" t="s">
        <v>233</v>
      </c>
      <c r="B2" s="147"/>
      <c r="C2" s="148"/>
      <c r="D2" s="159" t="s">
        <v>11</v>
      </c>
      <c r="E2" s="159">
        <v>8000</v>
      </c>
      <c r="F2" s="159">
        <v>10000</v>
      </c>
      <c r="G2" s="159">
        <v>14000</v>
      </c>
      <c r="H2" s="148"/>
      <c r="I2" s="148"/>
    </row>
    <row r="3" spans="1:9" s="4" customFormat="1" ht="21" customHeight="1" x14ac:dyDescent="0.15">
      <c r="A3" s="146" t="s">
        <v>234</v>
      </c>
      <c r="B3" s="150"/>
      <c r="C3" s="151"/>
      <c r="D3" s="159" t="s">
        <v>11</v>
      </c>
      <c r="E3" s="159">
        <v>7500</v>
      </c>
      <c r="F3" s="159">
        <v>9500</v>
      </c>
      <c r="G3" s="159">
        <v>13000</v>
      </c>
      <c r="H3" s="151"/>
      <c r="I3" s="151"/>
    </row>
    <row r="4" spans="1:9" s="4" customFormat="1" ht="21" customHeight="1" x14ac:dyDescent="0.15">
      <c r="A4" s="146" t="s">
        <v>236</v>
      </c>
      <c r="B4" s="153"/>
      <c r="C4" s="154"/>
      <c r="D4" s="159">
        <v>5000</v>
      </c>
      <c r="E4" s="159">
        <v>7000</v>
      </c>
      <c r="F4" s="159">
        <v>9000</v>
      </c>
      <c r="G4" s="159">
        <v>12000</v>
      </c>
      <c r="H4" s="154"/>
      <c r="I4" s="154"/>
    </row>
    <row r="5" spans="1:9" s="4" customFormat="1" ht="21" customHeight="1" x14ac:dyDescent="0.15">
      <c r="A5" s="165" t="s">
        <v>237</v>
      </c>
      <c r="B5" s="160"/>
      <c r="C5" s="161"/>
      <c r="D5" s="159">
        <v>4900</v>
      </c>
      <c r="E5" s="159">
        <v>6700</v>
      </c>
      <c r="F5" s="159">
        <v>8500</v>
      </c>
      <c r="G5" s="159">
        <v>11000</v>
      </c>
      <c r="H5" s="161"/>
      <c r="I5" s="161"/>
    </row>
    <row r="6" spans="1:9" s="4" customFormat="1" ht="21" customHeight="1" x14ac:dyDescent="0.15">
      <c r="A6" s="165" t="s">
        <v>238</v>
      </c>
      <c r="B6" s="160"/>
      <c r="C6" s="161"/>
      <c r="D6" s="159">
        <v>4800</v>
      </c>
      <c r="E6" s="159">
        <v>6600</v>
      </c>
      <c r="F6" s="159" t="s">
        <v>11</v>
      </c>
      <c r="G6" s="159" t="s">
        <v>11</v>
      </c>
      <c r="H6" s="161"/>
      <c r="I6" s="161"/>
    </row>
    <row r="7" spans="1:9" ht="21" customHeight="1" x14ac:dyDescent="0.15">
      <c r="A7" s="74" t="s">
        <v>212</v>
      </c>
      <c r="B7" s="47" t="s">
        <v>11</v>
      </c>
      <c r="C7" s="47" t="s">
        <v>11</v>
      </c>
      <c r="D7" s="47" t="s">
        <v>11</v>
      </c>
      <c r="E7" s="47" t="s">
        <v>11</v>
      </c>
      <c r="F7" s="47" t="s">
        <v>11</v>
      </c>
      <c r="G7" s="47" t="s">
        <v>11</v>
      </c>
      <c r="H7" s="47" t="s">
        <v>11</v>
      </c>
      <c r="I7" s="47" t="s">
        <v>11</v>
      </c>
    </row>
    <row r="8" spans="1:9" ht="21" customHeight="1" x14ac:dyDescent="0.15">
      <c r="A8" s="75" t="s">
        <v>213</v>
      </c>
      <c r="B8" s="47" t="s">
        <v>11</v>
      </c>
      <c r="C8" s="47" t="s">
        <v>11</v>
      </c>
      <c r="D8" s="47" t="s">
        <v>11</v>
      </c>
      <c r="E8" s="47">
        <v>8000</v>
      </c>
      <c r="F8" s="28">
        <v>10000</v>
      </c>
      <c r="G8" s="47">
        <v>14000</v>
      </c>
      <c r="H8" s="47" t="s">
        <v>11</v>
      </c>
      <c r="I8" s="47" t="s">
        <v>11</v>
      </c>
    </row>
    <row r="9" spans="1:9" s="46" customFormat="1" ht="21" customHeight="1" x14ac:dyDescent="0.15">
      <c r="A9" s="191" t="s">
        <v>330</v>
      </c>
      <c r="B9" s="28" t="s">
        <v>11</v>
      </c>
      <c r="C9" s="28" t="s">
        <v>11</v>
      </c>
      <c r="D9" s="28" t="s">
        <v>11</v>
      </c>
      <c r="E9" s="28" t="s">
        <v>11</v>
      </c>
      <c r="F9" s="28">
        <v>10000</v>
      </c>
      <c r="G9" s="47">
        <v>14000</v>
      </c>
      <c r="H9" s="28" t="s">
        <v>11</v>
      </c>
      <c r="I9" s="28" t="s">
        <v>11</v>
      </c>
    </row>
    <row r="10" spans="1:9" s="46" customFormat="1" ht="21" customHeight="1" x14ac:dyDescent="0.15">
      <c r="A10" s="76" t="s">
        <v>214</v>
      </c>
      <c r="B10" s="28" t="s">
        <v>11</v>
      </c>
      <c r="C10" s="28" t="s">
        <v>11</v>
      </c>
      <c r="D10" s="28" t="s">
        <v>11</v>
      </c>
      <c r="E10" s="28">
        <v>7500</v>
      </c>
      <c r="F10" s="28">
        <v>9500</v>
      </c>
      <c r="G10" s="47">
        <v>13000</v>
      </c>
      <c r="H10" s="28" t="s">
        <v>11</v>
      </c>
      <c r="I10" s="28" t="s">
        <v>11</v>
      </c>
    </row>
    <row r="11" spans="1:9" ht="21" customHeight="1" x14ac:dyDescent="0.15">
      <c r="A11" s="76" t="s">
        <v>9</v>
      </c>
      <c r="B11" s="69" t="s">
        <v>11</v>
      </c>
      <c r="C11" s="69" t="s">
        <v>11</v>
      </c>
      <c r="D11" s="28">
        <v>5000</v>
      </c>
      <c r="E11" s="28">
        <v>7000</v>
      </c>
      <c r="F11" s="28">
        <v>9000</v>
      </c>
      <c r="G11" s="47">
        <v>12000</v>
      </c>
      <c r="H11" s="69" t="s">
        <v>11</v>
      </c>
      <c r="I11" s="69" t="s">
        <v>11</v>
      </c>
    </row>
    <row r="12" spans="1:9" ht="21" customHeight="1" x14ac:dyDescent="0.15">
      <c r="A12" s="76" t="s">
        <v>215</v>
      </c>
      <c r="B12" s="69" t="s">
        <v>11</v>
      </c>
      <c r="C12" s="69" t="s">
        <v>11</v>
      </c>
      <c r="D12" s="28">
        <v>4900</v>
      </c>
      <c r="E12" s="28">
        <v>6700</v>
      </c>
      <c r="F12" s="28">
        <v>8500</v>
      </c>
      <c r="G12" s="47">
        <v>11000</v>
      </c>
      <c r="H12" s="69" t="s">
        <v>11</v>
      </c>
      <c r="I12" s="69" t="s">
        <v>11</v>
      </c>
    </row>
    <row r="13" spans="1:9" ht="21" customHeight="1" x14ac:dyDescent="0.15">
      <c r="A13" s="76" t="s">
        <v>106</v>
      </c>
      <c r="B13" s="69" t="s">
        <v>11</v>
      </c>
      <c r="C13" s="69" t="s">
        <v>11</v>
      </c>
      <c r="D13" s="28">
        <v>4800</v>
      </c>
      <c r="E13" s="28">
        <v>6600</v>
      </c>
      <c r="F13" s="69" t="s">
        <v>11</v>
      </c>
      <c r="G13" s="69" t="s">
        <v>11</v>
      </c>
      <c r="H13" s="69" t="s">
        <v>11</v>
      </c>
      <c r="I13" s="69" t="s">
        <v>11</v>
      </c>
    </row>
    <row r="14" spans="1:9" ht="21" customHeight="1" x14ac:dyDescent="0.15">
      <c r="A14" s="76" t="s">
        <v>216</v>
      </c>
      <c r="B14" s="69" t="s">
        <v>11</v>
      </c>
      <c r="C14" s="69" t="s">
        <v>11</v>
      </c>
      <c r="D14" s="69" t="s">
        <v>11</v>
      </c>
      <c r="E14" s="28">
        <v>6300</v>
      </c>
      <c r="F14" s="69" t="s">
        <v>11</v>
      </c>
      <c r="G14" s="69" t="s">
        <v>11</v>
      </c>
      <c r="H14" s="69" t="s">
        <v>11</v>
      </c>
      <c r="I14" s="69" t="s">
        <v>11</v>
      </c>
    </row>
    <row r="15" spans="1:9" ht="21" customHeight="1" x14ac:dyDescent="0.15">
      <c r="A15" s="76" t="s">
        <v>217</v>
      </c>
      <c r="B15" s="69" t="s">
        <v>11</v>
      </c>
      <c r="C15" s="69" t="s">
        <v>11</v>
      </c>
      <c r="D15" s="28">
        <v>4600</v>
      </c>
      <c r="E15" s="28">
        <v>5800</v>
      </c>
      <c r="F15" s="28">
        <v>7600</v>
      </c>
      <c r="G15" s="69" t="s">
        <v>11</v>
      </c>
      <c r="H15" s="69" t="s">
        <v>11</v>
      </c>
      <c r="I15" s="69" t="s">
        <v>11</v>
      </c>
    </row>
    <row r="16" spans="1:9" ht="21" customHeight="1" x14ac:dyDescent="0.15">
      <c r="A16" s="76" t="s">
        <v>105</v>
      </c>
      <c r="B16" s="69" t="s">
        <v>11</v>
      </c>
      <c r="C16" s="69" t="s">
        <v>11</v>
      </c>
      <c r="D16" s="28">
        <v>4400</v>
      </c>
      <c r="E16" s="28">
        <v>5600</v>
      </c>
      <c r="F16" s="69" t="s">
        <v>11</v>
      </c>
      <c r="G16" s="69" t="s">
        <v>11</v>
      </c>
      <c r="H16" s="69" t="s">
        <v>11</v>
      </c>
      <c r="I16" s="69" t="s">
        <v>11</v>
      </c>
    </row>
    <row r="17" spans="1:9" ht="21" customHeight="1" x14ac:dyDescent="0.15">
      <c r="A17" s="76" t="s">
        <v>218</v>
      </c>
      <c r="B17" s="69" t="s">
        <v>11</v>
      </c>
      <c r="C17" s="28">
        <v>3000</v>
      </c>
      <c r="D17" s="28">
        <v>4200</v>
      </c>
      <c r="E17" s="28">
        <v>5400</v>
      </c>
      <c r="F17" s="69" t="s">
        <v>11</v>
      </c>
      <c r="G17" s="69" t="s">
        <v>11</v>
      </c>
      <c r="H17" s="69" t="s">
        <v>11</v>
      </c>
      <c r="I17" s="69" t="s">
        <v>11</v>
      </c>
    </row>
    <row r="18" spans="1:9" ht="21" customHeight="1" x14ac:dyDescent="0.15">
      <c r="A18" s="76" t="s">
        <v>8</v>
      </c>
      <c r="B18" s="28">
        <v>2000</v>
      </c>
      <c r="C18" s="28">
        <v>2800</v>
      </c>
      <c r="D18" s="28">
        <v>4000</v>
      </c>
      <c r="E18" s="69" t="s">
        <v>11</v>
      </c>
      <c r="F18" s="69" t="s">
        <v>11</v>
      </c>
      <c r="G18" s="69" t="s">
        <v>11</v>
      </c>
      <c r="H18" s="69" t="s">
        <v>11</v>
      </c>
      <c r="I18" s="69" t="s">
        <v>11</v>
      </c>
    </row>
    <row r="19" spans="1:9" ht="21" customHeight="1" x14ac:dyDescent="0.15">
      <c r="A19" s="77" t="s">
        <v>7</v>
      </c>
      <c r="B19" s="28">
        <v>1750</v>
      </c>
      <c r="C19" s="28">
        <v>2550</v>
      </c>
      <c r="D19" s="69" t="s">
        <v>11</v>
      </c>
      <c r="E19" s="69" t="s">
        <v>11</v>
      </c>
      <c r="F19" s="69" t="s">
        <v>11</v>
      </c>
      <c r="G19" s="69" t="s">
        <v>11</v>
      </c>
      <c r="H19" s="69" t="s">
        <v>11</v>
      </c>
      <c r="I19" s="69" t="s">
        <v>11</v>
      </c>
    </row>
    <row r="20" spans="1:9" ht="21" customHeight="1" x14ac:dyDescent="0.15">
      <c r="A20" s="77" t="s">
        <v>219</v>
      </c>
      <c r="B20" s="28">
        <v>1500</v>
      </c>
      <c r="C20" s="28">
        <v>2300</v>
      </c>
      <c r="D20" s="69" t="s">
        <v>11</v>
      </c>
      <c r="E20" s="69" t="s">
        <v>11</v>
      </c>
      <c r="F20" s="69" t="s">
        <v>11</v>
      </c>
      <c r="G20" s="69" t="s">
        <v>11</v>
      </c>
      <c r="H20" s="69" t="s">
        <v>11</v>
      </c>
      <c r="I20" s="69" t="s">
        <v>11</v>
      </c>
    </row>
    <row r="21" spans="1:9" ht="21" customHeight="1" x14ac:dyDescent="0.15">
      <c r="A21" s="37" t="s">
        <v>220</v>
      </c>
      <c r="B21" s="36">
        <v>1000</v>
      </c>
      <c r="C21" s="36">
        <v>1000</v>
      </c>
      <c r="D21" s="36">
        <v>1000</v>
      </c>
      <c r="E21" s="36">
        <v>1000</v>
      </c>
      <c r="F21" s="36">
        <v>1000</v>
      </c>
      <c r="G21" s="36">
        <v>1000</v>
      </c>
      <c r="H21" s="36">
        <v>1000</v>
      </c>
      <c r="I21" s="36">
        <v>1000</v>
      </c>
    </row>
  </sheetData>
  <sheetProtection selectLockedCells="1" selectUnlockedCells="1"/>
  <phoneticPr fontId="9"/>
  <conditionalFormatting sqref="L23:R65542 J1:IU1 J7:IU8 J10:K1048576 S10:IU1048576 L10:R20">
    <cfRule type="cellIs" dxfId="6" priority="8" stopIfTrue="1" operator="equal">
      <formula>1</formula>
    </cfRule>
  </conditionalFormatting>
  <conditionalFormatting sqref="A22:I65542">
    <cfRule type="cellIs" dxfId="5" priority="9" stopIfTrue="1" operator="equal">
      <formula>1</formula>
    </cfRule>
  </conditionalFormatting>
  <conditionalFormatting sqref="A21:I21">
    <cfRule type="cellIs" dxfId="4" priority="6" stopIfTrue="1" operator="equal">
      <formula>1</formula>
    </cfRule>
  </conditionalFormatting>
  <conditionalFormatting sqref="J2:IV4">
    <cfRule type="cellIs" dxfId="3" priority="5" stopIfTrue="1" operator="equal">
      <formula>1</formula>
    </cfRule>
  </conditionalFormatting>
  <conditionalFormatting sqref="J5:IV6">
    <cfRule type="cellIs" dxfId="2" priority="4" stopIfTrue="1" operator="equal">
      <formula>1</formula>
    </cfRule>
  </conditionalFormatting>
  <conditionalFormatting sqref="J9:IU9">
    <cfRule type="cellIs" dxfId="1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.15"/>
  <cols>
    <col min="1" max="16384" width="13" style="23"/>
  </cols>
  <sheetData>
    <row r="1" spans="1:8" ht="21" customHeight="1" x14ac:dyDescent="0.15">
      <c r="A1" s="23" t="s">
        <v>111</v>
      </c>
      <c r="G1" s="23" t="s">
        <v>112</v>
      </c>
    </row>
    <row r="2" spans="1:8" ht="21" customHeight="1" x14ac:dyDescent="0.15">
      <c r="A2" s="21" t="s">
        <v>15</v>
      </c>
      <c r="B2" s="21" t="s">
        <v>16</v>
      </c>
      <c r="G2" s="21" t="s">
        <v>15</v>
      </c>
      <c r="H2" s="21" t="s">
        <v>16</v>
      </c>
    </row>
    <row r="3" spans="1:8" ht="21" customHeight="1" x14ac:dyDescent="0.15">
      <c r="A3" s="24">
        <v>1</v>
      </c>
      <c r="B3" s="33">
        <v>5000</v>
      </c>
      <c r="G3" s="24">
        <v>1</v>
      </c>
      <c r="H3" s="24">
        <v>75</v>
      </c>
    </row>
    <row r="4" spans="1:8" ht="21" customHeight="1" x14ac:dyDescent="0.15">
      <c r="A4" s="24">
        <v>2</v>
      </c>
      <c r="B4" s="25">
        <v>10000</v>
      </c>
      <c r="G4" s="24">
        <v>2</v>
      </c>
      <c r="H4" s="24">
        <v>150</v>
      </c>
    </row>
    <row r="5" spans="1:8" ht="21" customHeight="1" x14ac:dyDescent="0.15">
      <c r="A5" s="24">
        <v>3</v>
      </c>
      <c r="B5" s="25">
        <v>20000</v>
      </c>
      <c r="G5" s="24">
        <v>3</v>
      </c>
      <c r="H5" s="24">
        <v>300</v>
      </c>
    </row>
    <row r="6" spans="1:8" ht="21" customHeight="1" x14ac:dyDescent="0.15">
      <c r="A6" s="24">
        <v>4</v>
      </c>
      <c r="B6" s="25">
        <v>50000</v>
      </c>
      <c r="G6" s="24">
        <v>4</v>
      </c>
      <c r="H6" s="24">
        <v>600</v>
      </c>
    </row>
    <row r="7" spans="1:8" ht="21" customHeight="1" x14ac:dyDescent="0.15">
      <c r="A7" s="24">
        <v>5</v>
      </c>
      <c r="B7" s="25">
        <v>200000</v>
      </c>
      <c r="G7" s="24">
        <v>5</v>
      </c>
      <c r="H7" s="24">
        <v>900</v>
      </c>
    </row>
    <row r="8" spans="1:8" ht="21" customHeight="1" x14ac:dyDescent="0.15">
      <c r="A8" s="24">
        <v>6</v>
      </c>
      <c r="B8" s="34">
        <v>0</v>
      </c>
      <c r="G8" s="24">
        <v>6</v>
      </c>
      <c r="H8" s="35">
        <v>1200</v>
      </c>
    </row>
    <row r="9" spans="1:8" ht="21" customHeight="1" x14ac:dyDescent="0.15">
      <c r="A9" s="24">
        <v>7</v>
      </c>
      <c r="B9" s="34"/>
      <c r="G9" s="24">
        <v>7</v>
      </c>
      <c r="H9" s="34"/>
    </row>
    <row r="10" spans="1:8" ht="21" customHeight="1" x14ac:dyDescent="0.15">
      <c r="A10" s="24">
        <v>8</v>
      </c>
      <c r="B10" s="34"/>
      <c r="G10" s="24">
        <v>8</v>
      </c>
      <c r="H10" s="34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204</v>
      </c>
      <c r="B2" s="12">
        <v>591</v>
      </c>
    </row>
    <row r="3" spans="1:4" x14ac:dyDescent="0.15">
      <c r="A3" t="s">
        <v>205</v>
      </c>
      <c r="B3" s="133">
        <v>592</v>
      </c>
    </row>
    <row r="4" spans="1:4" x14ac:dyDescent="0.15">
      <c r="A4" t="s">
        <v>206</v>
      </c>
      <c r="B4" s="133">
        <v>593</v>
      </c>
    </row>
    <row r="7" spans="1:4" x14ac:dyDescent="0.15">
      <c r="A7" t="s">
        <v>207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226</v>
      </c>
    </row>
    <row r="13" spans="1:4" x14ac:dyDescent="0.15">
      <c r="B13" t="s">
        <v>230</v>
      </c>
      <c r="C13" t="s">
        <v>231</v>
      </c>
      <c r="D13" t="s">
        <v>232</v>
      </c>
    </row>
    <row r="14" spans="1:4" x14ac:dyDescent="0.15">
      <c r="A14" t="s">
        <v>228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229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227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208</v>
      </c>
    </row>
    <row r="20" spans="1:1" x14ac:dyDescent="0.15">
      <c r="A20" t="str">
        <f ca="1">IFERROR(VLOOKUP($B$2,unit_skills!A:I,3),"なし")</f>
        <v>なし</v>
      </c>
    </row>
    <row r="21" spans="1:1" x14ac:dyDescent="0.15">
      <c r="A21" t="str">
        <f>IFERROR(VLOOKUP($B$2,unit_skills!A:I,4),"なし")</f>
        <v>3ターンの間体力タイプの攻撃力と防御力を大UP+自身の最大HPで攻撃</v>
      </c>
    </row>
    <row r="22" spans="1:1" x14ac:dyDescent="0.15">
      <c r="A22" t="str">
        <f>"cost:"&amp;IFERROR(VLOOKUP($B$2,unit_skills!A:I,6),"なし")</f>
        <v>cost:18</v>
      </c>
    </row>
    <row r="23" spans="1:1" x14ac:dyDescent="0.15">
      <c r="A23" t="str">
        <f>IFERROR(VLOOKUP($B$2,unit_skills!A:I,9),"なし")</f>
        <v>[effect:enhance_unit, target:unit_hp, turn:4, status:attack, val:0.25, calc:add, animation:enhance_unit_all_attack04],</v>
      </c>
    </row>
    <row r="25" spans="1:1" x14ac:dyDescent="0.15">
      <c r="A25" t="str">
        <f ca="1">IFERROR(VLOOKUP($B$3,unit_skills!A:I,3),"なし")</f>
        <v>なし</v>
      </c>
    </row>
    <row r="26" spans="1:1" x14ac:dyDescent="0.15">
      <c r="A26" t="str">
        <f>IFERROR(VLOOKUP($B$3,unit_skills!A:I,4),"なし")</f>
        <v>3ターンの間体力タイプの攻撃力と防御力を大UP+自身の最大HPで攻撃</v>
      </c>
    </row>
    <row r="27" spans="1:1" x14ac:dyDescent="0.15">
      <c r="A27" t="str">
        <f>"cost:"&amp;IFERROR(VLOOKUP($B$3,unit_skills!A:I,6),"なし")</f>
        <v>cost:18</v>
      </c>
    </row>
    <row r="28" spans="1:1" x14ac:dyDescent="0.15">
      <c r="A28" t="str">
        <f>IFERROR(VLOOKUP($B$3,unit_skills!A:I,9),"なし")</f>
        <v>[effect:enhance_unit, target:unit_hp, turn:4, status:attack, val:0.25, calc:add, animation:enhance_unit_all_attack04],</v>
      </c>
    </row>
    <row r="30" spans="1:1" x14ac:dyDescent="0.15">
      <c r="A30" t="str">
        <f ca="1">IFERROR(VLOOKUP($B$4,unit_skills!A:I,3),"なし")</f>
        <v>なし</v>
      </c>
    </row>
    <row r="31" spans="1:1" x14ac:dyDescent="0.15">
      <c r="A31" t="str">
        <f>IFERROR(VLOOKUP($B$4,unit_skills!A:I,4),"なし")</f>
        <v>3ターンの間体力タイプの攻撃力と防御力を大UP+自身の最大HPで攻撃</v>
      </c>
    </row>
    <row r="32" spans="1:1" x14ac:dyDescent="0.15">
      <c r="A32" t="str">
        <f>"cost:"&amp;IFERROR(VLOOKUP($B$4,unit_skills!A:I,6),"なし")</f>
        <v>cost:18</v>
      </c>
    </row>
    <row r="33" spans="1:1" x14ac:dyDescent="0.15">
      <c r="A33" t="str">
        <f>IFERROR(VLOOKUP($B$4,unit_skills!A:I,9),"なし")</f>
        <v>[effect:enhance_unit, target:unit_hp, turn:4, status:attack, val:0.25, calc:add, animation:enhance_unit_all_attack04],</v>
      </c>
    </row>
    <row r="35" spans="1:1" x14ac:dyDescent="0.15">
      <c r="A35" t="s">
        <v>209</v>
      </c>
    </row>
    <row r="36" spans="1:1" x14ac:dyDescent="0.15">
      <c r="A36" t="str">
        <f ca="1">IFERROR(VLOOKUP($B$2,crash_skills!A:I,3),"なし")</f>
        <v>なし</v>
      </c>
    </row>
    <row r="37" spans="1:1" x14ac:dyDescent="0.15">
      <c r="A37">
        <f>IFERROR(VLOOKUP($B$2,crash_skills!A:I,4),"なし")</f>
        <v>0</v>
      </c>
    </row>
    <row r="38" spans="1:1" x14ac:dyDescent="0.15">
      <c r="A38">
        <f>IFERROR(VLOOKUP($B$2,crash_skills!A:I,6),"なし")</f>
        <v>0</v>
      </c>
    </row>
    <row r="40" spans="1:1" x14ac:dyDescent="0.15">
      <c r="A40" t="str">
        <f ca="1">IFERROR(VLOOKUP($B$3,crash_skills!A:I,3),"なし")</f>
        <v>なし</v>
      </c>
    </row>
    <row r="41" spans="1:1" x14ac:dyDescent="0.15">
      <c r="A41">
        <f>IFERROR(VLOOKUP($B$3,crash_skills!A:I,4),"なし")</f>
        <v>0</v>
      </c>
    </row>
    <row r="42" spans="1:1" x14ac:dyDescent="0.15">
      <c r="A42">
        <f>IFERROR(VLOOKUP($B$3,crash_skills!A:I,6),"なし")</f>
        <v>0</v>
      </c>
    </row>
    <row r="44" spans="1:1" x14ac:dyDescent="0.15">
      <c r="A44" t="str">
        <f ca="1">IFERROR(VLOOKUP($B$4,crash_skills!A:I,3),"なし")</f>
        <v>なし</v>
      </c>
    </row>
    <row r="45" spans="1:1" x14ac:dyDescent="0.15">
      <c r="A45">
        <f>IFERROR(VLOOKUP($B$4,crash_skills!A:I,4),"なし")</f>
        <v>0</v>
      </c>
    </row>
    <row r="46" spans="1:1" x14ac:dyDescent="0.15">
      <c r="A46">
        <f>IFERROR(VLOOKUP($B$4,crash_skills!A:I,6),"なし")</f>
        <v>0</v>
      </c>
    </row>
    <row r="48" spans="1:1" x14ac:dyDescent="0.15">
      <c r="A48" t="s">
        <v>210</v>
      </c>
    </row>
    <row r="49" spans="1:1" x14ac:dyDescent="0.15">
      <c r="A49" t="str">
        <f>IFERROR(VLOOKUP($B$3,awake_materials!A:L,2),"なし")</f>
        <v>なし</v>
      </c>
    </row>
    <row r="50" spans="1:1" x14ac:dyDescent="0.15">
      <c r="A50" t="str">
        <f>IFERROR(VLOOKUP($B$3,awake_materials!A:L,2),"なし")</f>
        <v>なし</v>
      </c>
    </row>
    <row r="51" spans="1:1" x14ac:dyDescent="0.15">
      <c r="A51" t="str">
        <f>IFERROR(VLOOKUP($B$3,awake_materials!A:L,2),"なし")</f>
        <v>なし</v>
      </c>
    </row>
    <row r="52" spans="1:1" x14ac:dyDescent="0.15">
      <c r="A52" t="str">
        <f>IFERROR(VLOOKUP($B$3,awake_materials!A:L,2),"なし")</f>
        <v>なし</v>
      </c>
    </row>
    <row r="53" spans="1:1" x14ac:dyDescent="0.15">
      <c r="A53" t="str">
        <f>IFERROR(VLOOKUP($B$3,awake_materials!A:L,2),"なし")</f>
        <v>なし</v>
      </c>
    </row>
    <row r="55" spans="1:1" x14ac:dyDescent="0.15">
      <c r="A55" s="145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output</vt:lpstr>
      <vt:lpstr>units</vt:lpstr>
      <vt:lpstr>unit_skills</vt:lpstr>
      <vt:lpstr>crash_skills</vt:lpstr>
      <vt:lpstr>unit_serifs</vt:lpstr>
      <vt:lpstr>fork_awake_units</vt:lpstr>
      <vt:lpstr>awake_materials</vt:lpstr>
      <vt:lpstr>abilities</vt:lpstr>
      <vt:lpstr>unit_abilities</vt:lpstr>
      <vt:lpstr>→base値</vt:lpstr>
      <vt:lpstr>コスト</vt:lpstr>
      <vt:lpstr>レベル</vt:lpstr>
      <vt:lpstr>経験値</vt:lpstr>
      <vt:lpstr>RC6SV</vt:lpstr>
      <vt:lpstr>ビット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2017-03-17T07:46:25Z</dcterms:modified>
</cp:coreProperties>
</file>