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0" yWindow="460" windowWidth="28800" windowHeight="174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3" hidden="1">enemy_habitat_S!$B$1:$Y$2</definedName>
    <definedName name="_xlnm._FilterDatabase" localSheetId="2" hidden="1">enemy_habitats!$B$1:$AH$48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4" i="1" l="1"/>
  <c r="AD34" i="1"/>
  <c r="AG34" i="1"/>
  <c r="AE34" i="1"/>
  <c r="AC34" i="1"/>
  <c r="W34" i="1"/>
  <c r="V34" i="1"/>
  <c r="Q34" i="1"/>
  <c r="P34" i="1"/>
  <c r="O34" i="1"/>
  <c r="N34" i="1"/>
  <c r="M34" i="1"/>
  <c r="H34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J34" i="1"/>
  <c r="I34" i="1"/>
  <c r="D34" i="1"/>
  <c r="F34" i="1"/>
  <c r="E34" i="1"/>
  <c r="A34" i="1"/>
  <c r="AB33" i="1"/>
  <c r="AD33" i="1"/>
  <c r="AG33" i="1"/>
  <c r="AE33" i="1"/>
  <c r="AC33" i="1"/>
  <c r="W33" i="1"/>
  <c r="V33" i="1"/>
  <c r="Q33" i="1"/>
  <c r="P33" i="1"/>
  <c r="O33" i="1"/>
  <c r="N33" i="1"/>
  <c r="M33" i="1"/>
  <c r="H33" i="1"/>
  <c r="J33" i="1"/>
  <c r="I33" i="1"/>
  <c r="D33" i="1"/>
  <c r="F33" i="1"/>
  <c r="E33" i="1"/>
  <c r="A33" i="1"/>
  <c r="AB27" i="1"/>
  <c r="AD27" i="1"/>
  <c r="AG27" i="1"/>
  <c r="AE27" i="1"/>
  <c r="AC27" i="1"/>
  <c r="W27" i="1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6" i="1"/>
  <c r="AD26" i="1"/>
  <c r="AG26" i="1"/>
  <c r="AE26" i="1"/>
  <c r="AC26" i="1"/>
  <c r="W26" i="1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AB20" i="1"/>
  <c r="AD20" i="1"/>
  <c r="AG20" i="1"/>
  <c r="AE20" i="1"/>
  <c r="AC20" i="1"/>
  <c r="W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W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0" i="1"/>
  <c r="AD10" i="1"/>
  <c r="AG10" i="1"/>
  <c r="AE10" i="1"/>
  <c r="AC10" i="1"/>
  <c r="W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W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4" i="1"/>
  <c r="AD4" i="1"/>
  <c r="AG4" i="1"/>
  <c r="AE4" i="1"/>
  <c r="AC4" i="1"/>
  <c r="W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5" i="1"/>
  <c r="AD5" i="1"/>
  <c r="AG5" i="1"/>
  <c r="AE5" i="1"/>
  <c r="AC5" i="1"/>
  <c r="W5" i="1"/>
  <c r="V5" i="1"/>
  <c r="Q5" i="1"/>
  <c r="P5" i="1"/>
  <c r="O5" i="1"/>
  <c r="N5" i="1"/>
  <c r="M5" i="1"/>
  <c r="H5" i="1"/>
  <c r="J5" i="1"/>
  <c r="I5" i="1"/>
  <c r="D5" i="1"/>
  <c r="F5" i="1"/>
  <c r="E5" i="1"/>
  <c r="A5" i="1"/>
  <c r="C40" i="18"/>
  <c r="D40" i="18"/>
  <c r="C39" i="18"/>
  <c r="D39" i="18"/>
  <c r="C38" i="18"/>
  <c r="D38" i="18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2" i="21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2" i="19"/>
  <c r="F18" i="19"/>
  <c r="G18" i="19"/>
  <c r="D18" i="19"/>
  <c r="C18" i="19"/>
  <c r="F17" i="19"/>
  <c r="G17" i="19"/>
  <c r="D17" i="19"/>
  <c r="C17" i="19"/>
  <c r="F16" i="19"/>
  <c r="G16" i="19"/>
  <c r="D16" i="19"/>
  <c r="C16" i="19"/>
  <c r="F15" i="19"/>
  <c r="G15" i="19"/>
  <c r="D15" i="19"/>
  <c r="C15" i="19"/>
  <c r="F14" i="19"/>
  <c r="G14" i="19"/>
  <c r="D14" i="19"/>
  <c r="C14" i="19"/>
  <c r="F13" i="19"/>
  <c r="G13" i="19"/>
  <c r="D13" i="19"/>
  <c r="C13" i="19"/>
  <c r="F12" i="19"/>
  <c r="G12" i="19"/>
  <c r="D12" i="19"/>
  <c r="C12" i="19"/>
  <c r="F11" i="19"/>
  <c r="G11" i="19"/>
  <c r="D11" i="19"/>
  <c r="C11" i="19"/>
  <c r="F10" i="19"/>
  <c r="G10" i="19"/>
  <c r="D10" i="19"/>
  <c r="C10" i="19"/>
  <c r="F9" i="19"/>
  <c r="G9" i="19"/>
  <c r="D9" i="19"/>
  <c r="C9" i="19"/>
  <c r="F8" i="19"/>
  <c r="G8" i="19"/>
  <c r="D8" i="19"/>
  <c r="C8" i="19"/>
  <c r="F7" i="19"/>
  <c r="G7" i="19"/>
  <c r="D7" i="19"/>
  <c r="C7" i="19"/>
  <c r="F6" i="19"/>
  <c r="G6" i="19"/>
  <c r="D6" i="19"/>
  <c r="C6" i="19"/>
  <c r="F5" i="19"/>
  <c r="G5" i="19"/>
  <c r="D5" i="19"/>
  <c r="C5" i="19"/>
  <c r="F4" i="19"/>
  <c r="G4" i="19"/>
  <c r="D4" i="19"/>
  <c r="C4" i="19"/>
  <c r="F3" i="19"/>
  <c r="G3" i="19"/>
  <c r="D3" i="19"/>
  <c r="C3" i="19"/>
  <c r="F2" i="19"/>
  <c r="G2" i="19"/>
  <c r="D2" i="19"/>
  <c r="C2" i="19"/>
  <c r="B15" i="21"/>
  <c r="B16" i="21"/>
  <c r="B17" i="21"/>
  <c r="B18" i="21"/>
  <c r="B19" i="21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AB42" i="1"/>
  <c r="AD42" i="1"/>
  <c r="AG42" i="1"/>
  <c r="AE42" i="1"/>
  <c r="AC42" i="1"/>
  <c r="AA42" i="1"/>
  <c r="W42" i="1"/>
  <c r="V42" i="1"/>
  <c r="Q42" i="1"/>
  <c r="P42" i="1"/>
  <c r="O42" i="1"/>
  <c r="N42" i="1"/>
  <c r="M42" i="1"/>
  <c r="H42" i="1"/>
  <c r="J42" i="1"/>
  <c r="I42" i="1"/>
  <c r="D42" i="1"/>
  <c r="F42" i="1"/>
  <c r="E42" i="1"/>
  <c r="A42" i="1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M36" i="10"/>
  <c r="T36" i="10"/>
  <c r="W36" i="10"/>
  <c r="V36" i="10"/>
  <c r="X36" i="10"/>
  <c r="U36" i="10"/>
  <c r="Y36" i="10"/>
  <c r="M52" i="10"/>
  <c r="N52" i="10"/>
  <c r="Q52" i="10"/>
  <c r="P52" i="10"/>
  <c r="R52" i="10"/>
  <c r="O52" i="10"/>
  <c r="S52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AA36" i="1"/>
  <c r="M41" i="1"/>
  <c r="AB46" i="1"/>
  <c r="AD46" i="1"/>
  <c r="AG46" i="1"/>
  <c r="AE46" i="1"/>
  <c r="AC46" i="1"/>
  <c r="AA46" i="1"/>
  <c r="W46" i="1"/>
  <c r="V46" i="1"/>
  <c r="Q46" i="1"/>
  <c r="P46" i="1"/>
  <c r="O46" i="1"/>
  <c r="N46" i="1"/>
  <c r="M46" i="1"/>
  <c r="H46" i="1"/>
  <c r="J46" i="1"/>
  <c r="I46" i="1"/>
  <c r="D46" i="1"/>
  <c r="F46" i="1"/>
  <c r="E46" i="1"/>
  <c r="A46" i="1"/>
  <c r="AB47" i="1"/>
  <c r="AD47" i="1"/>
  <c r="AG47" i="1"/>
  <c r="AE47" i="1"/>
  <c r="AC47" i="1"/>
  <c r="AA47" i="1"/>
  <c r="W47" i="1"/>
  <c r="V47" i="1"/>
  <c r="Q47" i="1"/>
  <c r="P47" i="1"/>
  <c r="O47" i="1"/>
  <c r="N47" i="1"/>
  <c r="M47" i="1"/>
  <c r="H47" i="1"/>
  <c r="J47" i="1"/>
  <c r="I47" i="1"/>
  <c r="D47" i="1"/>
  <c r="F47" i="1"/>
  <c r="E47" i="1"/>
  <c r="A47" i="1"/>
  <c r="AB45" i="1"/>
  <c r="AD45" i="1"/>
  <c r="AG45" i="1"/>
  <c r="AE45" i="1"/>
  <c r="AC45" i="1"/>
  <c r="AA45" i="1"/>
  <c r="W45" i="1"/>
  <c r="V45" i="1"/>
  <c r="Q45" i="1"/>
  <c r="P45" i="1"/>
  <c r="O45" i="1"/>
  <c r="N45" i="1"/>
  <c r="M45" i="1"/>
  <c r="H45" i="1"/>
  <c r="J45" i="1"/>
  <c r="I45" i="1"/>
  <c r="D45" i="1"/>
  <c r="F45" i="1"/>
  <c r="E45" i="1"/>
  <c r="A45" i="1"/>
  <c r="AB43" i="1"/>
  <c r="AD43" i="1"/>
  <c r="AG43" i="1"/>
  <c r="AE43" i="1"/>
  <c r="AC43" i="1"/>
  <c r="AA43" i="1"/>
  <c r="W43" i="1"/>
  <c r="V43" i="1"/>
  <c r="Q43" i="1"/>
  <c r="P43" i="1"/>
  <c r="O43" i="1"/>
  <c r="N43" i="1"/>
  <c r="M43" i="1"/>
  <c r="H43" i="1"/>
  <c r="J43" i="1"/>
  <c r="I43" i="1"/>
  <c r="D43" i="1"/>
  <c r="F43" i="1"/>
  <c r="E43" i="1"/>
  <c r="A43" i="1"/>
  <c r="J43" i="11"/>
  <c r="J44" i="11"/>
  <c r="J45" i="11"/>
  <c r="E58" i="9"/>
  <c r="W4" i="7"/>
  <c r="E38" i="9"/>
  <c r="W3" i="7"/>
  <c r="E33" i="9"/>
  <c r="W2" i="7"/>
  <c r="R4" i="7"/>
  <c r="Q4" i="7"/>
  <c r="P4" i="7"/>
  <c r="O4" i="7"/>
  <c r="N4" i="7"/>
  <c r="H4" i="7"/>
  <c r="J4" i="7"/>
  <c r="I4" i="7"/>
  <c r="D4" i="7"/>
  <c r="F4" i="7"/>
  <c r="E4" i="7"/>
  <c r="A4" i="7"/>
  <c r="J57" i="11"/>
  <c r="J59" i="11"/>
  <c r="O60" i="9"/>
  <c r="N60" i="9"/>
  <c r="M60" i="9"/>
  <c r="L60" i="9"/>
  <c r="K60" i="9"/>
  <c r="J60" i="9"/>
  <c r="I60" i="9"/>
  <c r="H60" i="9"/>
  <c r="G60" i="9"/>
  <c r="E60" i="9"/>
  <c r="D60" i="9"/>
  <c r="A60" i="9"/>
  <c r="J56" i="11"/>
  <c r="J58" i="11"/>
  <c r="O56" i="9"/>
  <c r="N56" i="9"/>
  <c r="M56" i="9"/>
  <c r="L56" i="9"/>
  <c r="K56" i="9"/>
  <c r="J56" i="9"/>
  <c r="I56" i="9"/>
  <c r="H56" i="9"/>
  <c r="G56" i="9"/>
  <c r="E56" i="9"/>
  <c r="D56" i="9"/>
  <c r="A56" i="9"/>
  <c r="O59" i="9"/>
  <c r="N59" i="9"/>
  <c r="M59" i="9"/>
  <c r="L59" i="9"/>
  <c r="K59" i="9"/>
  <c r="J59" i="9"/>
  <c r="I59" i="9"/>
  <c r="H59" i="9"/>
  <c r="G59" i="9"/>
  <c r="E59" i="9"/>
  <c r="D59" i="9"/>
  <c r="A59" i="9"/>
  <c r="O61" i="9"/>
  <c r="N61" i="9"/>
  <c r="M61" i="9"/>
  <c r="L61" i="9"/>
  <c r="K61" i="9"/>
  <c r="J61" i="9"/>
  <c r="I61" i="9"/>
  <c r="H61" i="9"/>
  <c r="G61" i="9"/>
  <c r="E61" i="9"/>
  <c r="D61" i="9"/>
  <c r="A61" i="9"/>
  <c r="O58" i="9"/>
  <c r="N58" i="9"/>
  <c r="M58" i="9"/>
  <c r="L58" i="9"/>
  <c r="K58" i="9"/>
  <c r="J58" i="9"/>
  <c r="I58" i="9"/>
  <c r="H58" i="9"/>
  <c r="G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W39" i="1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T52" i="10"/>
  <c r="W52" i="10"/>
  <c r="V52" i="10"/>
  <c r="X52" i="10"/>
  <c r="U52" i="10"/>
  <c r="Y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J49" i="11"/>
  <c r="J51" i="11"/>
  <c r="O49" i="9"/>
  <c r="N49" i="9"/>
  <c r="M49" i="9"/>
  <c r="L49" i="9"/>
  <c r="K49" i="9"/>
  <c r="J49" i="9"/>
  <c r="I49" i="9"/>
  <c r="H49" i="9"/>
  <c r="G49" i="9"/>
  <c r="E49" i="9"/>
  <c r="D49" i="9"/>
  <c r="A49" i="9"/>
  <c r="J46" i="11"/>
  <c r="J48" i="11"/>
  <c r="O46" i="9"/>
  <c r="N46" i="9"/>
  <c r="M46" i="9"/>
  <c r="L46" i="9"/>
  <c r="K46" i="9"/>
  <c r="J46" i="9"/>
  <c r="I46" i="9"/>
  <c r="H46" i="9"/>
  <c r="G46" i="9"/>
  <c r="E46" i="9"/>
  <c r="D46" i="9"/>
  <c r="A46" i="9"/>
  <c r="O51" i="9"/>
  <c r="N51" i="9"/>
  <c r="M51" i="9"/>
  <c r="L51" i="9"/>
  <c r="K51" i="9"/>
  <c r="J51" i="9"/>
  <c r="I51" i="9"/>
  <c r="H51" i="9"/>
  <c r="G51" i="9"/>
  <c r="E51" i="9"/>
  <c r="D51" i="9"/>
  <c r="A51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N31" i="1"/>
  <c r="J41" i="11"/>
  <c r="O41" i="9"/>
  <c r="N41" i="9"/>
  <c r="M41" i="9"/>
  <c r="L41" i="9"/>
  <c r="K41" i="9"/>
  <c r="J41" i="9"/>
  <c r="I41" i="9"/>
  <c r="H41" i="9"/>
  <c r="G41" i="9"/>
  <c r="E41" i="9"/>
  <c r="D41" i="9"/>
  <c r="A41" i="9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29" i="11"/>
  <c r="J28" i="11"/>
  <c r="J27" i="11"/>
  <c r="J5" i="11"/>
  <c r="J6" i="11"/>
  <c r="J7" i="11"/>
  <c r="J8" i="11"/>
  <c r="J9" i="11"/>
  <c r="J10" i="11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M40" i="10"/>
  <c r="N40" i="10"/>
  <c r="Q40" i="10"/>
  <c r="P40" i="10"/>
  <c r="R40" i="10"/>
  <c r="O40" i="10"/>
  <c r="S40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8" i="10"/>
  <c r="T8" i="10"/>
  <c r="W8" i="10"/>
  <c r="V8" i="10"/>
  <c r="X8" i="10"/>
  <c r="U8" i="10"/>
  <c r="Y8" i="10"/>
  <c r="M41" i="10"/>
  <c r="N41" i="10"/>
  <c r="Q41" i="10"/>
  <c r="P41" i="10"/>
  <c r="R41" i="10"/>
  <c r="O41" i="10"/>
  <c r="S41" i="10"/>
  <c r="N8" i="10"/>
  <c r="Q8" i="10"/>
  <c r="P8" i="10"/>
  <c r="R8" i="10"/>
  <c r="O8" i="10"/>
  <c r="S8" i="10"/>
  <c r="G8" i="10"/>
  <c r="J8" i="10"/>
  <c r="I8" i="10"/>
  <c r="K8" i="10"/>
  <c r="H8" i="10"/>
  <c r="L8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M39" i="10"/>
  <c r="N39" i="10"/>
  <c r="Q39" i="10"/>
  <c r="P39" i="10"/>
  <c r="R39" i="10"/>
  <c r="O39" i="10"/>
  <c r="S39" i="10"/>
  <c r="N4" i="10"/>
  <c r="Q4" i="10"/>
  <c r="P4" i="10"/>
  <c r="R4" i="10"/>
  <c r="O4" i="10"/>
  <c r="S4" i="10"/>
  <c r="G4" i="10"/>
  <c r="J4" i="10"/>
  <c r="I4" i="10"/>
  <c r="K4" i="10"/>
  <c r="H4" i="10"/>
  <c r="L4" i="10"/>
  <c r="H8" i="2"/>
  <c r="E8" i="2"/>
  <c r="D8" i="2"/>
  <c r="H28" i="1"/>
  <c r="H29" i="1"/>
  <c r="H2" i="1"/>
  <c r="H3" i="1"/>
  <c r="H6" i="1"/>
  <c r="H7" i="1"/>
  <c r="H8" i="1"/>
  <c r="H11" i="1"/>
  <c r="H12" i="1"/>
  <c r="H13" i="1"/>
  <c r="H14" i="1"/>
  <c r="H15" i="1"/>
  <c r="H16" i="1"/>
  <c r="H17" i="1"/>
  <c r="H18" i="1"/>
  <c r="H21" i="1"/>
  <c r="H22" i="1"/>
  <c r="H23" i="1"/>
  <c r="H24" i="1"/>
  <c r="H25" i="1"/>
  <c r="H30" i="1"/>
  <c r="H31" i="1"/>
  <c r="H32" i="1"/>
  <c r="H35" i="1"/>
  <c r="H36" i="1"/>
  <c r="H37" i="1"/>
  <c r="H38" i="1"/>
  <c r="H39" i="1"/>
  <c r="H40" i="1"/>
  <c r="H41" i="1"/>
  <c r="H44" i="1"/>
  <c r="H48" i="1"/>
  <c r="B8" i="2"/>
  <c r="H4" i="2"/>
  <c r="E4" i="2"/>
  <c r="D4" i="2"/>
  <c r="B4" i="2"/>
  <c r="AB24" i="1"/>
  <c r="AD24" i="1"/>
  <c r="AG24" i="1"/>
  <c r="AE24" i="1"/>
  <c r="AC24" i="1"/>
  <c r="E26" i="9"/>
  <c r="E27" i="9"/>
  <c r="V24" i="1"/>
  <c r="Q24" i="1"/>
  <c r="P24" i="1"/>
  <c r="O24" i="1"/>
  <c r="N24" i="1"/>
  <c r="M24" i="1"/>
  <c r="J24" i="1"/>
  <c r="I24" i="1"/>
  <c r="D24" i="1"/>
  <c r="F24" i="1"/>
  <c r="E24" i="1"/>
  <c r="A24" i="1"/>
  <c r="AB25" i="1"/>
  <c r="AD25" i="1"/>
  <c r="AG25" i="1"/>
  <c r="AE25" i="1"/>
  <c r="AC25" i="1"/>
  <c r="E28" i="9"/>
  <c r="V25" i="1"/>
  <c r="Q25" i="1"/>
  <c r="P25" i="1"/>
  <c r="O25" i="1"/>
  <c r="N25" i="1"/>
  <c r="M25" i="1"/>
  <c r="J25" i="1"/>
  <c r="I25" i="1"/>
  <c r="D25" i="1"/>
  <c r="F25" i="1"/>
  <c r="E25" i="1"/>
  <c r="A25" i="1"/>
  <c r="AB6" i="1"/>
  <c r="AD6" i="1"/>
  <c r="AG6" i="1"/>
  <c r="AE6" i="1"/>
  <c r="AC6" i="1"/>
  <c r="AA6" i="1"/>
  <c r="E4" i="9"/>
  <c r="V6" i="1"/>
  <c r="Q6" i="1"/>
  <c r="P6" i="1"/>
  <c r="O6" i="1"/>
  <c r="N6" i="1"/>
  <c r="M6" i="1"/>
  <c r="J6" i="1"/>
  <c r="I6" i="1"/>
  <c r="D6" i="1"/>
  <c r="F6" i="1"/>
  <c r="E6" i="1"/>
  <c r="A6" i="1"/>
  <c r="AB7" i="1"/>
  <c r="AD7" i="1"/>
  <c r="AG7" i="1"/>
  <c r="AE7" i="1"/>
  <c r="AC7" i="1"/>
  <c r="AA7" i="1"/>
  <c r="E5" i="9"/>
  <c r="V7" i="1"/>
  <c r="Q7" i="1"/>
  <c r="P7" i="1"/>
  <c r="O7" i="1"/>
  <c r="N7" i="1"/>
  <c r="M7" i="1"/>
  <c r="J7" i="1"/>
  <c r="I7" i="1"/>
  <c r="D7" i="1"/>
  <c r="F7" i="1"/>
  <c r="E7" i="1"/>
  <c r="A7" i="1"/>
  <c r="AB8" i="1"/>
  <c r="AD8" i="1"/>
  <c r="AG8" i="1"/>
  <c r="AE8" i="1"/>
  <c r="AC8" i="1"/>
  <c r="E6" i="9"/>
  <c r="V8" i="1"/>
  <c r="Q8" i="1"/>
  <c r="P8" i="1"/>
  <c r="O8" i="1"/>
  <c r="N8" i="1"/>
  <c r="M8" i="1"/>
  <c r="J8" i="1"/>
  <c r="I8" i="1"/>
  <c r="D8" i="1"/>
  <c r="F8" i="1"/>
  <c r="E8" i="1"/>
  <c r="A8" i="1"/>
  <c r="J23" i="11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22" i="11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21" i="11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20" i="11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9" i="11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24" i="11"/>
  <c r="J25" i="11"/>
  <c r="J26" i="11"/>
  <c r="J30" i="11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O9" i="9"/>
  <c r="N9" i="9"/>
  <c r="M9" i="9"/>
  <c r="L9" i="9"/>
  <c r="K9" i="9"/>
  <c r="J9" i="9"/>
  <c r="I9" i="9"/>
  <c r="H9" i="9"/>
  <c r="G9" i="9"/>
  <c r="E9" i="9"/>
  <c r="D9" i="9"/>
  <c r="A9" i="9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D28" i="9"/>
  <c r="A28" i="9"/>
  <c r="O27" i="9"/>
  <c r="N27" i="9"/>
  <c r="M27" i="9"/>
  <c r="L27" i="9"/>
  <c r="K27" i="9"/>
  <c r="J27" i="9"/>
  <c r="I27" i="9"/>
  <c r="H27" i="9"/>
  <c r="G27" i="9"/>
  <c r="D27" i="9"/>
  <c r="A27" i="9"/>
  <c r="O26" i="9"/>
  <c r="N26" i="9"/>
  <c r="M26" i="9"/>
  <c r="L26" i="9"/>
  <c r="K26" i="9"/>
  <c r="J26" i="9"/>
  <c r="I26" i="9"/>
  <c r="H26" i="9"/>
  <c r="G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T40" i="10"/>
  <c r="W40" i="10"/>
  <c r="V40" i="10"/>
  <c r="X40" i="10"/>
  <c r="U40" i="10"/>
  <c r="Y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J18" i="11"/>
  <c r="T41" i="10"/>
  <c r="W41" i="10"/>
  <c r="V41" i="10"/>
  <c r="X41" i="10"/>
  <c r="U41" i="10"/>
  <c r="Y41" i="10"/>
  <c r="G41" i="10"/>
  <c r="J41" i="10"/>
  <c r="I41" i="10"/>
  <c r="K41" i="10"/>
  <c r="H41" i="10"/>
  <c r="L41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R3" i="7"/>
  <c r="Q3" i="7"/>
  <c r="P3" i="7"/>
  <c r="O3" i="7"/>
  <c r="N3" i="7"/>
  <c r="H3" i="7"/>
  <c r="J3" i="7"/>
  <c r="I3" i="7"/>
  <c r="D3" i="7"/>
  <c r="F3" i="7"/>
  <c r="E3" i="7"/>
  <c r="A3" i="7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AA13" i="1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O18" i="9"/>
  <c r="N18" i="9"/>
  <c r="M18" i="9"/>
  <c r="L18" i="9"/>
  <c r="K18" i="9"/>
  <c r="J18" i="9"/>
  <c r="I18" i="9"/>
  <c r="H18" i="9"/>
  <c r="G18" i="9"/>
  <c r="E18" i="9"/>
  <c r="D18" i="9"/>
  <c r="A18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AA11" i="1"/>
  <c r="A11" i="1"/>
  <c r="J3" i="11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D6" i="9"/>
  <c r="A6" i="9"/>
  <c r="O5" i="9"/>
  <c r="N5" i="9"/>
  <c r="M5" i="9"/>
  <c r="L5" i="9"/>
  <c r="K5" i="9"/>
  <c r="J5" i="9"/>
  <c r="I5" i="9"/>
  <c r="H5" i="9"/>
  <c r="G5" i="9"/>
  <c r="D5" i="9"/>
  <c r="A5" i="9"/>
  <c r="J4" i="11"/>
  <c r="O4" i="9"/>
  <c r="N4" i="9"/>
  <c r="M4" i="9"/>
  <c r="L4" i="9"/>
  <c r="K4" i="9"/>
  <c r="J4" i="9"/>
  <c r="I4" i="9"/>
  <c r="H4" i="9"/>
  <c r="G4" i="9"/>
  <c r="D4" i="9"/>
  <c r="A4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L8" i="9"/>
  <c r="O10" i="9"/>
  <c r="N10" i="9"/>
  <c r="M10" i="9"/>
  <c r="L10" i="9"/>
  <c r="K10" i="9"/>
  <c r="J10" i="9"/>
  <c r="I10" i="9"/>
  <c r="H10" i="9"/>
  <c r="G10" i="9"/>
  <c r="E10" i="9"/>
  <c r="D10" i="9"/>
  <c r="A10" i="9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O8" i="9"/>
  <c r="N8" i="9"/>
  <c r="M8" i="9"/>
  <c r="K8" i="9"/>
  <c r="J8" i="9"/>
  <c r="I8" i="9"/>
  <c r="H8" i="9"/>
  <c r="G8" i="9"/>
  <c r="E8" i="9"/>
  <c r="D8" i="9"/>
  <c r="A8" i="9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AB39" i="1"/>
  <c r="AD39" i="1"/>
  <c r="AG39" i="1"/>
  <c r="AE39" i="1"/>
  <c r="AC39" i="1"/>
  <c r="V39" i="1"/>
  <c r="Q39" i="1"/>
  <c r="P39" i="1"/>
  <c r="O39" i="1"/>
  <c r="N39" i="1"/>
  <c r="M39" i="1"/>
  <c r="J39" i="1"/>
  <c r="I39" i="1"/>
  <c r="D39" i="1"/>
  <c r="F39" i="1"/>
  <c r="E39" i="1"/>
  <c r="A39" i="1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3" i="9"/>
  <c r="N3" i="9"/>
  <c r="M3" i="9"/>
  <c r="L3" i="9"/>
  <c r="K3" i="9"/>
  <c r="J3" i="9"/>
  <c r="I3" i="9"/>
  <c r="H3" i="9"/>
  <c r="G3" i="9"/>
  <c r="E3" i="9"/>
  <c r="D3" i="9"/>
  <c r="A3" i="9"/>
  <c r="AB23" i="1"/>
  <c r="AD23" i="1"/>
  <c r="AG23" i="1"/>
  <c r="AE23" i="1"/>
  <c r="AC23" i="1"/>
  <c r="W23" i="1"/>
  <c r="V23" i="1"/>
  <c r="Q23" i="1"/>
  <c r="P23" i="1"/>
  <c r="O23" i="1"/>
  <c r="N23" i="1"/>
  <c r="M23" i="1"/>
  <c r="J23" i="1"/>
  <c r="I23" i="1"/>
  <c r="D23" i="1"/>
  <c r="F23" i="1"/>
  <c r="E23" i="1"/>
  <c r="A23" i="1"/>
  <c r="A28" i="1"/>
  <c r="E3" i="2"/>
  <c r="D3" i="2"/>
  <c r="E2" i="9"/>
  <c r="V2" i="1"/>
  <c r="AB14" i="1"/>
  <c r="AD14" i="1"/>
  <c r="AG14" i="1"/>
  <c r="AE14" i="1"/>
  <c r="AC14" i="1"/>
  <c r="W14" i="1"/>
  <c r="V14" i="1"/>
  <c r="Q14" i="1"/>
  <c r="P14" i="1"/>
  <c r="O14" i="1"/>
  <c r="N14" i="1"/>
  <c r="M14" i="1"/>
  <c r="J14" i="1"/>
  <c r="I14" i="1"/>
  <c r="D14" i="1"/>
  <c r="F14" i="1"/>
  <c r="E14" i="1"/>
  <c r="A14" i="1"/>
  <c r="M15" i="1"/>
  <c r="W41" i="1"/>
  <c r="W44" i="1"/>
  <c r="W48" i="1"/>
  <c r="AA12" i="1"/>
  <c r="A12" i="1"/>
  <c r="D12" i="1"/>
  <c r="E12" i="1"/>
  <c r="F12" i="1"/>
  <c r="I12" i="1"/>
  <c r="J12" i="1"/>
  <c r="M12" i="1"/>
  <c r="N12" i="1"/>
  <c r="O12" i="1"/>
  <c r="P12" i="1"/>
  <c r="Q12" i="1"/>
  <c r="V12" i="1"/>
  <c r="AB12" i="1"/>
  <c r="AC12" i="1"/>
  <c r="AD12" i="1"/>
  <c r="AE12" i="1"/>
  <c r="AG12" i="1"/>
  <c r="A13" i="1"/>
  <c r="D13" i="1"/>
  <c r="E13" i="1"/>
  <c r="F13" i="1"/>
  <c r="I13" i="1"/>
  <c r="J13" i="1"/>
  <c r="M13" i="1"/>
  <c r="N13" i="1"/>
  <c r="O13" i="1"/>
  <c r="P13" i="1"/>
  <c r="Q13" i="1"/>
  <c r="V13" i="1"/>
  <c r="AB13" i="1"/>
  <c r="AC13" i="1"/>
  <c r="AD13" i="1"/>
  <c r="AE13" i="1"/>
  <c r="AG13" i="1"/>
  <c r="D11" i="1"/>
  <c r="E11" i="1"/>
  <c r="F11" i="1"/>
  <c r="I11" i="1"/>
  <c r="J11" i="1"/>
  <c r="M11" i="1"/>
  <c r="N11" i="1"/>
  <c r="O11" i="1"/>
  <c r="P11" i="1"/>
  <c r="Q11" i="1"/>
  <c r="V11" i="1"/>
  <c r="AB11" i="1"/>
  <c r="AC11" i="1"/>
  <c r="AD11" i="1"/>
  <c r="AE11" i="1"/>
  <c r="AG11" i="1"/>
  <c r="A15" i="1"/>
  <c r="D15" i="1"/>
  <c r="E15" i="1"/>
  <c r="F15" i="1"/>
  <c r="I15" i="1"/>
  <c r="J15" i="1"/>
  <c r="N15" i="1"/>
  <c r="O15" i="1"/>
  <c r="P15" i="1"/>
  <c r="Q15" i="1"/>
  <c r="V15" i="1"/>
  <c r="AB15" i="1"/>
  <c r="AC15" i="1"/>
  <c r="AD15" i="1"/>
  <c r="AE15" i="1"/>
  <c r="AG15" i="1"/>
  <c r="A16" i="1"/>
  <c r="D16" i="1"/>
  <c r="E16" i="1"/>
  <c r="F16" i="1"/>
  <c r="I16" i="1"/>
  <c r="J16" i="1"/>
  <c r="M16" i="1"/>
  <c r="N16" i="1"/>
  <c r="O16" i="1"/>
  <c r="P16" i="1"/>
  <c r="Q16" i="1"/>
  <c r="V16" i="1"/>
  <c r="AB16" i="1"/>
  <c r="AC16" i="1"/>
  <c r="AD16" i="1"/>
  <c r="AE16" i="1"/>
  <c r="AG16" i="1"/>
  <c r="A17" i="1"/>
  <c r="D17" i="1"/>
  <c r="E17" i="1"/>
  <c r="F17" i="1"/>
  <c r="I17" i="1"/>
  <c r="J17" i="1"/>
  <c r="M17" i="1"/>
  <c r="N17" i="1"/>
  <c r="O17" i="1"/>
  <c r="P17" i="1"/>
  <c r="Q17" i="1"/>
  <c r="V17" i="1"/>
  <c r="AB17" i="1"/>
  <c r="AC17" i="1"/>
  <c r="AD17" i="1"/>
  <c r="AE17" i="1"/>
  <c r="AG17" i="1"/>
  <c r="AA18" i="1"/>
  <c r="A18" i="1"/>
  <c r="D18" i="1"/>
  <c r="E18" i="1"/>
  <c r="F18" i="1"/>
  <c r="I18" i="1"/>
  <c r="J18" i="1"/>
  <c r="M18" i="1"/>
  <c r="N18" i="1"/>
  <c r="O18" i="1"/>
  <c r="P18" i="1"/>
  <c r="Q18" i="1"/>
  <c r="V18" i="1"/>
  <c r="AB18" i="1"/>
  <c r="AC18" i="1"/>
  <c r="AD18" i="1"/>
  <c r="AE18" i="1"/>
  <c r="AG18" i="1"/>
  <c r="A21" i="1"/>
  <c r="D21" i="1"/>
  <c r="E21" i="1"/>
  <c r="F21" i="1"/>
  <c r="I21" i="1"/>
  <c r="J21" i="1"/>
  <c r="M21" i="1"/>
  <c r="N21" i="1"/>
  <c r="O21" i="1"/>
  <c r="P21" i="1"/>
  <c r="Q21" i="1"/>
  <c r="V21" i="1"/>
  <c r="AB21" i="1"/>
  <c r="AC21" i="1"/>
  <c r="AD21" i="1"/>
  <c r="AE21" i="1"/>
  <c r="AG21" i="1"/>
  <c r="AA22" i="1"/>
  <c r="A22" i="1"/>
  <c r="D22" i="1"/>
  <c r="E22" i="1"/>
  <c r="F22" i="1"/>
  <c r="I22" i="1"/>
  <c r="J22" i="1"/>
  <c r="M22" i="1"/>
  <c r="N22" i="1"/>
  <c r="O22" i="1"/>
  <c r="P22" i="1"/>
  <c r="Q22" i="1"/>
  <c r="V22" i="1"/>
  <c r="AB22" i="1"/>
  <c r="AC22" i="1"/>
  <c r="AD22" i="1"/>
  <c r="AE22" i="1"/>
  <c r="AG22" i="1"/>
  <c r="D28" i="1"/>
  <c r="E28" i="1"/>
  <c r="F28" i="1"/>
  <c r="I28" i="1"/>
  <c r="J28" i="1"/>
  <c r="M28" i="1"/>
  <c r="N28" i="1"/>
  <c r="O28" i="1"/>
  <c r="P28" i="1"/>
  <c r="Q28" i="1"/>
  <c r="V28" i="1"/>
  <c r="AB28" i="1"/>
  <c r="AC28" i="1"/>
  <c r="AD28" i="1"/>
  <c r="AE28" i="1"/>
  <c r="AG28" i="1"/>
  <c r="A29" i="1"/>
  <c r="D29" i="1"/>
  <c r="E29" i="1"/>
  <c r="F29" i="1"/>
  <c r="I29" i="1"/>
  <c r="J29" i="1"/>
  <c r="M29" i="1"/>
  <c r="N29" i="1"/>
  <c r="O29" i="1"/>
  <c r="P29" i="1"/>
  <c r="Q29" i="1"/>
  <c r="V29" i="1"/>
  <c r="AB29" i="1"/>
  <c r="AC29" i="1"/>
  <c r="AD29" i="1"/>
  <c r="AE29" i="1"/>
  <c r="AG29" i="1"/>
  <c r="A30" i="1"/>
  <c r="D30" i="1"/>
  <c r="E30" i="1"/>
  <c r="F30" i="1"/>
  <c r="I30" i="1"/>
  <c r="J30" i="1"/>
  <c r="M30" i="1"/>
  <c r="N30" i="1"/>
  <c r="O30" i="1"/>
  <c r="P30" i="1"/>
  <c r="Q30" i="1"/>
  <c r="V30" i="1"/>
  <c r="AB30" i="1"/>
  <c r="AC30" i="1"/>
  <c r="AD30" i="1"/>
  <c r="AE30" i="1"/>
  <c r="AG30" i="1"/>
  <c r="A31" i="1"/>
  <c r="D31" i="1"/>
  <c r="E31" i="1"/>
  <c r="F31" i="1"/>
  <c r="I31" i="1"/>
  <c r="J31" i="1"/>
  <c r="M31" i="1"/>
  <c r="O31" i="1"/>
  <c r="P31" i="1"/>
  <c r="Q31" i="1"/>
  <c r="V31" i="1"/>
  <c r="AB31" i="1"/>
  <c r="AC31" i="1"/>
  <c r="AD31" i="1"/>
  <c r="AE31" i="1"/>
  <c r="AG31" i="1"/>
  <c r="A32" i="1"/>
  <c r="D32" i="1"/>
  <c r="E32" i="1"/>
  <c r="F32" i="1"/>
  <c r="I32" i="1"/>
  <c r="J32" i="1"/>
  <c r="M32" i="1"/>
  <c r="N32" i="1"/>
  <c r="O32" i="1"/>
  <c r="P32" i="1"/>
  <c r="Q32" i="1"/>
  <c r="V32" i="1"/>
  <c r="AB32" i="1"/>
  <c r="AC32" i="1"/>
  <c r="AD32" i="1"/>
  <c r="AE32" i="1"/>
  <c r="AG32" i="1"/>
  <c r="AA35" i="1"/>
  <c r="A35" i="1"/>
  <c r="D35" i="1"/>
  <c r="E35" i="1"/>
  <c r="F35" i="1"/>
  <c r="I35" i="1"/>
  <c r="J35" i="1"/>
  <c r="M35" i="1"/>
  <c r="N35" i="1"/>
  <c r="O35" i="1"/>
  <c r="P35" i="1"/>
  <c r="Q35" i="1"/>
  <c r="V35" i="1"/>
  <c r="AB35" i="1"/>
  <c r="AC35" i="1"/>
  <c r="AD35" i="1"/>
  <c r="AE35" i="1"/>
  <c r="AG35" i="1"/>
  <c r="A36" i="1"/>
  <c r="D36" i="1"/>
  <c r="E36" i="1"/>
  <c r="F36" i="1"/>
  <c r="I36" i="1"/>
  <c r="J36" i="1"/>
  <c r="M36" i="1"/>
  <c r="N36" i="1"/>
  <c r="O36" i="1"/>
  <c r="P36" i="1"/>
  <c r="Q36" i="1"/>
  <c r="V36" i="1"/>
  <c r="AB36" i="1"/>
  <c r="AC36" i="1"/>
  <c r="AD36" i="1"/>
  <c r="AE36" i="1"/>
  <c r="AG36" i="1"/>
  <c r="A37" i="1"/>
  <c r="D37" i="1"/>
  <c r="E37" i="1"/>
  <c r="F37" i="1"/>
  <c r="I37" i="1"/>
  <c r="J37" i="1"/>
  <c r="M37" i="1"/>
  <c r="N37" i="1"/>
  <c r="O37" i="1"/>
  <c r="P37" i="1"/>
  <c r="Q37" i="1"/>
  <c r="V37" i="1"/>
  <c r="AB37" i="1"/>
  <c r="AC37" i="1"/>
  <c r="AD37" i="1"/>
  <c r="AE37" i="1"/>
  <c r="AG37" i="1"/>
  <c r="AA38" i="1"/>
  <c r="A38" i="1"/>
  <c r="D38" i="1"/>
  <c r="E38" i="1"/>
  <c r="F38" i="1"/>
  <c r="I38" i="1"/>
  <c r="J38" i="1"/>
  <c r="M38" i="1"/>
  <c r="N38" i="1"/>
  <c r="O38" i="1"/>
  <c r="P38" i="1"/>
  <c r="Q38" i="1"/>
  <c r="V38" i="1"/>
  <c r="AB38" i="1"/>
  <c r="AC38" i="1"/>
  <c r="AD38" i="1"/>
  <c r="AE38" i="1"/>
  <c r="AG38" i="1"/>
  <c r="A40" i="1"/>
  <c r="D40" i="1"/>
  <c r="E40" i="1"/>
  <c r="F40" i="1"/>
  <c r="I40" i="1"/>
  <c r="J40" i="1"/>
  <c r="M40" i="1"/>
  <c r="N40" i="1"/>
  <c r="O40" i="1"/>
  <c r="P40" i="1"/>
  <c r="Q40" i="1"/>
  <c r="V40" i="1"/>
  <c r="AB40" i="1"/>
  <c r="AC40" i="1"/>
  <c r="AD40" i="1"/>
  <c r="AE40" i="1"/>
  <c r="AG40" i="1"/>
  <c r="AA41" i="1"/>
  <c r="A41" i="1"/>
  <c r="D41" i="1"/>
  <c r="E41" i="1"/>
  <c r="F41" i="1"/>
  <c r="I41" i="1"/>
  <c r="J41" i="1"/>
  <c r="N41" i="1"/>
  <c r="O41" i="1"/>
  <c r="P41" i="1"/>
  <c r="Q41" i="1"/>
  <c r="V41" i="1"/>
  <c r="AB41" i="1"/>
  <c r="AC41" i="1"/>
  <c r="AD41" i="1"/>
  <c r="AE41" i="1"/>
  <c r="AG41" i="1"/>
  <c r="AA44" i="1"/>
  <c r="A44" i="1"/>
  <c r="D44" i="1"/>
  <c r="E44" i="1"/>
  <c r="F44" i="1"/>
  <c r="I44" i="1"/>
  <c r="J44" i="1"/>
  <c r="M44" i="1"/>
  <c r="N44" i="1"/>
  <c r="O44" i="1"/>
  <c r="P44" i="1"/>
  <c r="Q44" i="1"/>
  <c r="V44" i="1"/>
  <c r="AB44" i="1"/>
  <c r="AC44" i="1"/>
  <c r="AD44" i="1"/>
  <c r="AE44" i="1"/>
  <c r="AG44" i="1"/>
  <c r="AA48" i="1"/>
  <c r="A48" i="1"/>
  <c r="D48" i="1"/>
  <c r="E48" i="1"/>
  <c r="F48" i="1"/>
  <c r="I48" i="1"/>
  <c r="J48" i="1"/>
  <c r="M48" i="1"/>
  <c r="N48" i="1"/>
  <c r="O48" i="1"/>
  <c r="P48" i="1"/>
  <c r="Q48" i="1"/>
  <c r="V48" i="1"/>
  <c r="AB48" i="1"/>
  <c r="AC48" i="1"/>
  <c r="AD48" i="1"/>
  <c r="AE48" i="1"/>
  <c r="AG48" i="1"/>
  <c r="B3" i="2"/>
  <c r="H3" i="2"/>
  <c r="B5" i="2"/>
  <c r="D5" i="2"/>
  <c r="E5" i="2"/>
  <c r="H5" i="2"/>
  <c r="B6" i="2"/>
  <c r="D6" i="2"/>
  <c r="E6" i="2"/>
  <c r="H6" i="2"/>
  <c r="B7" i="2"/>
  <c r="D7" i="2"/>
  <c r="E7" i="2"/>
  <c r="H7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B14" i="2"/>
  <c r="D14" i="2"/>
  <c r="E14" i="2"/>
  <c r="H14" i="2"/>
  <c r="B15" i="2"/>
  <c r="D15" i="2"/>
  <c r="E15" i="2"/>
  <c r="H15" i="2"/>
  <c r="B16" i="2"/>
  <c r="D16" i="2"/>
  <c r="E16" i="2"/>
  <c r="H16" i="2"/>
  <c r="B17" i="2"/>
  <c r="D17" i="2"/>
  <c r="E17" i="2"/>
  <c r="H17" i="2"/>
  <c r="B18" i="2"/>
  <c r="D18" i="2"/>
  <c r="E18" i="2"/>
  <c r="H18" i="2"/>
  <c r="C12" i="16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AA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<sst xmlns="http://schemas.openxmlformats.org/spreadsheetml/2006/main" count="1169" uniqueCount="428">
  <si>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</si>
  <si>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</si>
  <si>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</si>
  <si>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</si>
  <si>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</si>
  <si>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</si>
  <si>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</si>
  <si>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</si>
  <si>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</si>
  <si>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</si>
  <si>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</si>
  <si>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</si>
  <si>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</si>
  <si>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</si>
  <si>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</si>
  <si>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</si>
  <si>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</si>
  <si>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</si>
  <si>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</si>
  <si>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</si>
  <si>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</si>
  <si>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</si>
  <si>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</si>
  <si>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</si>
  <si>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</si>
  <si>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</si>
  <si>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</si>
  <si>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</si>
  <si>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</si>
  <si>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</si>
  <si>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</si>
  <si>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</si>
  <si>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</si>
  <si>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</si>
  <si>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</si>
  <si>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</si>
  <si>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</si>
  <si>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</si>
  <si>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</si>
  <si>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</si>
  <si>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</si>
  <si>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</si>
  <si>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</si>
  <si>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</si>
  <si>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</si>
  <si>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</si>
  <si>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</si>
  <si>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</si>
  <si>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</si>
  <si>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</si>
  <si>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</si>
  <si>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</si>
  <si>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</si>
  <si>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</si>
  <si>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</si>
  <si>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</si>
  <si>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</si>
  <si>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</si>
  <si>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</si>
  <si>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</si>
  <si>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</si>
  <si>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</si>
  <si>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</si>
  <si>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</si>
  <si>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</si>
  <si>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</si>
  <si>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</si>
  <si>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</si>
  <si>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</si>
  <si>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</si>
  <si>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</si>
  <si>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</si>
  <si>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</si>
  <si>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</si>
  <si>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</si>
  <si>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</si>
  <si>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</si>
  <si>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</si>
  <si>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</si>
  <si>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</si>
  <si>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</si>
  <si>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</si>
  <si>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</si>
  <si>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</si>
  <si>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</si>
  <si>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</si>
  <si>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</si>
  <si>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</si>
  <si>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</si>
  <si>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null</t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</si>
  <si>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</si>
  <si>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</si>
  <si>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</si>
  <si>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</si>
  <si>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</si>
  <si>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</si>
  <si>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</si>
  <si>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</si>
  <si>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</si>
  <si>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</si>
  <si>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</si>
  <si>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</si>
  <si>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</si>
  <si>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</si>
  <si>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</si>
  <si>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</si>
  <si>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</si>
  <si>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</si>
  <si>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</si>
  <si>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</si>
  <si>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</si>
  <si>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</si>
  <si>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</si>
  <si>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</si>
  <si>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</si>
  <si>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</si>
  <si>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</si>
  <si>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</si>
  <si>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</si>
  <si>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</si>
  <si>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</si>
  <si>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</si>
  <si>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</si>
  <si>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</si>
  <si>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</si>
  <si>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</si>
  <si>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</si>
  <si>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</si>
  <si>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</si>
  <si>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</si>
  <si>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</si>
  <si>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</si>
  <si>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</si>
  <si>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</si>
  <si>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</si>
  <si>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</si>
  <si>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</si>
  <si>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</si>
  <si>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</si>
  <si>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</si>
  <si>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</si>
  <si>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</si>
  <si>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</si>
  <si>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</si>
  <si>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</si>
  <si>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</si>
  <si>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</si>
  <si>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</si>
  <si>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</si>
  <si>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</si>
  <si>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</si>
  <si>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</si>
  <si>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</si>
  <si>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</si>
  <si>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</si>
  <si>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</si>
  <si>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</si>
  <si>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</si>
  <si>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</si>
  <si>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</si>
  <si>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</si>
  <si>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</si>
  <si>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</si>
  <si>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</si>
  <si>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</si>
  <si>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</si>
  <si>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</si>
  <si>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</si>
  <si>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</si>
  <si>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</si>
  <si>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</si>
  <si>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</si>
  <si>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</si>
  <si>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</si>
  <si>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</si>
  <si>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</si>
  <si>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</si>
  <si>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</si>
  <si>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</si>
  <si>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</si>
  <si>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</si>
  <si>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</si>
  <si>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</si>
  <si>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</si>
  <si>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</si>
  <si>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</si>
  <si>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</si>
  <si>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</si>
  <si>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</si>
  <si>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</si>
  <si>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</si>
  <si>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</si>
  <si>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</si>
  <si>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</si>
  <si>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</si>
  <si>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</si>
  <si>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</si>
  <si>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</si>
  <si>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</si>
  <si>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</si>
  <si>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</si>
  <si>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</si>
  <si>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</si>
  <si>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</si>
  <si>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</si>
  <si>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</si>
  <si>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</si>
  <si>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</si>
  <si>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</si>
  <si>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</si>
  <si>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stage_hints_failure</t>
    <phoneticPr fontId="6"/>
  </si>
  <si>
    <t>stage_hints_failure</t>
    <phoneticPr fontId="6"/>
  </si>
  <si>
    <t>old</t>
    <phoneticPr fontId="6"/>
  </si>
  <si>
    <t>null</t>
    <phoneticPr fontId="6"/>
  </si>
  <si>
    <t>[effect:degrade_unit, target:unit_all, turn:2, status:attack, val:0.5]</t>
    <phoneticPr fontId="6"/>
  </si>
  <si>
    <t>2ターン攻撃力が50%DOWN</t>
    <phoneticPr fontId="6"/>
  </si>
  <si>
    <t>回復</t>
    <rPh sb="0" eb="2">
      <t>カ</t>
    </rPh>
    <phoneticPr fontId="6"/>
  </si>
  <si>
    <t>null</t>
    <phoneticPr fontId="6"/>
  </si>
  <si>
    <t>null</t>
    <phoneticPr fontId="6"/>
  </si>
  <si>
    <t>全体攻撃</t>
    <phoneticPr fontId="6"/>
  </si>
  <si>
    <t>[effect:hungup, target:unit_all, turn:3, rate:1, animation:hungup01]</t>
    <phoneticPr fontId="6"/>
  </si>
  <si>
    <t>3ターンスキルが使えない！</t>
    <phoneticPr fontId="6"/>
  </si>
  <si>
    <t>4ターンハートパネルで回復できない！</t>
    <phoneticPr fontId="6"/>
  </si>
  <si>
    <t>[effect:dis_heart, turn:4, animation:enemy_dis_heart]</t>
    <phoneticPr fontId="6"/>
  </si>
  <si>
    <t>null</t>
    <phoneticPr fontId="6"/>
  </si>
  <si>
    <t>null</t>
    <phoneticPr fontId="6"/>
  </si>
  <si>
    <t xml:space="preserve"> </t>
    <phoneticPr fontId="6"/>
  </si>
  <si>
    <t>[effect:enhance_enemy, target:enemy_all, turn:3, status:attack, val:1, animation:enemy_enhance_attack],[effect:freq_turn, target:enemy_all, turn:3, val:1, animation:enemy_freq_turn]</t>
    <phoneticPr fontId="6"/>
  </si>
  <si>
    <t>8回連続攻撃</t>
    <phoneticPr fontId="6"/>
  </si>
  <si>
    <t>[effect:rush, count:4, val:0.3]</t>
    <phoneticPr fontId="6"/>
  </si>
  <si>
    <t>4回連続攻撃</t>
    <phoneticPr fontId="6"/>
  </si>
  <si>
    <t>null</t>
    <phoneticPr fontId="6"/>
  </si>
  <si>
    <t>null</t>
    <phoneticPr fontId="6"/>
  </si>
  <si>
    <t>null</t>
    <phoneticPr fontId="6"/>
  </si>
  <si>
    <t>行動頻度がUP</t>
    <rPh sb="0" eb="2">
      <t>コウド</t>
    </rPh>
    <rPh sb="2" eb="5">
      <t>コウゲk</t>
    </rPh>
    <phoneticPr fontId="6"/>
  </si>
  <si>
    <t>次ターンにこちらへと襲いかかってくる！</t>
    <rPh sb="0" eb="5">
      <t>ジターン</t>
    </rPh>
    <rPh sb="10" eb="18">
      <t>オs</t>
    </rPh>
    <phoneticPr fontId="6"/>
  </si>
  <si>
    <t>[effect:freq_turn, target:myself, turn:1, val:1, animation:enemy_freq_turn]</t>
    <phoneticPr fontId="6"/>
  </si>
  <si>
    <t>null</t>
    <phoneticPr fontId="6"/>
  </si>
  <si>
    <t>[effect:heal, target:myself, val:0.3, animation:enemy_heal]</t>
    <phoneticPr fontId="6"/>
  </si>
  <si>
    <t>[effect:spread, val:0.3]</t>
    <phoneticPr fontId="6"/>
  </si>
  <si>
    <t>全体攻撃</t>
    <rPh sb="0" eb="4">
      <t>ゼン</t>
    </rPh>
    <phoneticPr fontId="6"/>
  </si>
  <si>
    <t>固定ダメージ</t>
    <rPh sb="0" eb="6">
      <t>コテ</t>
    </rPh>
    <phoneticPr fontId="6"/>
  </si>
  <si>
    <t>攻撃力×1.5倍の攻撃</t>
    <phoneticPr fontId="6"/>
  </si>
  <si>
    <t>[effect:rush, count:3, val:0.4]</t>
    <phoneticPr fontId="6"/>
  </si>
  <si>
    <t>3回連続攻撃</t>
    <phoneticPr fontId="6"/>
  </si>
  <si>
    <t>[effect:freq_turn, target:enemy_all, turn:-1, val:1, animation:enemy_freq_turn]</t>
    <phoneticPr fontId="6"/>
  </si>
  <si>
    <t>敵全体の行動頻度がUP</t>
    <rPh sb="0" eb="4">
      <t>テk</t>
    </rPh>
    <rPh sb="4" eb="9">
      <t>コウド</t>
    </rPh>
    <phoneticPr fontId="6"/>
  </si>
  <si>
    <t>3ターン敵の攻撃力と攻撃頻度がUP</t>
    <rPh sb="4" eb="6">
      <t>テk</t>
    </rPh>
    <phoneticPr fontId="6"/>
  </si>
  <si>
    <t>Code：『Explosion 's art』</t>
    <phoneticPr fontId="6"/>
  </si>
  <si>
    <t>地雷を持って突進してきている！</t>
    <rPh sb="0" eb="6">
      <t>ジラ</t>
    </rPh>
    <rPh sb="6" eb="14">
      <t>トッシン</t>
    </rPh>
    <phoneticPr fontId="6"/>
  </si>
  <si>
    <t>[effect:kamikaze, val:10.0]</t>
    <phoneticPr fontId="6"/>
  </si>
  <si>
    <t>[effect:nothing]</t>
    <phoneticPr fontId="6"/>
  </si>
  <si>
    <t>[effect:nothing]</t>
    <phoneticPr fontId="6"/>
  </si>
  <si>
    <t>[effect:critical, val:1.5]</t>
    <phoneticPr fontId="6"/>
  </si>
  <si>
    <t>[effect:damage_anti_tribe, target:unit_all, tribe:human, val1:2.0, val2:0.1]</t>
    <phoneticPr fontId="6"/>
  </si>
  <si>
    <t>[effect:rush, count:2, val:0.5],[effect:enhance_enemy, target:myself, turn:3, status:attack, val:0.34, animation:enemy_enhance_attack],[effect:enhance_enemy, target:myself, turn:3, status:defense, val:1400, calc:add, animation:enemy_enhance_defense]</t>
    <phoneticPr fontId="6"/>
  </si>
  <si>
    <t>[effect:rush, count:2, val:0.5],[effect:enhance_enemy, target:myself, turn:3, status:attack, val:0.51, animation:enemy_enhance_attack],[effect:enhance_enemy, target:myself, turn:3, status:defense, val:2100, calc:add, animation:enemy_enhance_defense]</t>
    <phoneticPr fontId="6"/>
  </si>
  <si>
    <t>[effect:rush, count:2, val:0.5],[effect:enhance_enemy, target:myself, turn:3, status:attack, val:0.85, animation:enemy_enhance_attack],[effect:enhance_enemy, target:myself, turn:3, status:defense, val:3500, calc:add, animation:enemy_enhance_defense]</t>
    <phoneticPr fontId="6"/>
  </si>
  <si>
    <t>[effect:rush, count:2, val:0.5],[effect:enhance_enemy, target:myself, turn:3, status:attack, val:1.02, animation:enemy_enhance_attack],[effect:enhance_enemy, target:myself, turn:3, status:defense, val:4200, calc:add, animation:enemy_enhance_defense]</t>
    <phoneticPr fontId="6"/>
  </si>
  <si>
    <t>10回連続攻撃+強力な飛び蹴りで追い打ち</t>
    <rPh sb="2" eb="3">
      <t>カ</t>
    </rPh>
    <rPh sb="3" eb="7">
      <t>レンゾクコウゲキ</t>
    </rPh>
    <rPh sb="8" eb="10">
      <t>kyouryokuンa</t>
    </rPh>
    <rPh sb="10" eb="16">
      <t>キョ</t>
    </rPh>
    <rPh sb="16" eb="17">
      <t>オ</t>
    </rPh>
    <rPh sb="18" eb="20">
      <t>ウt</t>
    </rPh>
    <phoneticPr fontId="6"/>
  </si>
  <si>
    <t>[effect:invalidate_change_block, target:unit_all, block_type01:crash, block_type02:crack_bomb, turn:3, animation:panel_conversion_off]</t>
    <phoneticPr fontId="6"/>
  </si>
  <si>
    <t>3ターンCパネル＆ボムパネル変換無効</t>
    <rPh sb="14" eb="16">
      <t>ヘンk</t>
    </rPh>
    <rPh sb="16" eb="18">
      <t>ムコ</t>
    </rPh>
    <phoneticPr fontId="6"/>
  </si>
  <si>
    <t>辺りに人間が居ないか探しているようだ</t>
    <rPh sb="0" eb="1">
      <t>アタ</t>
    </rPh>
    <rPh sb="3" eb="6">
      <t>ニンゲン</t>
    </rPh>
    <rPh sb="6" eb="7">
      <t>イ</t>
    </rPh>
    <rPh sb="10" eb="18">
      <t>サガs</t>
    </rPh>
    <phoneticPr fontId="6"/>
  </si>
  <si>
    <t>バースト・インフェルノ</t>
    <phoneticPr fontId="6"/>
  </si>
  <si>
    <t>現場急行</t>
    <rPh sb="0" eb="4">
      <t>ゲンバキュウk</t>
    </rPh>
    <phoneticPr fontId="6"/>
  </si>
  <si>
    <t>目標捕捉</t>
    <rPh sb="0" eb="2">
      <t>モクヒョ</t>
    </rPh>
    <rPh sb="2" eb="4">
      <t>ホソク</t>
    </rPh>
    <phoneticPr fontId="6"/>
  </si>
  <si>
    <t>妖しく微笑んでいる</t>
    <rPh sb="0" eb="3">
      <t>アヤs</t>
    </rPh>
    <rPh sb="3" eb="9">
      <t>ホホエン</t>
    </rPh>
    <phoneticPr fontId="6"/>
  </si>
  <si>
    <t>標的に狙いを定めた</t>
    <rPh sb="0" eb="2">
      <t>ヒョ</t>
    </rPh>
    <rPh sb="3" eb="4">
      <t>ネラ</t>
    </rPh>
    <rPh sb="6" eb="9">
      <t>サダm</t>
    </rPh>
    <phoneticPr fontId="6"/>
  </si>
  <si>
    <t>ライアー・ドリーム</t>
    <phoneticPr fontId="6"/>
  </si>
  <si>
    <t>[effect:rush, count:2, val:0.5],[effect:enhance_enemy, target:myself, turn:3, status:attack, val:0.68, animation:enemy_enhance_attack],[effect:enhance_enemy, target:myself, turn:3, status:defense, val:2800, calc:add, animation:enemy_enhance_defense]</t>
    <phoneticPr fontId="6"/>
  </si>
  <si>
    <t>ヒーリング・グラフィティ</t>
    <phoneticPr fontId="6"/>
  </si>
  <si>
    <t>[effect:freq_turn, target:myself, turn:-1, val:1, animation:enemy_freq_turn]</t>
    <phoneticPr fontId="6"/>
  </si>
  <si>
    <t>スターマイン</t>
    <phoneticPr fontId="6"/>
  </si>
  <si>
    <t>ブレイブリーチアリング</t>
    <phoneticPr fontId="6"/>
  </si>
  <si>
    <t>[effect:break_attack, val:0.12, lowest_val:1000, count:10, block:block_red, target:unit_one]</t>
    <phoneticPr fontId="6"/>
  </si>
  <si>
    <t>邪心浄化</t>
    <rPh sb="0" eb="2">
      <t>ジャシン</t>
    </rPh>
    <rPh sb="2" eb="4">
      <t>ジャシン</t>
    </rPh>
    <phoneticPr fontId="6"/>
  </si>
  <si>
    <t>邪魂葬送</t>
    <rPh sb="0" eb="2">
      <t>ジャk</t>
    </rPh>
    <rPh sb="2" eb="4">
      <t>ソウソ</t>
    </rPh>
    <phoneticPr fontId="6"/>
  </si>
  <si>
    <t>[effect:remove_enhancement, target:enemy_all, target_effect:all],[effect:spread, val:0.3]</t>
    <phoneticPr fontId="6"/>
  </si>
  <si>
    <t>マルチターゲット</t>
    <phoneticPr fontId="6"/>
  </si>
  <si>
    <t>null</t>
    <phoneticPr fontId="6"/>
  </si>
  <si>
    <t>null</t>
    <phoneticPr fontId="6"/>
  </si>
  <si>
    <t>null</t>
    <phoneticPr fontId="6"/>
  </si>
  <si>
    <t>フライングコープス</t>
    <phoneticPr fontId="6"/>
  </si>
  <si>
    <t>ストームブリンガー</t>
    <phoneticPr fontId="6"/>
  </si>
  <si>
    <t>スカルクラッシュ</t>
    <phoneticPr fontId="6"/>
  </si>
  <si>
    <t>[effect:enhance_enemy, target:enemy_green, turn:3, status:attack, val:0.2, animation:enemy_enhance_attack]</t>
    <phoneticPr fontId="6"/>
  </si>
  <si>
    <t>[effect:critical, val:1.5]</t>
    <phoneticPr fontId="6"/>
  </si>
  <si>
    <t>[effect:critical, val:1.5]</t>
    <phoneticPr fontId="6"/>
  </si>
  <si>
    <t>攻撃力×1.5倍の攻撃</t>
    <phoneticPr fontId="6"/>
  </si>
  <si>
    <t>攻撃力×1.5倍の攻撃</t>
    <phoneticPr fontId="6"/>
  </si>
  <si>
    <t>null</t>
    <phoneticPr fontId="6"/>
  </si>
  <si>
    <t>2回連続の全体攻撃</t>
    <rPh sb="0" eb="2">
      <t>ニカイブン</t>
    </rPh>
    <rPh sb="2" eb="4">
      <t>レンゾク</t>
    </rPh>
    <rPh sb="5" eb="9">
      <t>ゼン</t>
    </rPh>
    <phoneticPr fontId="6"/>
  </si>
  <si>
    <t>風起こし</t>
    <rPh sb="0" eb="2">
      <t>カゼオ</t>
    </rPh>
    <phoneticPr fontId="6"/>
  </si>
  <si>
    <t>回復封じ</t>
    <rPh sb="0" eb="4">
      <t>カ</t>
    </rPh>
    <phoneticPr fontId="6"/>
  </si>
  <si>
    <t>火遊び</t>
    <rPh sb="0" eb="3">
      <t>ヒアソb</t>
    </rPh>
    <phoneticPr fontId="6"/>
  </si>
  <si>
    <t>超必！</t>
    <rPh sb="0" eb="1">
      <t>チョ</t>
    </rPh>
    <rPh sb="1" eb="2">
      <t>ヒツ</t>
    </rPh>
    <phoneticPr fontId="6"/>
  </si>
  <si>
    <t>封印</t>
    <rPh sb="0" eb="2">
      <t>フ</t>
    </rPh>
    <phoneticPr fontId="6"/>
  </si>
  <si>
    <t>八つ当たり</t>
    <rPh sb="0" eb="1">
      <t>ヤ</t>
    </rPh>
    <rPh sb="2" eb="5">
      <t>アタr</t>
    </rPh>
    <phoneticPr fontId="6"/>
  </si>
  <si>
    <t>エメラルド・バレット</t>
    <phoneticPr fontId="6"/>
  </si>
  <si>
    <t>[effect:invalidate_change_block, target:unit_all, block_type01:block_all, turn:4, animation:panel_conversion_off]</t>
    <phoneticPr fontId="6"/>
  </si>
  <si>
    <t>4ターンパネル変換が行えない！</t>
    <rPh sb="7" eb="10">
      <t>ヘンカンg</t>
    </rPh>
    <rPh sb="10" eb="14">
      <t>オコナエン</t>
    </rPh>
    <phoneticPr fontId="6"/>
  </si>
  <si>
    <t>音偽話</t>
    <rPh sb="0" eb="2">
      <t>オt</t>
    </rPh>
    <rPh sb="2" eb="3">
      <t>ハン</t>
    </rPh>
    <phoneticPr fontId="6"/>
  </si>
  <si>
    <t>風葬曲</t>
    <rPh sb="0" eb="1">
      <t>フ</t>
    </rPh>
    <rPh sb="1" eb="3">
      <t>カs</t>
    </rPh>
    <phoneticPr fontId="6"/>
  </si>
  <si>
    <t>[effect:dis_panel, target:block_green, turn:-1, animation:enemy_dis_green]</t>
    <phoneticPr fontId="6"/>
  </si>
  <si>
    <t>[effect:break_attack, val:0.05, lowest_val:0.05, count:-1, block:block_green, target:unit_all],[effect:damage_anti_color, target:unit_all, color:green, val1:2, val2:0.1]</t>
    <phoneticPr fontId="6"/>
  </si>
  <si>
    <t>全体攻撃&amp;全ユニット2ターン攻撃力DOWN</t>
    <rPh sb="0" eb="4">
      <t>ゼン</t>
    </rPh>
    <rPh sb="5" eb="10">
      <t>ゼン</t>
    </rPh>
    <rPh sb="14" eb="17">
      <t>コウゲキry</t>
    </rPh>
    <phoneticPr fontId="6"/>
  </si>
  <si>
    <t>この戦闘の間緑パネルが使えない！</t>
    <phoneticPr fontId="6"/>
  </si>
  <si>
    <t>瞑想</t>
    <rPh sb="0" eb="2">
      <t>レン</t>
    </rPh>
    <phoneticPr fontId="6"/>
  </si>
  <si>
    <t>癒しの歌</t>
    <rPh sb="0" eb="4">
      <t>イヤs</t>
    </rPh>
    <phoneticPr fontId="6"/>
  </si>
  <si>
    <t>縛りの奏</t>
    <rPh sb="0" eb="4">
      <t>シバr</t>
    </rPh>
    <phoneticPr fontId="6"/>
  </si>
  <si>
    <t>切り裂く</t>
    <rPh sb="0" eb="1">
      <t>キ</t>
    </rPh>
    <rPh sb="2" eb="3">
      <t>サk</t>
    </rPh>
    <phoneticPr fontId="6"/>
  </si>
  <si>
    <t>夜魔王の目覚め</t>
    <rPh sb="0" eb="1">
      <t>ヨr</t>
    </rPh>
    <rPh sb="1" eb="7">
      <t>m</t>
    </rPh>
    <phoneticPr fontId="6"/>
  </si>
  <si>
    <t>エトワール・ド・ルミエール</t>
    <phoneticPr fontId="6"/>
  </si>
  <si>
    <t>竜骨の舞</t>
    <rPh sb="0" eb="4">
      <t>リュ</t>
    </rPh>
    <phoneticPr fontId="6"/>
  </si>
  <si>
    <t>崩拳</t>
    <rPh sb="0" eb="1">
      <t>ホウ</t>
    </rPh>
    <rPh sb="1" eb="2">
      <t>ケン</t>
    </rPh>
    <phoneticPr fontId="6"/>
  </si>
  <si>
    <t>思想投影</t>
    <rPh sb="0" eb="2">
      <t>シソ</t>
    </rPh>
    <rPh sb="2" eb="4">
      <t>トウエ</t>
    </rPh>
    <phoneticPr fontId="6"/>
  </si>
  <si>
    <t>カマイタチ</t>
    <phoneticPr fontId="6"/>
  </si>
  <si>
    <t>[effect:rush, count:8, val:0.3]</t>
    <phoneticPr fontId="6"/>
  </si>
  <si>
    <t>[effect:rush, count:2, val:0.5],[effect:change_block, new_block:block_green, target:block_all, count:12, val:0, animation:change_block]</t>
    <phoneticPr fontId="6"/>
  </si>
  <si>
    <t>誘惑の旋律</t>
    <rPh sb="0" eb="2">
      <t>ユウワk</t>
    </rPh>
    <rPh sb="3" eb="5">
      <t>センリt</t>
    </rPh>
    <phoneticPr fontId="6"/>
  </si>
  <si>
    <t>3ターンの間バハムートの攻撃力と防御力が大UP</t>
    <rPh sb="5" eb="6">
      <t>アイd</t>
    </rPh>
    <rPh sb="12" eb="20">
      <t>コウゲk</t>
    </rPh>
    <rPh sb="20" eb="21">
      <t>ダ</t>
    </rPh>
    <phoneticPr fontId="6"/>
  </si>
  <si>
    <t>ヒートブレス</t>
    <phoneticPr fontId="6"/>
  </si>
  <si>
    <t>メンテナンス</t>
    <phoneticPr fontId="6"/>
  </si>
  <si>
    <t>回復指令</t>
    <rPh sb="0" eb="4">
      <t>カ</t>
    </rPh>
    <phoneticPr fontId="6"/>
  </si>
  <si>
    <t>テイクオフ</t>
    <phoneticPr fontId="6"/>
  </si>
  <si>
    <t>セルフチューニング</t>
    <phoneticPr fontId="6"/>
  </si>
  <si>
    <t>[effect:spread, val:0.3]</t>
    <phoneticPr fontId="6"/>
  </si>
  <si>
    <t>[effect:heal, target:enemy_all, val:0.3, animation:enemy_heal]</t>
    <phoneticPr fontId="6"/>
  </si>
  <si>
    <t>Hビット</t>
    <phoneticPr fontId="6"/>
  </si>
  <si>
    <t>アルス・マグナ</t>
    <phoneticPr fontId="6"/>
  </si>
  <si>
    <t>[effect:sleep, target:unit_all, turn:2, rate:0.55, animation:sleep04]</t>
    <phoneticPr fontId="6"/>
  </si>
  <si>
    <t>ナイトメア・イリュージョン</t>
    <phoneticPr fontId="6"/>
  </si>
  <si>
    <t>うとうとしている・・・</t>
    <phoneticPr fontId="6"/>
  </si>
  <si>
    <t>[effect:heal, target:enemy_all, val:0.2, animation:enemy_heal],[effect:enhance_enemy, target:enemy_all, turn:1, status:defense, val:500, calc:add, animation:enemy_enhance_defense]</t>
    <phoneticPr fontId="6"/>
  </si>
  <si>
    <t>[effect:freq_turn, target:enemy_all, turn:1, val:1, animation:enemy_freq_turn],[effect:enhance_enemy, target:enemy_all, turn:1, status:attack, val:0.2, animation:enemy_enhance_attack]</t>
    <phoneticPr fontId="6"/>
  </si>
  <si>
    <t>規則ただしい寝息を立て始めた
　眠りはじめたようだ・・・</t>
    <rPh sb="0" eb="2">
      <t>キs</t>
    </rPh>
    <rPh sb="6" eb="8">
      <t>ネイk</t>
    </rPh>
    <rPh sb="9" eb="10">
      <t>タ</t>
    </rPh>
    <rPh sb="11" eb="14">
      <t>ハz</t>
    </rPh>
    <rPh sb="16" eb="25">
      <t>ネムッt</t>
    </rPh>
    <phoneticPr fontId="6"/>
  </si>
  <si>
    <t>[effect:spread, val:0.3],[effect:hungup, target:unit_all, turn:3, rate:0.55, animation:hungup01],[effect:suicide, val:1, dead_type:suicide, target:enemy_red, animation:enemy_suicide]</t>
    <phoneticPr fontId="6"/>
  </si>
  <si>
    <t>[effect:spread, val:0.15],[effect:spread, val:0.15],[effect:fix_speed, target:myself, turn:2]</t>
    <phoneticPr fontId="6"/>
  </si>
  <si>
    <t>[effect:virus, turn:-1, target:unit_all, rate:1, val:0.7, animation:enemy_virus],[effect:fix_speed, target:myself, turn:2]</t>
    <phoneticPr fontId="6"/>
  </si>
  <si>
    <t>[effect:sleep, target:enemy_green, turn:5, rate:1]</t>
    <phoneticPr fontId="6"/>
  </si>
  <si>
    <t>[effect:rush, count:5, val:0.24]</t>
    <phoneticPr fontId="6"/>
  </si>
  <si>
    <t>5回連続攻撃</t>
    <phoneticPr fontId="6"/>
  </si>
  <si>
    <t>[effect:enhance_enemy, target:enemy_red, turn:3, status:attack, val:0.5, animation:enemy_enhance_attack],[effect:enhance_enemy, target:enemy_red, turn:3, status:defense, val:3000, calc:add, animation:enemy_enhance_defense]</t>
    <phoneticPr fontId="6"/>
  </si>
  <si>
    <t>[effect:heal, target:enemy_all, val:0.3, animation:enemy_heal]</t>
    <phoneticPr fontId="6"/>
  </si>
  <si>
    <t>[effect:change_block, new_block:jammer, target:block_heart, count:14, val:0, animation:change_block]</t>
    <phoneticPr fontId="6"/>
  </si>
  <si>
    <t>[effect:break_heal_ratio, val:0.04, lowest_val:5000, count:10, block:block_heart, target:enemy_all, animation:enemy_heal]</t>
    <phoneticPr fontId="6"/>
  </si>
  <si>
    <t>威嚇射撃</t>
    <rPh sb="0" eb="4">
      <t>イカクシャg</t>
    </rPh>
    <phoneticPr fontId="6"/>
  </si>
  <si>
    <t>革命の弾圧</t>
    <rPh sb="0" eb="2">
      <t>カクメ</t>
    </rPh>
    <rPh sb="2" eb="3">
      <t>ハン</t>
    </rPh>
    <rPh sb="3" eb="5">
      <t>ダンアt</t>
    </rPh>
    <phoneticPr fontId="6"/>
  </si>
  <si>
    <t>[effect:damage_fix_absolute, target:unit_one, val:5555]</t>
    <phoneticPr fontId="6"/>
  </si>
  <si>
    <t>null</t>
    <phoneticPr fontId="6"/>
  </si>
  <si>
    <t>null</t>
    <phoneticPr fontId="6"/>
  </si>
  <si>
    <t>烈火拳</t>
    <rPh sb="0" eb="2">
      <t>レッk</t>
    </rPh>
    <rPh sb="2" eb="3">
      <t>ケン</t>
    </rPh>
    <phoneticPr fontId="6"/>
  </si>
  <si>
    <t>3回連続攻撃+かかと落としで追い打ち</t>
    <rPh sb="1" eb="6">
      <t>カ</t>
    </rPh>
    <rPh sb="10" eb="14">
      <t>オトs</t>
    </rPh>
    <rPh sb="14" eb="15">
      <t>オ</t>
    </rPh>
    <rPh sb="16" eb="18">
      <t>ウt</t>
    </rPh>
    <phoneticPr fontId="6"/>
  </si>
  <si>
    <t>[effect:rush, count:3, val:0.2],[effect:critical, val:1]</t>
    <phoneticPr fontId="6"/>
  </si>
  <si>
    <t>[effect:rush, count:10, val:0.1],[effect:damage_fix_absolute, target:unit_one, val:6666]</t>
    <phoneticPr fontId="6"/>
  </si>
  <si>
    <t>必殺！</t>
    <rPh sb="0" eb="2">
      <t>ヒッサツ</t>
    </rPh>
    <phoneticPr fontId="6"/>
  </si>
  <si>
    <t>[effect:spread, val:0.3],[effect:degrade_unit, target:unit_all, turn:2, status:attack, val:0.7, calc:mul]</t>
    <phoneticPr fontId="6"/>
  </si>
  <si>
    <t>[effect:rush, count:2, val:0.5],[effect:enhance_enemy, target:myself, turn:3, status:attack, val:0.17, animation:enemy_enhance_attack],[effect:enhance_enemy, target:myself, turn:3, status:defense, val:700, calc:add, animation:enemy_enhance_defense]</t>
    <phoneticPr fontId="6"/>
  </si>
  <si>
    <t>[effect:enhance_enemy, target:myself, turn:-1, status:defense, val:100000, calc:add, animation:enemy_enhance_defense]</t>
    <phoneticPr fontId="6"/>
  </si>
  <si>
    <t>Gビット</t>
    <phoneticPr fontId="6"/>
  </si>
  <si>
    <t>[effect:crash_condition, target:unit_all, val:12, turn:2, animation:enemy_crash_extend]</t>
    <phoneticPr fontId="6"/>
  </si>
  <si>
    <t>種族ヒューマンのユニットに大ダメージの全体攻撃</t>
    <phoneticPr fontId="6"/>
  </si>
  <si>
    <t>解除するまで毎ターンダメージを受ける！</t>
    <rPh sb="0" eb="6">
      <t>カ</t>
    </rPh>
    <rPh sb="6" eb="7">
      <t>マイ</t>
    </rPh>
    <rPh sb="15" eb="18">
      <t>ウk</t>
    </rPh>
    <phoneticPr fontId="6"/>
  </si>
  <si>
    <t>全体攻撃&amp;低確率でスキルバインド状態にする！</t>
    <rPh sb="5" eb="9">
      <t>テ</t>
    </rPh>
    <rPh sb="16" eb="19">
      <t>ジョ</t>
    </rPh>
    <phoneticPr fontId="6"/>
  </si>
  <si>
    <t>全てのユニットを一定確率で2ターンスリープ！</t>
    <phoneticPr fontId="6"/>
  </si>
  <si>
    <t>解除されるまで防御力究極UP</t>
    <rPh sb="7" eb="10">
      <t>ボウgy</t>
    </rPh>
    <rPh sb="10" eb="12">
      <t>キュ</t>
    </rPh>
    <phoneticPr fontId="6"/>
  </si>
  <si>
    <t>全体回復+1ターン防御力UP</t>
    <phoneticPr fontId="6"/>
  </si>
  <si>
    <t>全体の行動頻度UP&amp;1ターン攻撃力UP</t>
    <phoneticPr fontId="6"/>
  </si>
  <si>
    <t>ハートパネルを吸収して回復</t>
    <phoneticPr fontId="6"/>
  </si>
  <si>
    <t>全てのスキル効果を解除&amp;全体攻撃</t>
    <phoneticPr fontId="6"/>
  </si>
  <si>
    <t>ハートパネルを14個お邪魔パネルに変える！</t>
    <rPh sb="9" eb="10">
      <t>コ</t>
    </rPh>
    <rPh sb="11" eb="16">
      <t>ジャm</t>
    </rPh>
    <rPh sb="17" eb="20">
      <t>カ</t>
    </rPh>
    <phoneticPr fontId="6"/>
  </si>
  <si>
    <t>2連続攻撃&amp;ランダムなパネルを12個緑パネルに変える！</t>
    <phoneticPr fontId="6"/>
  </si>
  <si>
    <t>3ターン緑属性の攻撃力UP</t>
    <phoneticPr fontId="6"/>
  </si>
  <si>
    <t>[effect:heal, target:enemy_all, val:0.2, animation:enemy_heal]</t>
    <phoneticPr fontId="6"/>
  </si>
  <si>
    <t>ja</t>
    <phoneticPr fontId="6"/>
  </si>
  <si>
    <t>[effect:break_attack, val:0.03, lowest_val:0.05, count:20, block:block_green, target:unit_all]</t>
    <phoneticPr fontId="6"/>
  </si>
  <si>
    <t>まずは敵の数を減らしましょう</t>
    <rPh sb="3" eb="4">
      <t>テキ</t>
    </rPh>
    <rPh sb="5" eb="6">
      <t>カズ</t>
    </rPh>
    <rPh sb="7" eb="8">
      <t>ヘ</t>
    </rPh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</si>
  <si>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</si>
  <si>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</si>
  <si>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</si>
  <si>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</si>
  <si>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complete</t>
  </si>
  <si>
    <t>ja</t>
    <phoneticPr fontId="6"/>
  </si>
  <si>
    <t>NULL</t>
    <phoneticPr fontId="6"/>
  </si>
  <si>
    <t>NULL</t>
    <phoneticPr fontId="6"/>
  </si>
  <si>
    <t>敵の連続攻撃には</t>
  </si>
  <si>
    <t>カウンタースキルを持つユニットがいれば
ダメージ回数分の反撃ができます</t>
  </si>
  <si>
    <t>敵のカウンター攻撃には</t>
  </si>
  <si>
    <t>カウンターブレイクスキルを持っていれば
敵のカウンターを解除して攻撃ができます</t>
  </si>
  <si>
    <t>ステータスをスキルで下げられたら</t>
  </si>
  <si>
    <t>ステータスダウンのスキルを受けたら
ステータスアップスキルで上書きしましょう</t>
  </si>
  <si>
    <t>敵のステータスがスキルで上がったら</t>
  </si>
  <si>
    <t>敵のステータスがスキルでアップしたときは
ステータスダウンスキルで上書きしましょう</t>
  </si>
  <si>
    <t>チャレンジタワーのボス</t>
  </si>
  <si>
    <t>チャレンジタワーでのみ登場するボスは
一定確率で獲得することができます</t>
  </si>
  <si>
    <t>限界突破値の引き継ぎ</t>
  </si>
  <si>
    <t>同じユニットを強化で合成すると
限界突破値を引き継げます（覚醒前後も可）</t>
  </si>
  <si>
    <t>全体に強力な攻撃</t>
    <phoneticPr fontId="6"/>
  </si>
  <si>
    <t>赤パネル吸収攻撃</t>
    <rPh sb="0" eb="1">
      <t>アk</t>
    </rPh>
    <rPh sb="4" eb="6">
      <t>キュウシュ</t>
    </rPh>
    <rPh sb="6" eb="8">
      <t>コウゲk</t>
    </rPh>
    <phoneticPr fontId="6"/>
  </si>
  <si>
    <t>緑パネル吸収2連続全体攻撃</t>
    <rPh sb="9" eb="11">
      <t>ゼンタ</t>
    </rPh>
    <phoneticPr fontId="6"/>
  </si>
  <si>
    <t>緑パネルを吸収して全体攻撃</t>
    <rPh sb="0" eb="1">
      <t>ミドr</t>
    </rPh>
    <rPh sb="1" eb="4">
      <t>ゾクセイp</t>
    </rPh>
    <rPh sb="5" eb="7">
      <t>キュウシュ</t>
    </rPh>
    <rPh sb="9" eb="11">
      <t>ゼン</t>
    </rPh>
    <rPh sb="11" eb="13">
      <t>ゼン</t>
    </rPh>
    <phoneticPr fontId="6"/>
  </si>
  <si>
    <t>2ターンCパネル生成延長</t>
    <phoneticPr fontId="6"/>
  </si>
  <si>
    <t>2回連続攻撃&amp;3ターンの間攻撃と防御を小UP</t>
    <rPh sb="19" eb="20">
      <t>ショ</t>
    </rPh>
    <phoneticPr fontId="6"/>
  </si>
  <si>
    <t>2回連続攻撃&amp;3ターンの間攻撃と防御をUP</t>
    <phoneticPr fontId="6"/>
  </si>
  <si>
    <t>2回連続攻撃&amp;3ターンの間攻撃と防御を大UP</t>
    <rPh sb="19" eb="20">
      <t>ダ</t>
    </rPh>
    <phoneticPr fontId="6"/>
  </si>
  <si>
    <t>2回連続攻撃&amp;3ターンの間攻撃と防御を特大UP</t>
    <rPh sb="19" eb="21">
      <t>トクダ</t>
    </rPh>
    <phoneticPr fontId="6"/>
  </si>
  <si>
    <t>2回連続攻撃&amp;3ターンの間攻撃と防御を超大UP</t>
    <rPh sb="19" eb="21">
      <t>チョウd</t>
    </rPh>
    <phoneticPr fontId="6"/>
  </si>
  <si>
    <t>2回連続攻撃&amp;3ターンの間攻撃と防御を激烈UP</t>
    <rPh sb="19" eb="21">
      <t>ゲk</t>
    </rPh>
    <phoneticPr fontId="6"/>
  </si>
  <si>
    <t>null</t>
    <phoneticPr fontId="6"/>
  </si>
  <si>
    <t>link</t>
    <phoneticPr fontId="6"/>
  </si>
  <si>
    <t>unit</t>
    <phoneticPr fontId="6"/>
  </si>
  <si>
    <t>2015-03-27 00:00:01</t>
  </si>
  <si>
    <t>2970-01-01 09:00:01</t>
  </si>
  <si>
    <t>2015-03-27 00:00:02</t>
  </si>
  <si>
    <t>2970-01-01 09:00:02</t>
  </si>
  <si>
    <t>バショーはある程度ダメージを受けると
ハートパネルを使えなくしてきます
攻撃を集中させて一気に倒しましょう</t>
    <phoneticPr fontId="6"/>
  </si>
  <si>
    <t>チェン・リーはHPが多くなっています
数を減らすために他の敵から倒しましょう</t>
    <phoneticPr fontId="6"/>
  </si>
  <si>
    <t>炎のケロケロの攻撃力が高いので
先に炎のケロケロから倒しましょう</t>
    <phoneticPr fontId="6"/>
  </si>
  <si>
    <t>ストールは攻撃する度に自身の攻撃力と
防御力を上げて攻撃してきます
攻撃を集中させて早めに倒しましょう</t>
    <phoneticPr fontId="6"/>
  </si>
  <si>
    <t>ユノは初回行動時に敵全体の攻撃力と
行動頻度を大UPしてきます
攻撃を集中させて早めに倒しましょう</t>
    <phoneticPr fontId="6"/>
  </si>
  <si>
    <t>炎のケロケロの攻撃力が高いので先に
炎のケロケロから倒しましょう</t>
    <phoneticPr fontId="6"/>
  </si>
  <si>
    <t>パトラインは初回行動時に敵全体の
行動頻度を大UPしてきます
攻撃を集中させて行動する前に倒しましょう</t>
    <phoneticPr fontId="6"/>
  </si>
  <si>
    <t>ベルフェゴールは5ターンの間眠っています
眠っている間にHPを削り切りましょう</t>
    <phoneticPr fontId="6"/>
  </si>
  <si>
    <t>森のケロケロの攻撃力が高いので
先に森のケロケロから倒しましょう</t>
    <phoneticPr fontId="6"/>
  </si>
  <si>
    <t>ハーメルンはスキルバインドや攻撃力低下
スキルを使用してきます
スキルやフィーバーを使って突破しましょう</t>
    <rPh sb="45" eb="47">
      <t>トッパシマショウ</t>
    </rPh>
    <phoneticPr fontId="6"/>
  </si>
  <si>
    <t>ハーメルンはHPが一定以下になると
緑パネル吸収攻撃を使用してくるので
スキルやフィーバーを使い対処しましょう</t>
    <phoneticPr fontId="6"/>
  </si>
  <si>
    <t>マグリットやアカネは稀に強力な補助効果を
持つスキルを発動してきます
攻撃を集中させて補助を断ちましょう</t>
    <phoneticPr fontId="6"/>
  </si>
  <si>
    <t>シャルロットとオセはそれぞれハートと
緑パネルを吸収するスキルを使用します
ハートと緑パネルを残さずに攻撃しましょう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</si>
</sst>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indexed="2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indexed="8"/>
      </right>
      <top style="medium">
        <color auto="1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</borders>
  <cellStyleXfs count="1266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88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0" fillId="13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0" fillId="3" borderId="7" xfId="0" applyFill="1" applyBorder="1"/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38" fontId="17" fillId="0" borderId="7" xfId="628" applyFont="1" applyFill="1" applyBorder="1" applyAlignment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17" fillId="6" borderId="7" xfId="11" applyFont="1" applyFill="1" applyBorder="1" applyAlignment="1">
      <alignment horizontal="left"/>
    </xf>
    <xf numFmtId="0" fontId="3" fillId="6" borderId="0" xfId="615" applyFill="1"/>
    <xf numFmtId="0" fontId="12" fillId="0" borderId="7" xfId="0" applyFont="1" applyBorder="1" applyAlignment="1">
      <alignment vertical="center"/>
    </xf>
    <xf numFmtId="0" fontId="5" fillId="0" borderId="23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vertical="center"/>
    </xf>
    <xf numFmtId="0" fontId="7" fillId="0" borderId="25" xfId="0" applyFont="1" applyFill="1" applyBorder="1" applyAlignment="1">
      <alignment vertical="center"/>
    </xf>
    <xf numFmtId="0" fontId="7" fillId="0" borderId="26" xfId="0" applyFont="1" applyFill="1" applyBorder="1" applyAlignment="1">
      <alignment vertical="center"/>
    </xf>
    <xf numFmtId="0" fontId="7" fillId="0" borderId="24" xfId="0" applyFont="1" applyFill="1" applyBorder="1" applyAlignment="1">
      <alignment vertical="center"/>
    </xf>
    <xf numFmtId="0" fontId="7" fillId="0" borderId="27" xfId="0" applyFont="1" applyFill="1" applyBorder="1" applyAlignment="1">
      <alignment vertical="center"/>
    </xf>
    <xf numFmtId="0" fontId="7" fillId="0" borderId="12" xfId="0" applyFont="1" applyFill="1" applyBorder="1" applyAlignment="1">
      <alignment vertical="center"/>
    </xf>
    <xf numFmtId="0" fontId="7" fillId="0" borderId="28" xfId="0" applyFont="1" applyFill="1" applyBorder="1" applyAlignment="1">
      <alignment vertical="center"/>
    </xf>
    <xf numFmtId="0" fontId="7" fillId="0" borderId="2" xfId="0" applyFont="1" applyFill="1" applyBorder="1" applyAlignment="1">
      <alignment vertical="center"/>
    </xf>
    <xf numFmtId="0" fontId="7" fillId="0" borderId="29" xfId="0" applyFont="1" applyFill="1" applyBorder="1" applyAlignment="1">
      <alignment vertical="center"/>
    </xf>
    <xf numFmtId="176" fontId="5" fillId="0" borderId="3" xfId="0" applyNumberFormat="1" applyFont="1" applyFill="1" applyBorder="1" applyAlignment="1">
      <alignment horizontal="right" vertical="center"/>
    </xf>
    <xf numFmtId="0" fontId="5" fillId="31" borderId="7" xfId="0" applyFont="1" applyFill="1" applyBorder="1" applyAlignment="1">
      <alignment horizontal="center" vertical="center"/>
    </xf>
    <xf numFmtId="176" fontId="5" fillId="0" borderId="30" xfId="0" applyNumberFormat="1" applyFont="1" applyFill="1" applyBorder="1" applyAlignment="1">
      <alignment horizontal="right" vertical="center"/>
    </xf>
    <xf numFmtId="0" fontId="5" fillId="31" borderId="2" xfId="0" applyFont="1" applyFill="1" applyBorder="1" applyAlignment="1">
      <alignment horizontal="center" vertical="center"/>
    </xf>
    <xf numFmtId="176" fontId="5" fillId="0" borderId="31" xfId="0" applyNumberFormat="1" applyFont="1" applyFill="1" applyBorder="1" applyAlignment="1">
      <alignment horizontal="right" vertical="center"/>
    </xf>
    <xf numFmtId="0" fontId="5" fillId="6" borderId="32" xfId="0" applyFont="1" applyFill="1" applyBorder="1" applyAlignment="1">
      <alignment horizontal="center" vertical="center"/>
    </xf>
    <xf numFmtId="176" fontId="5" fillId="0" borderId="7" xfId="0" applyNumberFormat="1" applyFont="1" applyFill="1" applyBorder="1" applyAlignment="1">
      <alignment horizontal="right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176" fontId="5" fillId="0" borderId="33" xfId="0" applyNumberFormat="1" applyFont="1" applyFill="1" applyBorder="1" applyAlignment="1">
      <alignment horizontal="right" vertical="center"/>
    </xf>
    <xf numFmtId="0" fontId="5" fillId="6" borderId="24" xfId="0" applyFont="1" applyFill="1" applyBorder="1" applyAlignment="1">
      <alignment horizontal="center" vertical="center"/>
    </xf>
    <xf numFmtId="0" fontId="5" fillId="32" borderId="12" xfId="0" applyFont="1" applyFill="1" applyBorder="1" applyAlignment="1">
      <alignment horizontal="center" vertical="center"/>
    </xf>
    <xf numFmtId="0" fontId="5" fillId="32" borderId="7" xfId="0" applyFont="1" applyFill="1" applyBorder="1" applyAlignment="1">
      <alignment horizontal="center" vertical="center"/>
    </xf>
    <xf numFmtId="0" fontId="5" fillId="32" borderId="2" xfId="0" applyFont="1" applyFill="1" applyBorder="1" applyAlignment="1">
      <alignment horizontal="center" vertical="center"/>
    </xf>
    <xf numFmtId="176" fontId="5" fillId="0" borderId="34" xfId="0" applyNumberFormat="1" applyFont="1" applyFill="1" applyBorder="1" applyAlignment="1">
      <alignment horizontal="right" vertical="center"/>
    </xf>
    <xf numFmtId="0" fontId="5" fillId="31" borderId="32" xfId="0" applyFont="1" applyFill="1" applyBorder="1" applyAlignment="1">
      <alignment horizontal="center" vertical="center"/>
    </xf>
    <xf numFmtId="0" fontId="5" fillId="31" borderId="1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7" fillId="0" borderId="32" xfId="0" applyFont="1" applyFill="1" applyBorder="1" applyAlignment="1">
      <alignment vertical="center"/>
    </xf>
    <xf numFmtId="0" fontId="5" fillId="0" borderId="3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177" fontId="9" fillId="0" borderId="35" xfId="0" applyNumberFormat="1" applyFont="1" applyBorder="1" applyAlignment="1">
      <alignment vertical="center"/>
    </xf>
    <xf numFmtId="0" fontId="9" fillId="0" borderId="35" xfId="0" applyFont="1" applyBorder="1" applyAlignment="1">
      <alignment vertical="center"/>
    </xf>
    <xf numFmtId="0" fontId="9" fillId="0" borderId="31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9" fillId="0" borderId="36" xfId="0" applyFont="1" applyBorder="1" applyAlignment="1">
      <alignment vertical="center"/>
    </xf>
    <xf numFmtId="177" fontId="9" fillId="0" borderId="37" xfId="0" applyNumberFormat="1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177" fontId="9" fillId="0" borderId="38" xfId="0" applyNumberFormat="1" applyFont="1" applyBorder="1" applyAlignment="1">
      <alignment vertical="center"/>
    </xf>
    <xf numFmtId="0" fontId="9" fillId="0" borderId="38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34" xfId="0" applyFont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2" xfId="0" applyFont="1" applyFill="1" applyBorder="1" applyAlignment="1">
      <alignment vertical="center"/>
    </xf>
    <xf numFmtId="0" fontId="5" fillId="0" borderId="12" xfId="0" applyFont="1" applyFill="1" applyBorder="1" applyAlignment="1">
      <alignment vertical="center"/>
    </xf>
    <xf numFmtId="0" fontId="5" fillId="0" borderId="24" xfId="0" applyFont="1" applyFill="1" applyBorder="1" applyAlignment="1">
      <alignment vertical="center"/>
    </xf>
    <xf numFmtId="0" fontId="5" fillId="0" borderId="23" xfId="0" applyFont="1" applyFill="1" applyBorder="1" applyAlignment="1">
      <alignment vertical="center"/>
    </xf>
    <xf numFmtId="0" fontId="5" fillId="0" borderId="41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42" xfId="0" applyFont="1" applyBorder="1" applyAlignment="1">
      <alignment vertical="center"/>
    </xf>
    <xf numFmtId="0" fontId="5" fillId="0" borderId="32" xfId="0" applyFont="1" applyBorder="1" applyAlignment="1">
      <alignment vertical="center"/>
    </xf>
    <xf numFmtId="0" fontId="5" fillId="0" borderId="43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44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7" fillId="34" borderId="3" xfId="0" applyFont="1" applyFill="1" applyBorder="1" applyAlignment="1">
      <alignment vertical="center"/>
    </xf>
    <xf numFmtId="0" fontId="7" fillId="34" borderId="9" xfId="0" applyFont="1" applyFill="1" applyBorder="1" applyAlignment="1">
      <alignment vertical="center"/>
    </xf>
    <xf numFmtId="177" fontId="9" fillId="35" borderId="4" xfId="0" applyNumberFormat="1" applyFont="1" applyFill="1" applyBorder="1" applyAlignment="1">
      <alignment vertical="center"/>
    </xf>
    <xf numFmtId="177" fontId="9" fillId="35" borderId="36" xfId="0" applyNumberFormat="1" applyFont="1" applyFill="1" applyBorder="1" applyAlignment="1">
      <alignment vertical="center"/>
    </xf>
    <xf numFmtId="0" fontId="5" fillId="35" borderId="5" xfId="0" applyFont="1" applyFill="1" applyBorder="1" applyAlignment="1">
      <alignment vertical="center"/>
    </xf>
    <xf numFmtId="0" fontId="17" fillId="0" borderId="7" xfId="0" applyFont="1" applyFill="1" applyBorder="1" applyAlignment="1">
      <alignment vertical="center" wrapText="1"/>
    </xf>
    <xf numFmtId="177" fontId="9" fillId="35" borderId="35" xfId="0" applyNumberFormat="1" applyFont="1" applyFill="1" applyBorder="1" applyAlignment="1">
      <alignment vertical="center"/>
    </xf>
    <xf numFmtId="177" fontId="9" fillId="35" borderId="31" xfId="0" applyNumberFormat="1" applyFont="1" applyFill="1" applyBorder="1" applyAlignment="1">
      <alignment vertical="center"/>
    </xf>
    <xf numFmtId="177" fontId="9" fillId="35" borderId="37" xfId="0" applyNumberFormat="1" applyFont="1" applyFill="1" applyBorder="1" applyAlignment="1">
      <alignment vertical="center"/>
    </xf>
    <xf numFmtId="0" fontId="5" fillId="35" borderId="39" xfId="0" applyFont="1" applyFill="1" applyBorder="1" applyAlignment="1">
      <alignment vertical="center"/>
    </xf>
    <xf numFmtId="0" fontId="5" fillId="35" borderId="31" xfId="0" applyFont="1" applyFill="1" applyBorder="1" applyAlignment="1">
      <alignment vertical="center"/>
    </xf>
    <xf numFmtId="0" fontId="5" fillId="35" borderId="7" xfId="0" applyFont="1" applyFill="1" applyBorder="1" applyAlignment="1">
      <alignment vertical="center"/>
    </xf>
    <xf numFmtId="0" fontId="5" fillId="35" borderId="3" xfId="0" applyFont="1" applyFill="1" applyBorder="1" applyAlignment="1">
      <alignment vertical="center"/>
    </xf>
    <xf numFmtId="0" fontId="5" fillId="35" borderId="40" xfId="0" applyFont="1" applyFill="1" applyBorder="1" applyAlignment="1">
      <alignment vertical="center"/>
    </xf>
    <xf numFmtId="0" fontId="5" fillId="35" borderId="6" xfId="0" applyFont="1" applyFill="1" applyBorder="1" applyAlignment="1">
      <alignment vertical="center"/>
    </xf>
    <xf numFmtId="0" fontId="5" fillId="35" borderId="43" xfId="0" applyFont="1" applyFill="1" applyBorder="1" applyAlignment="1">
      <alignment vertical="center"/>
    </xf>
    <xf numFmtId="177" fontId="9" fillId="35" borderId="7" xfId="0" applyNumberFormat="1" applyFont="1" applyFill="1" applyBorder="1" applyAlignment="1">
      <alignment vertical="center"/>
    </xf>
    <xf numFmtId="0" fontId="7" fillId="34" borderId="11" xfId="0" applyFont="1" applyFill="1" applyBorder="1" applyAlignment="1">
      <alignment vertical="center"/>
    </xf>
    <xf numFmtId="0" fontId="5" fillId="33" borderId="7" xfId="0" applyFont="1" applyFill="1" applyBorder="1" applyAlignment="1">
      <alignment horizontal="center" vertical="center"/>
    </xf>
    <xf numFmtId="0" fontId="5" fillId="33" borderId="24" xfId="0" applyFont="1" applyFill="1" applyBorder="1" applyAlignment="1">
      <alignment horizontal="center" vertical="center"/>
    </xf>
    <xf numFmtId="0" fontId="17" fillId="35" borderId="7" xfId="0" applyFont="1" applyFill="1" applyBorder="1" applyAlignment="1">
      <alignment vertical="center"/>
    </xf>
    <xf numFmtId="0" fontId="5" fillId="0" borderId="44" xfId="0" applyFont="1" applyBorder="1" applyAlignment="1">
      <alignment horizontal="center" vertical="center"/>
    </xf>
    <xf numFmtId="0" fontId="32" fillId="14" borderId="7" xfId="0" applyFont="1" applyFill="1" applyBorder="1"/>
    <xf numFmtId="38" fontId="17" fillId="14" borderId="7" xfId="628" applyFont="1" applyFill="1" applyBorder="1" applyAlignment="1"/>
    <xf numFmtId="38" fontId="17" fillId="0" borderId="7" xfId="628" applyFont="1" applyFill="1" applyBorder="1" applyAlignment="1">
      <alignment wrapText="1"/>
    </xf>
    <xf numFmtId="0" fontId="28" fillId="36" borderId="7" xfId="0" applyFont="1" applyFill="1" applyBorder="1"/>
    <xf numFmtId="0" fontId="0" fillId="36" borderId="7" xfId="0" applyFill="1" applyBorder="1"/>
    <xf numFmtId="0" fontId="7" fillId="37" borderId="7" xfId="0" applyFont="1" applyFill="1" applyBorder="1" applyAlignment="1">
      <alignment vertical="center"/>
    </xf>
  </cellXfs>
  <cellStyles count="126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4 2 2" xfId="1220"/>
    <cellStyle name="標準 5" xfId="676"/>
    <cellStyle name="標準 5 2" xfId="677"/>
    <cellStyle name="標準 6" xfId="615"/>
    <cellStyle name="標準 6 2" xfId="1221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赤字強調" xfId="431"/>
    <cellStyle name="青字強調" xfId="430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12001</v>
          </cell>
        </row>
        <row r="81">
          <cell r="A81">
            <v>12002</v>
          </cell>
        </row>
        <row r="82">
          <cell r="A82">
            <v>12003</v>
          </cell>
        </row>
        <row r="83">
          <cell r="A83">
            <v>12004</v>
          </cell>
        </row>
        <row r="84">
          <cell r="A84">
            <v>13001</v>
          </cell>
        </row>
        <row r="85">
          <cell r="A85">
            <v>14001</v>
          </cell>
        </row>
        <row r="86">
          <cell r="A86">
            <v>14002</v>
          </cell>
        </row>
        <row r="87">
          <cell r="A87">
            <v>14003</v>
          </cell>
        </row>
        <row r="88">
          <cell r="A88">
            <v>14004</v>
          </cell>
        </row>
        <row r="89">
          <cell r="A89">
            <v>14005</v>
          </cell>
        </row>
        <row r="90">
          <cell r="A90">
            <v>14006</v>
          </cell>
        </row>
        <row r="91">
          <cell r="A91">
            <v>15027</v>
          </cell>
        </row>
        <row r="92">
          <cell r="A92">
            <v>15028</v>
          </cell>
        </row>
        <row r="93">
          <cell r="A93">
            <v>15029</v>
          </cell>
        </row>
        <row r="94">
          <cell r="A94">
            <v>15030</v>
          </cell>
        </row>
        <row r="95">
          <cell r="A95">
            <v>15031</v>
          </cell>
        </row>
        <row r="96">
          <cell r="A96">
            <v>20001</v>
          </cell>
        </row>
        <row r="97">
          <cell r="A97">
            <v>20002</v>
          </cell>
        </row>
        <row r="98">
          <cell r="A98">
            <v>20003</v>
          </cell>
        </row>
        <row r="99">
          <cell r="A99">
            <v>20004</v>
          </cell>
        </row>
        <row r="100">
          <cell r="A100">
            <v>20005</v>
          </cell>
        </row>
        <row r="101">
          <cell r="A101">
            <v>20006</v>
          </cell>
        </row>
        <row r="102">
          <cell r="A102">
            <v>20007</v>
          </cell>
        </row>
        <row r="103">
          <cell r="A103">
            <v>20008</v>
          </cell>
        </row>
        <row r="104">
          <cell r="A104">
            <v>20009</v>
          </cell>
        </row>
        <row r="105">
          <cell r="A105">
            <v>20010</v>
          </cell>
        </row>
        <row r="106">
          <cell r="A106">
            <v>20011</v>
          </cell>
        </row>
        <row r="107">
          <cell r="A107">
            <v>20012</v>
          </cell>
        </row>
        <row r="108">
          <cell r="A108">
            <v>20013</v>
          </cell>
        </row>
        <row r="109">
          <cell r="A109">
            <v>20014</v>
          </cell>
        </row>
        <row r="110">
          <cell r="A110">
            <v>20015</v>
          </cell>
        </row>
        <row r="111">
          <cell r="A111">
            <v>20016</v>
          </cell>
        </row>
        <row r="112">
          <cell r="A112">
            <v>20017</v>
          </cell>
        </row>
        <row r="113">
          <cell r="A113">
            <v>30001</v>
          </cell>
        </row>
        <row r="114">
          <cell r="A114">
            <v>30002</v>
          </cell>
        </row>
        <row r="115">
          <cell r="A115">
            <v>30003</v>
          </cell>
        </row>
        <row r="116">
          <cell r="A116">
            <v>30004</v>
          </cell>
        </row>
        <row r="117">
          <cell r="A117">
            <v>30005</v>
          </cell>
        </row>
        <row r="118">
          <cell r="A118">
            <v>30006</v>
          </cell>
        </row>
        <row r="119">
          <cell r="A119">
            <v>30007</v>
          </cell>
        </row>
        <row r="120">
          <cell r="A120">
            <v>30008</v>
          </cell>
        </row>
        <row r="121">
          <cell r="A121">
            <v>30009</v>
          </cell>
        </row>
        <row r="122">
          <cell r="A122">
            <v>30010</v>
          </cell>
        </row>
        <row r="123">
          <cell r="A123">
            <v>30011</v>
          </cell>
        </row>
        <row r="124">
          <cell r="A124">
            <v>30012</v>
          </cell>
        </row>
        <row r="125">
          <cell r="A125">
            <v>30013</v>
          </cell>
        </row>
        <row r="126">
          <cell r="A126">
            <v>30014</v>
          </cell>
        </row>
        <row r="127">
          <cell r="A127">
            <v>30015</v>
          </cell>
        </row>
        <row r="128">
          <cell r="A128">
            <v>30016</v>
          </cell>
        </row>
        <row r="129">
          <cell r="A129">
            <v>30017</v>
          </cell>
        </row>
        <row r="130">
          <cell r="A130">
            <v>30018</v>
          </cell>
        </row>
        <row r="131">
          <cell r="A131">
            <v>30019</v>
          </cell>
        </row>
        <row r="132">
          <cell r="A132">
            <v>30020</v>
          </cell>
        </row>
        <row r="133">
          <cell r="A133">
            <v>30021</v>
          </cell>
        </row>
        <row r="134">
          <cell r="A134">
            <v>30022</v>
          </cell>
        </row>
        <row r="135">
          <cell r="A135">
            <v>30023</v>
          </cell>
        </row>
        <row r="136">
          <cell r="A136">
            <v>30024</v>
          </cell>
        </row>
        <row r="137">
          <cell r="A137">
            <v>30025</v>
          </cell>
        </row>
        <row r="138">
          <cell r="A138">
            <v>30026</v>
          </cell>
        </row>
        <row r="139">
          <cell r="A139">
            <v>30027</v>
          </cell>
        </row>
        <row r="140">
          <cell r="A140">
            <v>30028</v>
          </cell>
        </row>
        <row r="141">
          <cell r="A141">
            <v>30029</v>
          </cell>
        </row>
        <row r="142">
          <cell r="A142">
            <v>30030</v>
          </cell>
        </row>
        <row r="143">
          <cell r="A143">
            <v>30031</v>
          </cell>
        </row>
        <row r="144">
          <cell r="A144">
            <v>30032</v>
          </cell>
        </row>
        <row r="145">
          <cell r="A145">
            <v>30033</v>
          </cell>
        </row>
        <row r="146">
          <cell r="A146">
            <v>30034</v>
          </cell>
        </row>
        <row r="147">
          <cell r="A147">
            <v>30035</v>
          </cell>
        </row>
        <row r="148">
          <cell r="A148">
            <v>30036</v>
          </cell>
        </row>
        <row r="149">
          <cell r="A149">
            <v>30037</v>
          </cell>
        </row>
        <row r="150">
          <cell r="A150">
            <v>39001</v>
          </cell>
        </row>
        <row r="151">
          <cell r="A151">
            <v>39002</v>
          </cell>
        </row>
        <row r="152">
          <cell r="A152">
            <v>39003</v>
          </cell>
        </row>
        <row r="153">
          <cell r="A153">
            <v>39004</v>
          </cell>
        </row>
        <row r="154">
          <cell r="A154">
            <v>39005</v>
          </cell>
        </row>
        <row r="155">
          <cell r="A155">
            <v>39006</v>
          </cell>
        </row>
        <row r="156">
          <cell r="A156">
            <v>40001</v>
          </cell>
        </row>
        <row r="157">
          <cell r="A157">
            <v>40002</v>
          </cell>
        </row>
        <row r="158">
          <cell r="A158">
            <v>40003</v>
          </cell>
        </row>
        <row r="159">
          <cell r="A159">
            <v>40004</v>
          </cell>
        </row>
        <row r="160">
          <cell r="A160">
            <v>40005</v>
          </cell>
        </row>
        <row r="161">
          <cell r="A161">
            <v>40006</v>
          </cell>
        </row>
        <row r="162">
          <cell r="A162">
            <v>40007</v>
          </cell>
        </row>
        <row r="163">
          <cell r="A163">
            <v>40008</v>
          </cell>
        </row>
        <row r="164">
          <cell r="A164">
            <v>40009</v>
          </cell>
        </row>
        <row r="165">
          <cell r="A165">
            <v>40010</v>
          </cell>
        </row>
        <row r="166">
          <cell r="A166">
            <v>40011</v>
          </cell>
        </row>
        <row r="167">
          <cell r="A167">
            <v>40012</v>
          </cell>
        </row>
        <row r="168">
          <cell r="A168">
            <v>40013</v>
          </cell>
        </row>
        <row r="169">
          <cell r="A169">
            <v>40014</v>
          </cell>
        </row>
        <row r="170">
          <cell r="A170">
            <v>40015</v>
          </cell>
        </row>
        <row r="171">
          <cell r="A171">
            <v>40016</v>
          </cell>
        </row>
        <row r="172">
          <cell r="A172">
            <v>40017</v>
          </cell>
        </row>
        <row r="173">
          <cell r="A173">
            <v>40018</v>
          </cell>
        </row>
        <row r="174">
          <cell r="A174">
            <v>40019</v>
          </cell>
        </row>
        <row r="175">
          <cell r="A175">
            <v>40020</v>
          </cell>
        </row>
        <row r="176">
          <cell r="A176">
            <v>40021</v>
          </cell>
        </row>
        <row r="177">
          <cell r="A177">
            <v>48001</v>
          </cell>
        </row>
        <row r="178">
          <cell r="A178">
            <v>48002</v>
          </cell>
        </row>
        <row r="179">
          <cell r="A179">
            <v>41001</v>
          </cell>
        </row>
        <row r="180">
          <cell r="A180">
            <v>41002</v>
          </cell>
        </row>
        <row r="181">
          <cell r="A181">
            <v>41003</v>
          </cell>
        </row>
        <row r="182">
          <cell r="A182">
            <v>41004</v>
          </cell>
        </row>
        <row r="183">
          <cell r="A183">
            <v>41005</v>
          </cell>
        </row>
        <row r="184">
          <cell r="A184">
            <v>41006</v>
          </cell>
        </row>
        <row r="185">
          <cell r="A185">
            <v>41007</v>
          </cell>
        </row>
        <row r="186">
          <cell r="A186">
            <v>41008</v>
          </cell>
        </row>
        <row r="187">
          <cell r="A187">
            <v>41009</v>
          </cell>
        </row>
        <row r="188">
          <cell r="A188">
            <v>41010</v>
          </cell>
        </row>
        <row r="189">
          <cell r="A189">
            <v>49001</v>
          </cell>
        </row>
        <row r="190">
          <cell r="A190">
            <v>49002</v>
          </cell>
        </row>
        <row r="191">
          <cell r="A191">
            <v>49003</v>
          </cell>
        </row>
        <row r="192">
          <cell r="A192">
            <v>49004</v>
          </cell>
        </row>
        <row r="193">
          <cell r="A193">
            <v>49005</v>
          </cell>
        </row>
        <row r="194">
          <cell r="A194">
            <v>49006</v>
          </cell>
        </row>
        <row r="195">
          <cell r="A195">
            <v>50001</v>
          </cell>
        </row>
        <row r="196">
          <cell r="A196">
            <v>50002</v>
          </cell>
        </row>
        <row r="197">
          <cell r="A197">
            <v>50003</v>
          </cell>
        </row>
        <row r="198">
          <cell r="A198">
            <v>50004</v>
          </cell>
        </row>
        <row r="199">
          <cell r="A199">
            <v>50005</v>
          </cell>
        </row>
        <row r="200">
          <cell r="A200">
            <v>51001</v>
          </cell>
        </row>
        <row r="201">
          <cell r="A201">
            <v>51002</v>
          </cell>
        </row>
        <row r="202">
          <cell r="A202">
            <v>60001</v>
          </cell>
        </row>
        <row r="203">
          <cell r="A203">
            <v>60002</v>
          </cell>
        </row>
        <row r="204">
          <cell r="A204">
            <v>60003</v>
          </cell>
        </row>
        <row r="205">
          <cell r="A205">
            <v>60004</v>
          </cell>
        </row>
        <row r="206">
          <cell r="A206">
            <v>60005</v>
          </cell>
        </row>
        <row r="207">
          <cell r="A207">
            <v>60006</v>
          </cell>
        </row>
        <row r="208">
          <cell r="A208">
            <v>60007</v>
          </cell>
        </row>
        <row r="209">
          <cell r="A209">
            <v>60010</v>
          </cell>
        </row>
        <row r="210">
          <cell r="A210">
            <v>60011</v>
          </cell>
        </row>
        <row r="211">
          <cell r="A211">
            <v>65535</v>
          </cell>
        </row>
        <row r="212">
          <cell r="A212">
            <v>60021</v>
          </cell>
        </row>
        <row r="213">
          <cell r="A213">
            <v>60022</v>
          </cell>
        </row>
        <row r="214">
          <cell r="A214">
            <v>60023</v>
          </cell>
        </row>
        <row r="215">
          <cell r="A21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11225_1</v>
          </cell>
        </row>
        <row r="274">
          <cell r="A274" t="str">
            <v>12001_1</v>
          </cell>
        </row>
        <row r="275">
          <cell r="A275" t="str">
            <v>12001_2</v>
          </cell>
        </row>
        <row r="276">
          <cell r="A276" t="str">
            <v>12001_3</v>
          </cell>
        </row>
        <row r="277">
          <cell r="A277" t="str">
            <v>12002_1</v>
          </cell>
        </row>
        <row r="278">
          <cell r="A278" t="str">
            <v>12002_2</v>
          </cell>
        </row>
        <row r="279">
          <cell r="A279" t="str">
            <v>12003_1</v>
          </cell>
        </row>
        <row r="280">
          <cell r="A280" t="str">
            <v>12003_2</v>
          </cell>
        </row>
        <row r="281">
          <cell r="A281" t="str">
            <v>12003_3</v>
          </cell>
        </row>
        <row r="282">
          <cell r="A282" t="str">
            <v>12003_4</v>
          </cell>
        </row>
        <row r="283">
          <cell r="A283" t="str">
            <v>12004_1</v>
          </cell>
        </row>
        <row r="284">
          <cell r="A284" t="str">
            <v>13001_1</v>
          </cell>
        </row>
        <row r="285">
          <cell r="A285" t="str">
            <v>13001_2</v>
          </cell>
        </row>
        <row r="286">
          <cell r="A286" t="str">
            <v>13001_3</v>
          </cell>
        </row>
        <row r="287">
          <cell r="A287" t="str">
            <v>13001_4</v>
          </cell>
        </row>
        <row r="288">
          <cell r="A288" t="str">
            <v>13001_5</v>
          </cell>
        </row>
        <row r="289">
          <cell r="A289" t="str">
            <v>13001_6</v>
          </cell>
        </row>
        <row r="290">
          <cell r="A290" t="str">
            <v>13001_7</v>
          </cell>
        </row>
        <row r="291">
          <cell r="A291" t="str">
            <v>13001_8</v>
          </cell>
        </row>
        <row r="292">
          <cell r="A292" t="str">
            <v>13001_9</v>
          </cell>
        </row>
        <row r="293">
          <cell r="A293" t="str">
            <v>13001_10</v>
          </cell>
        </row>
        <row r="294">
          <cell r="A294" t="str">
            <v>13001_11</v>
          </cell>
        </row>
        <row r="295">
          <cell r="A295" t="str">
            <v>13001_12</v>
          </cell>
        </row>
        <row r="296">
          <cell r="A296" t="str">
            <v>13001_13</v>
          </cell>
        </row>
        <row r="297">
          <cell r="A297" t="str">
            <v>13001_14</v>
          </cell>
        </row>
        <row r="298">
          <cell r="A298" t="str">
            <v>13001_15</v>
          </cell>
        </row>
        <row r="299">
          <cell r="A299" t="str">
            <v>13001_16</v>
          </cell>
        </row>
        <row r="300">
          <cell r="A300" t="str">
            <v>13001_17</v>
          </cell>
        </row>
        <row r="301">
          <cell r="A301" t="str">
            <v>13001_18</v>
          </cell>
        </row>
        <row r="302">
          <cell r="A302" t="str">
            <v>13001_19</v>
          </cell>
        </row>
        <row r="303">
          <cell r="A303" t="str">
            <v>13001_20</v>
          </cell>
        </row>
        <row r="304">
          <cell r="A304" t="str">
            <v>13001_21</v>
          </cell>
        </row>
        <row r="305">
          <cell r="A305" t="str">
            <v>13001_22</v>
          </cell>
        </row>
        <row r="306">
          <cell r="A306" t="str">
            <v>13001_23</v>
          </cell>
        </row>
        <row r="307">
          <cell r="A307" t="str">
            <v>13001_24</v>
          </cell>
        </row>
        <row r="308">
          <cell r="A308" t="str">
            <v>13001_25</v>
          </cell>
        </row>
        <row r="309">
          <cell r="A309" t="str">
            <v>14001_1</v>
          </cell>
        </row>
        <row r="310">
          <cell r="A310" t="str">
            <v>14001_2</v>
          </cell>
        </row>
        <row r="311">
          <cell r="A311" t="str">
            <v>14001_3</v>
          </cell>
        </row>
        <row r="312">
          <cell r="A312" t="str">
            <v>14001_4</v>
          </cell>
        </row>
        <row r="313">
          <cell r="A313" t="str">
            <v>14001_5</v>
          </cell>
        </row>
        <row r="314">
          <cell r="A314" t="str">
            <v>14001_6</v>
          </cell>
        </row>
        <row r="315">
          <cell r="A315" t="str">
            <v>14001_7</v>
          </cell>
        </row>
        <row r="316">
          <cell r="A316" t="str">
            <v>14001_8</v>
          </cell>
        </row>
        <row r="317">
          <cell r="A317" t="str">
            <v>14002_1</v>
          </cell>
        </row>
        <row r="318">
          <cell r="A318" t="str">
            <v>14002_2</v>
          </cell>
        </row>
        <row r="319">
          <cell r="A319" t="str">
            <v>14003_1</v>
          </cell>
        </row>
        <row r="320">
          <cell r="A320" t="str">
            <v>14003_2</v>
          </cell>
        </row>
        <row r="321">
          <cell r="A321" t="str">
            <v>14003_3</v>
          </cell>
        </row>
        <row r="322">
          <cell r="A322" t="str">
            <v>14003_4</v>
          </cell>
        </row>
        <row r="323">
          <cell r="A323" t="str">
            <v>14004_1</v>
          </cell>
        </row>
        <row r="324">
          <cell r="A324" t="str">
            <v>14004_2</v>
          </cell>
        </row>
        <row r="325">
          <cell r="A325" t="str">
            <v>14004_3</v>
          </cell>
        </row>
        <row r="326">
          <cell r="A326" t="str">
            <v>14004_4</v>
          </cell>
        </row>
        <row r="327">
          <cell r="A327" t="str">
            <v>14005_1</v>
          </cell>
        </row>
        <row r="328">
          <cell r="A328" t="str">
            <v>14006_1</v>
          </cell>
        </row>
        <row r="329">
          <cell r="A329" t="str">
            <v>15027_1</v>
          </cell>
        </row>
        <row r="330">
          <cell r="A330" t="str">
            <v>15027_2</v>
          </cell>
        </row>
        <row r="331">
          <cell r="A331" t="str">
            <v>15027_3</v>
          </cell>
        </row>
        <row r="332">
          <cell r="A332" t="str">
            <v>15027_4</v>
          </cell>
        </row>
        <row r="333">
          <cell r="A333" t="str">
            <v>15028_1</v>
          </cell>
        </row>
        <row r="334">
          <cell r="A334" t="str">
            <v>15028_2</v>
          </cell>
        </row>
        <row r="335">
          <cell r="A335" t="str">
            <v>15028_3</v>
          </cell>
        </row>
        <row r="336">
          <cell r="A336" t="str">
            <v>15028_4</v>
          </cell>
        </row>
        <row r="337">
          <cell r="A337" t="str">
            <v>15029_1</v>
          </cell>
        </row>
        <row r="338">
          <cell r="A338" t="str">
            <v>15029_2</v>
          </cell>
        </row>
        <row r="339">
          <cell r="A339" t="str">
            <v>15029_3</v>
          </cell>
        </row>
        <row r="340">
          <cell r="A340" t="str">
            <v>15029_4</v>
          </cell>
        </row>
        <row r="341">
          <cell r="A341" t="str">
            <v>15030_1</v>
          </cell>
        </row>
        <row r="342">
          <cell r="A342" t="str">
            <v>15030_2</v>
          </cell>
        </row>
        <row r="343">
          <cell r="A343" t="str">
            <v>15030_3</v>
          </cell>
        </row>
        <row r="344">
          <cell r="A344" t="str">
            <v>15030_4</v>
          </cell>
        </row>
        <row r="345">
          <cell r="A345" t="str">
            <v>15031_1</v>
          </cell>
        </row>
        <row r="346">
          <cell r="A346" t="str">
            <v>15031_2</v>
          </cell>
        </row>
        <row r="347">
          <cell r="A347" t="str">
            <v>15031_3</v>
          </cell>
        </row>
        <row r="348">
          <cell r="A348" t="str">
            <v>15031_4</v>
          </cell>
        </row>
        <row r="349">
          <cell r="A349" t="str">
            <v>20001_1</v>
          </cell>
        </row>
        <row r="350">
          <cell r="A350" t="str">
            <v>20001_2</v>
          </cell>
        </row>
        <row r="351">
          <cell r="A351" t="str">
            <v>20001_3</v>
          </cell>
        </row>
        <row r="352">
          <cell r="A352" t="str">
            <v>20002_1</v>
          </cell>
        </row>
        <row r="353">
          <cell r="A353" t="str">
            <v>20002_2</v>
          </cell>
        </row>
        <row r="354">
          <cell r="A354" t="str">
            <v>20002_3</v>
          </cell>
        </row>
        <row r="355">
          <cell r="A355" t="str">
            <v>20003_1</v>
          </cell>
        </row>
        <row r="356">
          <cell r="A356" t="str">
            <v>20003_2</v>
          </cell>
        </row>
        <row r="357">
          <cell r="A357" t="str">
            <v>20003_3</v>
          </cell>
        </row>
        <row r="358">
          <cell r="A358" t="str">
            <v>20004_1</v>
          </cell>
        </row>
        <row r="359">
          <cell r="A359" t="str">
            <v>20004_2</v>
          </cell>
        </row>
        <row r="360">
          <cell r="A360" t="str">
            <v>20004_3</v>
          </cell>
        </row>
        <row r="361">
          <cell r="A361" t="str">
            <v>20005_1</v>
          </cell>
        </row>
        <row r="362">
          <cell r="A362" t="str">
            <v>20005_2</v>
          </cell>
        </row>
        <row r="363">
          <cell r="A363" t="str">
            <v>20005_3</v>
          </cell>
        </row>
        <row r="364">
          <cell r="A364" t="str">
            <v>20006_1</v>
          </cell>
        </row>
        <row r="365">
          <cell r="A365" t="str">
            <v>20006_2</v>
          </cell>
        </row>
        <row r="366">
          <cell r="A366" t="str">
            <v>20006_3</v>
          </cell>
        </row>
        <row r="367">
          <cell r="A367" t="str">
            <v>20007_1</v>
          </cell>
        </row>
        <row r="368">
          <cell r="A368" t="str">
            <v>20007_2</v>
          </cell>
        </row>
        <row r="369">
          <cell r="A369" t="str">
            <v>20007_3</v>
          </cell>
        </row>
        <row r="370">
          <cell r="A370" t="str">
            <v>20008_1</v>
          </cell>
        </row>
        <row r="371">
          <cell r="A371" t="str">
            <v>20008_2</v>
          </cell>
        </row>
        <row r="372">
          <cell r="A372" t="str">
            <v>20008_3</v>
          </cell>
        </row>
        <row r="373">
          <cell r="A373" t="str">
            <v>20009_1</v>
          </cell>
        </row>
        <row r="374">
          <cell r="A374" t="str">
            <v>20009_2</v>
          </cell>
        </row>
        <row r="375">
          <cell r="A375" t="str">
            <v>20009_3</v>
          </cell>
        </row>
        <row r="376">
          <cell r="A376" t="str">
            <v>20010_1</v>
          </cell>
        </row>
        <row r="377">
          <cell r="A377" t="str">
            <v>20010_2</v>
          </cell>
        </row>
        <row r="378">
          <cell r="A378" t="str">
            <v>20010_3</v>
          </cell>
        </row>
        <row r="379">
          <cell r="A379" t="str">
            <v>20011_1</v>
          </cell>
        </row>
        <row r="380">
          <cell r="A380" t="str">
            <v>20011_2</v>
          </cell>
        </row>
        <row r="381">
          <cell r="A381" t="str">
            <v>20011_3</v>
          </cell>
        </row>
        <row r="382">
          <cell r="A382" t="str">
            <v>20012_1</v>
          </cell>
        </row>
        <row r="383">
          <cell r="A383" t="str">
            <v>20012_2</v>
          </cell>
        </row>
        <row r="384">
          <cell r="A384" t="str">
            <v>20012_3</v>
          </cell>
        </row>
        <row r="385">
          <cell r="A385" t="str">
            <v>20013_1</v>
          </cell>
        </row>
        <row r="386">
          <cell r="A386" t="str">
            <v>20013_2</v>
          </cell>
        </row>
        <row r="387">
          <cell r="A387" t="str">
            <v>20013_3</v>
          </cell>
        </row>
        <row r="388">
          <cell r="A388" t="str">
            <v>20014_1</v>
          </cell>
        </row>
        <row r="389">
          <cell r="A389" t="str">
            <v>20014_2</v>
          </cell>
        </row>
        <row r="390">
          <cell r="A390" t="str">
            <v>20014_3</v>
          </cell>
        </row>
        <row r="391">
          <cell r="A391" t="str">
            <v>20015_1</v>
          </cell>
        </row>
        <row r="392">
          <cell r="A392" t="str">
            <v>20015_2</v>
          </cell>
        </row>
        <row r="393">
          <cell r="A393" t="str">
            <v>20015_3</v>
          </cell>
        </row>
        <row r="394">
          <cell r="A394" t="str">
            <v>20016_1</v>
          </cell>
        </row>
        <row r="395">
          <cell r="A395" t="str">
            <v>20016_2</v>
          </cell>
        </row>
        <row r="396">
          <cell r="A396" t="str">
            <v>20016_3</v>
          </cell>
        </row>
        <row r="397">
          <cell r="A397" t="str">
            <v>20017_1</v>
          </cell>
        </row>
        <row r="398">
          <cell r="A398" t="str">
            <v>20017_2</v>
          </cell>
        </row>
        <row r="399">
          <cell r="A399" t="str">
            <v>20017_3</v>
          </cell>
        </row>
        <row r="400">
          <cell r="A400" t="str">
            <v>30001_1</v>
          </cell>
        </row>
        <row r="401">
          <cell r="A401" t="str">
            <v>30001_2</v>
          </cell>
        </row>
        <row r="402">
          <cell r="A402" t="str">
            <v>30001_3</v>
          </cell>
        </row>
        <row r="403">
          <cell r="A403" t="str">
            <v>30002_1</v>
          </cell>
        </row>
        <row r="404">
          <cell r="A404" t="str">
            <v>30002_2</v>
          </cell>
        </row>
        <row r="405">
          <cell r="A405" t="str">
            <v>30002_3</v>
          </cell>
        </row>
        <row r="406">
          <cell r="A406" t="str">
            <v>30003_1</v>
          </cell>
        </row>
        <row r="407">
          <cell r="A407" t="str">
            <v>30003_2</v>
          </cell>
        </row>
        <row r="408">
          <cell r="A408" t="str">
            <v>30003_3</v>
          </cell>
        </row>
        <row r="409">
          <cell r="A409" t="str">
            <v>30004_1</v>
          </cell>
        </row>
        <row r="410">
          <cell r="A410" t="str">
            <v>30004_2</v>
          </cell>
        </row>
        <row r="411">
          <cell r="A411" t="str">
            <v>30004_3</v>
          </cell>
        </row>
        <row r="412">
          <cell r="A412" t="str">
            <v>30005_1</v>
          </cell>
        </row>
        <row r="413">
          <cell r="A413" t="str">
            <v>30005_2</v>
          </cell>
        </row>
        <row r="414">
          <cell r="A414" t="str">
            <v>30005_3</v>
          </cell>
        </row>
        <row r="415">
          <cell r="A415" t="str">
            <v>30006_1</v>
          </cell>
        </row>
        <row r="416">
          <cell r="A416" t="str">
            <v>30006_2</v>
          </cell>
        </row>
        <row r="417">
          <cell r="A417" t="str">
            <v>30006_3</v>
          </cell>
        </row>
        <row r="418">
          <cell r="A418" t="str">
            <v>30007_1</v>
          </cell>
        </row>
        <row r="419">
          <cell r="A419" t="str">
            <v>30007_2</v>
          </cell>
        </row>
        <row r="420">
          <cell r="A420" t="str">
            <v>30007_3</v>
          </cell>
        </row>
        <row r="421">
          <cell r="A421" t="str">
            <v>30008_1</v>
          </cell>
        </row>
        <row r="422">
          <cell r="A422" t="str">
            <v>30008_2</v>
          </cell>
        </row>
        <row r="423">
          <cell r="A423" t="str">
            <v>30008_3</v>
          </cell>
        </row>
        <row r="424">
          <cell r="A424" t="str">
            <v>30009_3</v>
          </cell>
        </row>
        <row r="425">
          <cell r="A425" t="str">
            <v>30009_1</v>
          </cell>
        </row>
        <row r="426">
          <cell r="A426" t="str">
            <v>30009_2</v>
          </cell>
        </row>
        <row r="427">
          <cell r="A427" t="str">
            <v>30010_1</v>
          </cell>
        </row>
        <row r="428">
          <cell r="A428" t="str">
            <v>30010_2</v>
          </cell>
        </row>
        <row r="429">
          <cell r="A429" t="str">
            <v>30010_3</v>
          </cell>
        </row>
        <row r="430">
          <cell r="A430" t="str">
            <v>30011_1</v>
          </cell>
        </row>
        <row r="431">
          <cell r="A431" t="str">
            <v>30011_2</v>
          </cell>
        </row>
        <row r="432">
          <cell r="A432" t="str">
            <v>30011_3</v>
          </cell>
        </row>
        <row r="433">
          <cell r="A433" t="str">
            <v>30012_1</v>
          </cell>
        </row>
        <row r="434">
          <cell r="A434" t="str">
            <v>30012_2</v>
          </cell>
        </row>
        <row r="435">
          <cell r="A435" t="str">
            <v>30012_3</v>
          </cell>
        </row>
        <row r="436">
          <cell r="A436" t="str">
            <v>30013_1</v>
          </cell>
        </row>
        <row r="437">
          <cell r="A437" t="str">
            <v>30013_2</v>
          </cell>
        </row>
        <row r="438">
          <cell r="A438" t="str">
            <v>30014_1</v>
          </cell>
        </row>
        <row r="439">
          <cell r="A439" t="str">
            <v>30014_2</v>
          </cell>
        </row>
        <row r="440">
          <cell r="A440" t="str">
            <v>30015_1</v>
          </cell>
        </row>
        <row r="441">
          <cell r="A441" t="str">
            <v>30015_2</v>
          </cell>
        </row>
        <row r="442">
          <cell r="A442" t="str">
            <v>30016_1</v>
          </cell>
        </row>
        <row r="443">
          <cell r="A443" t="str">
            <v>30016_2</v>
          </cell>
        </row>
        <row r="444">
          <cell r="A444" t="str">
            <v>30017_1</v>
          </cell>
        </row>
        <row r="445">
          <cell r="A445" t="str">
            <v>30017_2</v>
          </cell>
        </row>
        <row r="446">
          <cell r="A446" t="str">
            <v>30018_1</v>
          </cell>
        </row>
        <row r="447">
          <cell r="A447" t="str">
            <v>30018_2</v>
          </cell>
        </row>
        <row r="448">
          <cell r="A448" t="str">
            <v>30019_1</v>
          </cell>
        </row>
        <row r="449">
          <cell r="A449" t="str">
            <v>30019_2</v>
          </cell>
        </row>
        <row r="450">
          <cell r="A450" t="str">
            <v>30020_1</v>
          </cell>
        </row>
        <row r="451">
          <cell r="A451" t="str">
            <v>30020_2</v>
          </cell>
        </row>
        <row r="452">
          <cell r="A452" t="str">
            <v>30021_1</v>
          </cell>
        </row>
        <row r="453">
          <cell r="A453" t="str">
            <v>30021_2</v>
          </cell>
        </row>
        <row r="454">
          <cell r="A454" t="str">
            <v>30021_3</v>
          </cell>
        </row>
        <row r="455">
          <cell r="A455" t="str">
            <v>30022_1</v>
          </cell>
        </row>
        <row r="456">
          <cell r="A456" t="str">
            <v>30022_2</v>
          </cell>
        </row>
        <row r="457">
          <cell r="A457" t="str">
            <v>30023_1</v>
          </cell>
        </row>
        <row r="458">
          <cell r="A458" t="str">
            <v>30023_2</v>
          </cell>
        </row>
        <row r="459">
          <cell r="A459" t="str">
            <v>30023_3</v>
          </cell>
        </row>
        <row r="460">
          <cell r="A460" t="str">
            <v>30024_1</v>
          </cell>
        </row>
        <row r="461">
          <cell r="A461" t="str">
            <v>30024_2</v>
          </cell>
        </row>
        <row r="462">
          <cell r="A462" t="str">
            <v>30024_3</v>
          </cell>
        </row>
        <row r="463">
          <cell r="A463" t="str">
            <v>30025_1</v>
          </cell>
        </row>
        <row r="464">
          <cell r="A464" t="str">
            <v>30025_2</v>
          </cell>
        </row>
        <row r="465">
          <cell r="A465" t="str">
            <v>30025_3</v>
          </cell>
        </row>
        <row r="466">
          <cell r="A466" t="str">
            <v>30026_1</v>
          </cell>
        </row>
        <row r="467">
          <cell r="A467" t="str">
            <v>30026_2</v>
          </cell>
        </row>
        <row r="468">
          <cell r="A468" t="str">
            <v>30026_3</v>
          </cell>
        </row>
        <row r="469">
          <cell r="A469" t="str">
            <v>30027_1</v>
          </cell>
        </row>
        <row r="470">
          <cell r="A470" t="str">
            <v>30027_2</v>
          </cell>
        </row>
        <row r="471">
          <cell r="A471" t="str">
            <v>30027_3</v>
          </cell>
        </row>
        <row r="472">
          <cell r="A472" t="str">
            <v>30028_1</v>
          </cell>
        </row>
        <row r="473">
          <cell r="A473" t="str">
            <v>30028_2</v>
          </cell>
        </row>
        <row r="474">
          <cell r="A474" t="str">
            <v>30028_3</v>
          </cell>
        </row>
        <row r="475">
          <cell r="A475" t="str">
            <v>30029_1</v>
          </cell>
        </row>
        <row r="476">
          <cell r="A476" t="str">
            <v>30029_2</v>
          </cell>
        </row>
        <row r="477">
          <cell r="A477" t="str">
            <v>30029_3</v>
          </cell>
        </row>
        <row r="478">
          <cell r="A478" t="str">
            <v>30030_1</v>
          </cell>
        </row>
        <row r="479">
          <cell r="A479" t="str">
            <v>30030_2</v>
          </cell>
        </row>
        <row r="480">
          <cell r="A480" t="str">
            <v>30030_3</v>
          </cell>
        </row>
        <row r="481">
          <cell r="A481" t="str">
            <v>30031_1</v>
          </cell>
        </row>
        <row r="482">
          <cell r="A482" t="str">
            <v>30031_2</v>
          </cell>
        </row>
        <row r="483">
          <cell r="A483" t="str">
            <v>30031_3</v>
          </cell>
        </row>
        <row r="484">
          <cell r="A484" t="str">
            <v>30032_1</v>
          </cell>
        </row>
        <row r="485">
          <cell r="A485" t="str">
            <v>30032_2</v>
          </cell>
        </row>
        <row r="486">
          <cell r="A486" t="str">
            <v>30032_3</v>
          </cell>
        </row>
        <row r="487">
          <cell r="A487" t="str">
            <v>30033_1</v>
          </cell>
        </row>
        <row r="488">
          <cell r="A488" t="str">
            <v>30033_2</v>
          </cell>
        </row>
        <row r="489">
          <cell r="A489" t="str">
            <v>30033_3</v>
          </cell>
        </row>
        <row r="490">
          <cell r="A490" t="str">
            <v>30034_1</v>
          </cell>
        </row>
        <row r="491">
          <cell r="A491" t="str">
            <v>30034_2</v>
          </cell>
        </row>
        <row r="492">
          <cell r="A492" t="str">
            <v>30034_3</v>
          </cell>
        </row>
        <row r="493">
          <cell r="A493" t="str">
            <v>30035_1</v>
          </cell>
        </row>
        <row r="494">
          <cell r="A494" t="str">
            <v>30035_2</v>
          </cell>
        </row>
        <row r="495">
          <cell r="A495" t="str">
            <v>30035_3</v>
          </cell>
        </row>
        <row r="496">
          <cell r="A496" t="str">
            <v>30036_1</v>
          </cell>
        </row>
        <row r="497">
          <cell r="A497" t="str">
            <v>30036_2</v>
          </cell>
        </row>
        <row r="498">
          <cell r="A498" t="str">
            <v>30036_3</v>
          </cell>
        </row>
        <row r="499">
          <cell r="A499" t="str">
            <v>30037_1</v>
          </cell>
        </row>
        <row r="500">
          <cell r="A500" t="str">
            <v>30037_2</v>
          </cell>
        </row>
        <row r="501">
          <cell r="A501" t="str">
            <v>30037_3</v>
          </cell>
        </row>
        <row r="502">
          <cell r="A502" t="str">
            <v>39001_1</v>
          </cell>
        </row>
        <row r="503">
          <cell r="A503" t="str">
            <v>39001_2</v>
          </cell>
        </row>
        <row r="504">
          <cell r="A504" t="str">
            <v>39001_3</v>
          </cell>
        </row>
        <row r="505">
          <cell r="A505" t="str">
            <v>39001_4</v>
          </cell>
        </row>
        <row r="506">
          <cell r="A506" t="str">
            <v>39001_5</v>
          </cell>
        </row>
        <row r="507">
          <cell r="A507" t="str">
            <v>39002_1</v>
          </cell>
        </row>
        <row r="508">
          <cell r="A508" t="str">
            <v>39002_2</v>
          </cell>
        </row>
        <row r="509">
          <cell r="A509" t="str">
            <v>39002_3</v>
          </cell>
        </row>
        <row r="510">
          <cell r="A510" t="str">
            <v>39002_4</v>
          </cell>
        </row>
        <row r="511">
          <cell r="A511" t="str">
            <v>39003_1</v>
          </cell>
        </row>
        <row r="512">
          <cell r="A512" t="str">
            <v>39003_2</v>
          </cell>
        </row>
        <row r="513">
          <cell r="A513" t="str">
            <v>39003_3</v>
          </cell>
        </row>
        <row r="514">
          <cell r="A514" t="str">
            <v>39003_4</v>
          </cell>
        </row>
        <row r="515">
          <cell r="A515" t="str">
            <v>39004_1</v>
          </cell>
        </row>
        <row r="516">
          <cell r="A516" t="str">
            <v>39004_2</v>
          </cell>
        </row>
        <row r="517">
          <cell r="A517" t="str">
            <v>39004_3</v>
          </cell>
        </row>
        <row r="518">
          <cell r="A518" t="str">
            <v>39004_4</v>
          </cell>
        </row>
        <row r="519">
          <cell r="A519" t="str">
            <v>39005_1</v>
          </cell>
        </row>
        <row r="520">
          <cell r="A520" t="str">
            <v>39005_2</v>
          </cell>
        </row>
        <row r="521">
          <cell r="A521" t="str">
            <v>39005_3</v>
          </cell>
        </row>
        <row r="522">
          <cell r="A522" t="str">
            <v>39005_4</v>
          </cell>
        </row>
        <row r="523">
          <cell r="A523" t="str">
            <v>39005_5</v>
          </cell>
        </row>
        <row r="524">
          <cell r="A524" t="str">
            <v>39006_1</v>
          </cell>
        </row>
        <row r="525">
          <cell r="A525" t="str">
            <v>39006_2</v>
          </cell>
        </row>
        <row r="526">
          <cell r="A526" t="str">
            <v>39006_3</v>
          </cell>
        </row>
        <row r="527">
          <cell r="A527" t="str">
            <v>39006_4</v>
          </cell>
        </row>
        <row r="528">
          <cell r="A528" t="str">
            <v>40001_1</v>
          </cell>
        </row>
        <row r="529">
          <cell r="A529" t="str">
            <v>40002_1</v>
          </cell>
        </row>
        <row r="530">
          <cell r="A530" t="str">
            <v>40002_2</v>
          </cell>
        </row>
        <row r="531">
          <cell r="A531" t="str">
            <v>40002_3</v>
          </cell>
        </row>
        <row r="532">
          <cell r="A532" t="str">
            <v>40003_1</v>
          </cell>
        </row>
        <row r="533">
          <cell r="A533" t="str">
            <v>40004_1</v>
          </cell>
        </row>
        <row r="534">
          <cell r="A534" t="str">
            <v>40005_1</v>
          </cell>
        </row>
        <row r="535">
          <cell r="A535" t="str">
            <v>40006_1</v>
          </cell>
        </row>
        <row r="536">
          <cell r="A536" t="str">
            <v>40007_1</v>
          </cell>
        </row>
        <row r="537">
          <cell r="A537" t="str">
            <v>40008_1</v>
          </cell>
        </row>
        <row r="538">
          <cell r="A538" t="str">
            <v>40009_1</v>
          </cell>
        </row>
        <row r="539">
          <cell r="A539" t="str">
            <v>40010_1</v>
          </cell>
        </row>
        <row r="540">
          <cell r="A540" t="str">
            <v>40011_1</v>
          </cell>
        </row>
        <row r="541">
          <cell r="A541" t="str">
            <v>40012_1</v>
          </cell>
        </row>
        <row r="542">
          <cell r="A542" t="str">
            <v>40013_1</v>
          </cell>
        </row>
        <row r="543">
          <cell r="A543" t="str">
            <v>40014_1</v>
          </cell>
        </row>
        <row r="544">
          <cell r="A544" t="str">
            <v>40015_1</v>
          </cell>
        </row>
        <row r="545">
          <cell r="A545" t="str">
            <v>40016_1</v>
          </cell>
        </row>
        <row r="546">
          <cell r="A546" t="str">
            <v>40016_2</v>
          </cell>
        </row>
        <row r="547">
          <cell r="A547" t="str">
            <v>40017_1</v>
          </cell>
        </row>
        <row r="548">
          <cell r="A548" t="str">
            <v>40017_2</v>
          </cell>
        </row>
        <row r="549">
          <cell r="A549" t="str">
            <v>40017_3</v>
          </cell>
        </row>
        <row r="550">
          <cell r="A550" t="str">
            <v>40018_1</v>
          </cell>
        </row>
        <row r="551">
          <cell r="A551" t="str">
            <v>40018_2</v>
          </cell>
        </row>
        <row r="552">
          <cell r="A552" t="str">
            <v>40018_3</v>
          </cell>
        </row>
        <row r="553">
          <cell r="A553" t="str">
            <v>40019_1</v>
          </cell>
        </row>
        <row r="554">
          <cell r="A554" t="str">
            <v>40019_2</v>
          </cell>
        </row>
        <row r="555">
          <cell r="A555" t="str">
            <v>40019_3</v>
          </cell>
        </row>
        <row r="556">
          <cell r="A556" t="str">
            <v>40020_1</v>
          </cell>
        </row>
        <row r="557">
          <cell r="A557" t="str">
            <v>40020_2</v>
          </cell>
        </row>
        <row r="558">
          <cell r="A558" t="str">
            <v>40021_1</v>
          </cell>
        </row>
        <row r="559">
          <cell r="A559" t="str">
            <v>40021_2</v>
          </cell>
        </row>
        <row r="560">
          <cell r="A560" t="str">
            <v>48001_1</v>
          </cell>
        </row>
        <row r="561">
          <cell r="A561" t="str">
            <v>48002_1</v>
          </cell>
        </row>
        <row r="562">
          <cell r="A562" t="str">
            <v>48002_2</v>
          </cell>
        </row>
        <row r="563">
          <cell r="A563" t="str">
            <v>48002_3</v>
          </cell>
        </row>
        <row r="564">
          <cell r="A564" t="str">
            <v>41001_1</v>
          </cell>
        </row>
        <row r="565">
          <cell r="A565" t="str">
            <v>41001_2</v>
          </cell>
        </row>
        <row r="566">
          <cell r="A566" t="str">
            <v>41001_3</v>
          </cell>
        </row>
        <row r="567">
          <cell r="A567" t="str">
            <v>41002_1</v>
          </cell>
        </row>
        <row r="568">
          <cell r="A568" t="str">
            <v>41002_2</v>
          </cell>
        </row>
        <row r="569">
          <cell r="A569" t="str">
            <v>41002_3</v>
          </cell>
        </row>
        <row r="570">
          <cell r="A570" t="str">
            <v>41003_1</v>
          </cell>
        </row>
        <row r="571">
          <cell r="A571" t="str">
            <v>41003_2</v>
          </cell>
        </row>
        <row r="572">
          <cell r="A572" t="str">
            <v>41003_3</v>
          </cell>
        </row>
        <row r="573">
          <cell r="A573" t="str">
            <v>41004_1</v>
          </cell>
        </row>
        <row r="574">
          <cell r="A574" t="str">
            <v>41004_2</v>
          </cell>
        </row>
        <row r="575">
          <cell r="A575" t="str">
            <v>41004_3</v>
          </cell>
        </row>
        <row r="576">
          <cell r="A576" t="str">
            <v>41005_1</v>
          </cell>
        </row>
        <row r="577">
          <cell r="A577" t="str">
            <v>41005_2</v>
          </cell>
        </row>
        <row r="578">
          <cell r="A578" t="str">
            <v>41005_3</v>
          </cell>
        </row>
        <row r="579">
          <cell r="A579" t="str">
            <v>41006_1</v>
          </cell>
        </row>
        <row r="580">
          <cell r="A580" t="str">
            <v>41006_2</v>
          </cell>
        </row>
        <row r="581">
          <cell r="A581" t="str">
            <v>41006_3</v>
          </cell>
        </row>
        <row r="582">
          <cell r="A582" t="str">
            <v>41007_1</v>
          </cell>
        </row>
        <row r="583">
          <cell r="A583" t="str">
            <v>41007_2</v>
          </cell>
        </row>
        <row r="584">
          <cell r="A584" t="str">
            <v>41007_3</v>
          </cell>
        </row>
        <row r="585">
          <cell r="A585" t="str">
            <v>41008_1</v>
          </cell>
        </row>
        <row r="586">
          <cell r="A586" t="str">
            <v>41008_2</v>
          </cell>
        </row>
        <row r="587">
          <cell r="A587" t="str">
            <v>41008_3</v>
          </cell>
        </row>
        <row r="588">
          <cell r="A588" t="str">
            <v>41009_1</v>
          </cell>
        </row>
        <row r="589">
          <cell r="A589" t="str">
            <v>41009_2</v>
          </cell>
        </row>
        <row r="590">
          <cell r="A590" t="str">
            <v>41009_3</v>
          </cell>
        </row>
        <row r="591">
          <cell r="A591" t="str">
            <v>41010_1</v>
          </cell>
        </row>
        <row r="592">
          <cell r="A592" t="str">
            <v>41010_2</v>
          </cell>
        </row>
        <row r="593">
          <cell r="A593" t="str">
            <v>41010_3</v>
          </cell>
        </row>
        <row r="594">
          <cell r="A594" t="str">
            <v>49001_1</v>
          </cell>
        </row>
        <row r="595">
          <cell r="A595" t="str">
            <v>49002_1</v>
          </cell>
        </row>
        <row r="596">
          <cell r="A596" t="str">
            <v>49002_2</v>
          </cell>
        </row>
        <row r="597">
          <cell r="A597" t="str">
            <v>49003_1</v>
          </cell>
        </row>
        <row r="598">
          <cell r="A598" t="str">
            <v>49003_2</v>
          </cell>
        </row>
        <row r="599">
          <cell r="A599" t="str">
            <v>49004_1</v>
          </cell>
        </row>
        <row r="600">
          <cell r="A600" t="str">
            <v>49004_2</v>
          </cell>
        </row>
        <row r="601">
          <cell r="A601" t="str">
            <v>49004_3</v>
          </cell>
        </row>
        <row r="602">
          <cell r="A602" t="str">
            <v>49005_1</v>
          </cell>
        </row>
        <row r="603">
          <cell r="A603" t="str">
            <v>49006_1</v>
          </cell>
        </row>
        <row r="604">
          <cell r="A604" t="str">
            <v>50001_1</v>
          </cell>
        </row>
        <row r="605">
          <cell r="A605" t="str">
            <v>50002_1</v>
          </cell>
        </row>
        <row r="606">
          <cell r="A606" t="str">
            <v>50003_1</v>
          </cell>
        </row>
        <row r="607">
          <cell r="A607" t="str">
            <v>50004_1</v>
          </cell>
        </row>
        <row r="608">
          <cell r="A608" t="str">
            <v>50005_1</v>
          </cell>
        </row>
        <row r="609">
          <cell r="A609" t="str">
            <v>51001_1</v>
          </cell>
        </row>
        <row r="610">
          <cell r="A610" t="str">
            <v>51002_1</v>
          </cell>
        </row>
        <row r="611">
          <cell r="A611" t="str">
            <v>60001_1</v>
          </cell>
        </row>
        <row r="612">
          <cell r="A612" t="str">
            <v>60002_1</v>
          </cell>
        </row>
        <row r="613">
          <cell r="A613" t="str">
            <v>60002_2</v>
          </cell>
        </row>
        <row r="614">
          <cell r="A614" t="str">
            <v>60003_1</v>
          </cell>
        </row>
        <row r="615">
          <cell r="A615" t="str">
            <v>60003_2</v>
          </cell>
        </row>
        <row r="616">
          <cell r="A616" t="str">
            <v>60003_3</v>
          </cell>
        </row>
        <row r="617">
          <cell r="A617" t="str">
            <v>60004_1</v>
          </cell>
        </row>
        <row r="618">
          <cell r="A618" t="str">
            <v>60005_1</v>
          </cell>
        </row>
        <row r="619">
          <cell r="A619" t="str">
            <v>60006_1</v>
          </cell>
        </row>
        <row r="620">
          <cell r="A620" t="str">
            <v>60006_2</v>
          </cell>
        </row>
        <row r="621">
          <cell r="A621" t="str">
            <v>60006_3</v>
          </cell>
        </row>
        <row r="622">
          <cell r="A622" t="str">
            <v>60007_1</v>
          </cell>
        </row>
        <row r="623">
          <cell r="A623" t="str">
            <v>60007_2</v>
          </cell>
        </row>
        <row r="624">
          <cell r="A624" t="str">
            <v>60007_3</v>
          </cell>
        </row>
        <row r="625">
          <cell r="A625" t="str">
            <v>60010_1</v>
          </cell>
        </row>
        <row r="626">
          <cell r="A626" t="str">
            <v>60011_1</v>
          </cell>
        </row>
        <row r="627">
          <cell r="A627" t="str">
            <v>65535_1</v>
          </cell>
        </row>
        <row r="628">
          <cell r="A628" t="str">
            <v>65535_2</v>
          </cell>
        </row>
        <row r="629">
          <cell r="A629" t="str">
            <v>65535_3</v>
          </cell>
        </row>
        <row r="630">
          <cell r="A630" t="str">
            <v>65535_4</v>
          </cell>
        </row>
        <row r="631">
          <cell r="A631" t="str">
            <v>65535_5</v>
          </cell>
        </row>
        <row r="632">
          <cell r="A632" t="str">
            <v>65535_6</v>
          </cell>
        </row>
        <row r="633">
          <cell r="A633" t="str">
            <v>65535_7</v>
          </cell>
        </row>
        <row r="634">
          <cell r="A634" t="str">
            <v>65535_8</v>
          </cell>
        </row>
        <row r="635">
          <cell r="A635" t="str">
            <v>60021_3</v>
          </cell>
        </row>
        <row r="636">
          <cell r="A636" t="str">
            <v>60022_3</v>
          </cell>
        </row>
        <row r="637">
          <cell r="A637" t="str">
            <v>60023_3</v>
          </cell>
        </row>
        <row r="638">
          <cell r="A638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C2" sqref="C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6" t="s">
        <v>131</v>
      </c>
      <c r="B1" s="51" t="s">
        <v>101</v>
      </c>
      <c r="C1" s="51" t="s">
        <v>102</v>
      </c>
      <c r="D1" s="51" t="s">
        <v>103</v>
      </c>
      <c r="E1" s="51" t="s">
        <v>104</v>
      </c>
      <c r="F1" s="51" t="s">
        <v>105</v>
      </c>
      <c r="G1" s="51" t="s">
        <v>106</v>
      </c>
      <c r="H1" s="51"/>
      <c r="I1" s="51"/>
      <c r="J1" s="51"/>
      <c r="K1" s="51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</row>
    <row r="2" spans="1:30" x14ac:dyDescent="0.15">
      <c r="A2" s="57" t="s">
        <v>212</v>
      </c>
      <c r="B2" s="53" t="s">
        <v>107</v>
      </c>
      <c r="C2" s="58">
        <v>15028</v>
      </c>
      <c r="D2" s="53" t="s">
        <v>108</v>
      </c>
      <c r="E2" s="52" t="str">
        <f>B2&amp;C2&amp;D2</f>
        <v>floors_15028.tmp</v>
      </c>
      <c r="F2" s="53" t="s">
        <v>109</v>
      </c>
      <c r="G2" s="54" t="s">
        <v>0</v>
      </c>
      <c r="H2" s="54" t="s">
        <v>1</v>
      </c>
      <c r="I2" s="54" t="s">
        <v>13</v>
      </c>
      <c r="J2" s="54" t="s">
        <v>14</v>
      </c>
      <c r="K2" s="54" t="s">
        <v>15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</row>
    <row r="3" spans="1:30" x14ac:dyDescent="0.15">
      <c r="A3" s="57" t="s">
        <v>212</v>
      </c>
      <c r="B3" s="53" t="s">
        <v>110</v>
      </c>
      <c r="C3" s="58">
        <f>C$2</f>
        <v>15028</v>
      </c>
      <c r="D3" s="53" t="s">
        <v>108</v>
      </c>
      <c r="E3" s="52" t="str">
        <f>B3&amp;C3&amp;D3</f>
        <v>enemy_habitats_15028.tmp</v>
      </c>
      <c r="F3" s="53" t="s">
        <v>111</v>
      </c>
      <c r="G3" s="54" t="s">
        <v>0</v>
      </c>
      <c r="H3" s="54" t="s">
        <v>1</v>
      </c>
      <c r="I3" s="54" t="s">
        <v>13</v>
      </c>
      <c r="J3" s="54" t="s">
        <v>2</v>
      </c>
      <c r="K3" s="54" t="s">
        <v>3</v>
      </c>
      <c r="L3" s="54" t="s">
        <v>47</v>
      </c>
      <c r="M3" s="54" t="s">
        <v>49</v>
      </c>
      <c r="N3" s="54" t="s">
        <v>51</v>
      </c>
      <c r="O3" s="54" t="s">
        <v>22</v>
      </c>
      <c r="P3" s="54" t="s">
        <v>5</v>
      </c>
      <c r="Q3" s="54" t="s">
        <v>6</v>
      </c>
      <c r="R3" s="54" t="s">
        <v>7</v>
      </c>
      <c r="S3" s="54" t="s">
        <v>8</v>
      </c>
      <c r="T3" s="54" t="s">
        <v>9</v>
      </c>
      <c r="U3" s="54" t="s">
        <v>10</v>
      </c>
      <c r="V3" s="54" t="s">
        <v>11</v>
      </c>
      <c r="W3" s="54" t="s">
        <v>12</v>
      </c>
      <c r="X3" s="54" t="s">
        <v>37</v>
      </c>
      <c r="Y3" s="54" t="s">
        <v>39</v>
      </c>
      <c r="Z3" s="54" t="s">
        <v>41</v>
      </c>
      <c r="AA3" s="54" t="s">
        <v>43</v>
      </c>
      <c r="AB3" s="54" t="s">
        <v>45</v>
      </c>
      <c r="AC3" s="54" t="s">
        <v>54</v>
      </c>
      <c r="AD3" s="54" t="s">
        <v>179</v>
      </c>
    </row>
    <row r="4" spans="1:30" x14ac:dyDescent="0.15">
      <c r="A4" s="57" t="s">
        <v>212</v>
      </c>
      <c r="B4" s="53" t="s">
        <v>112</v>
      </c>
      <c r="C4" s="58">
        <f t="shared" ref="C4:C12" si="0">C$2</f>
        <v>15028</v>
      </c>
      <c r="D4" s="53" t="s">
        <v>108</v>
      </c>
      <c r="E4" s="52" t="str">
        <f>B4&amp;C4&amp;D4</f>
        <v>enemy_habitat_S_15028.tmp</v>
      </c>
      <c r="F4" s="53" t="s">
        <v>113</v>
      </c>
      <c r="G4" s="54" t="s">
        <v>0</v>
      </c>
      <c r="H4" s="54" t="s">
        <v>1</v>
      </c>
      <c r="I4" s="54" t="s">
        <v>13</v>
      </c>
      <c r="J4" s="54" t="s">
        <v>54</v>
      </c>
      <c r="K4" s="54" t="s">
        <v>55</v>
      </c>
      <c r="L4" s="54" t="s">
        <v>56</v>
      </c>
      <c r="M4" s="54" t="s">
        <v>57</v>
      </c>
      <c r="N4" s="54" t="s">
        <v>58</v>
      </c>
      <c r="O4" s="54" t="s">
        <v>59</v>
      </c>
      <c r="P4" s="54" t="s">
        <v>48</v>
      </c>
      <c r="Q4" s="54" t="s">
        <v>50</v>
      </c>
      <c r="R4" s="54" t="s">
        <v>52</v>
      </c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</row>
    <row r="5" spans="1:30" x14ac:dyDescent="0.15">
      <c r="A5" s="57" t="s">
        <v>212</v>
      </c>
      <c r="B5" s="53" t="s">
        <v>114</v>
      </c>
      <c r="C5" s="58">
        <f t="shared" si="0"/>
        <v>15028</v>
      </c>
      <c r="D5" s="53" t="s">
        <v>108</v>
      </c>
      <c r="E5" s="52" t="str">
        <f>B5&amp;C5&amp;D5</f>
        <v>enemy_skill_sets_15028.tmp</v>
      </c>
      <c r="F5" s="53" t="s">
        <v>115</v>
      </c>
      <c r="G5" s="55" t="s">
        <v>22</v>
      </c>
      <c r="H5" s="55" t="s">
        <v>100</v>
      </c>
      <c r="I5" s="55" t="s">
        <v>95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</row>
    <row r="6" spans="1:30" x14ac:dyDescent="0.15">
      <c r="A6" s="57" t="s">
        <v>212</v>
      </c>
      <c r="B6" s="53" t="s">
        <v>116</v>
      </c>
      <c r="C6" s="58">
        <f t="shared" si="0"/>
        <v>15028</v>
      </c>
      <c r="D6" s="53" t="s">
        <v>117</v>
      </c>
      <c r="E6" s="52" t="str">
        <f t="shared" ref="E6:E10" si="1">B6&amp;C6&amp;D6</f>
        <v>enemy_skills_tmp_15028.tmp</v>
      </c>
      <c r="F6" s="53" t="s">
        <v>91</v>
      </c>
      <c r="G6" s="54" t="s">
        <v>79</v>
      </c>
      <c r="H6" s="54" t="s">
        <v>80</v>
      </c>
      <c r="I6" s="54" t="s">
        <v>81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</row>
    <row r="7" spans="1:30" x14ac:dyDescent="0.15">
      <c r="A7" s="57" t="s">
        <v>212</v>
      </c>
      <c r="B7" s="53" t="s">
        <v>118</v>
      </c>
      <c r="C7" s="58">
        <f t="shared" si="0"/>
        <v>15028</v>
      </c>
      <c r="D7" s="53" t="s">
        <v>108</v>
      </c>
      <c r="E7" s="52" t="str">
        <f>B7&amp;C7&amp;D7</f>
        <v>enemy_skills_i18n_15028.tmp</v>
      </c>
      <c r="F7" s="53" t="s">
        <v>119</v>
      </c>
      <c r="G7" s="54" t="s">
        <v>79</v>
      </c>
      <c r="H7" s="54" t="s">
        <v>92</v>
      </c>
      <c r="I7" s="54" t="s">
        <v>93</v>
      </c>
      <c r="J7" s="54" t="s">
        <v>94</v>
      </c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</row>
    <row r="8" spans="1:30" x14ac:dyDescent="0.15">
      <c r="A8" s="57" t="s">
        <v>212</v>
      </c>
      <c r="B8" s="53" t="s">
        <v>120</v>
      </c>
      <c r="C8" s="58">
        <f t="shared" si="0"/>
        <v>15028</v>
      </c>
      <c r="D8" s="53" t="s">
        <v>121</v>
      </c>
      <c r="E8" s="52" t="str">
        <f t="shared" si="1"/>
        <v>enemy_skill_triggers_15028.tmp</v>
      </c>
      <c r="F8" s="53" t="s">
        <v>122</v>
      </c>
      <c r="G8" s="54" t="s">
        <v>95</v>
      </c>
      <c r="H8" s="54" t="s">
        <v>96</v>
      </c>
      <c r="I8" s="54" t="s">
        <v>97</v>
      </c>
      <c r="J8" s="54" t="s">
        <v>98</v>
      </c>
      <c r="K8" s="54" t="s">
        <v>123</v>
      </c>
      <c r="L8" s="54" t="s">
        <v>99</v>
      </c>
      <c r="M8" s="54" t="s">
        <v>124</v>
      </c>
      <c r="N8" s="54" t="s">
        <v>125</v>
      </c>
      <c r="O8" s="54" t="s">
        <v>126</v>
      </c>
      <c r="P8" s="54" t="s">
        <v>67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</row>
    <row r="9" spans="1:30" x14ac:dyDescent="0.15">
      <c r="A9" s="57" t="s">
        <v>212</v>
      </c>
      <c r="B9" s="63" t="s">
        <v>178</v>
      </c>
      <c r="C9" s="58">
        <f t="shared" si="0"/>
        <v>15028</v>
      </c>
      <c r="D9" s="63" t="s">
        <v>172</v>
      </c>
      <c r="E9" s="64" t="str">
        <f t="shared" si="1"/>
        <v>stage_bug_bonuses_15028.tmp</v>
      </c>
      <c r="F9" s="63" t="s">
        <v>173</v>
      </c>
      <c r="G9" s="60" t="s">
        <v>151</v>
      </c>
      <c r="H9" s="60" t="s">
        <v>174</v>
      </c>
      <c r="I9" s="60" t="s">
        <v>175</v>
      </c>
      <c r="J9" s="62" t="s">
        <v>176</v>
      </c>
      <c r="K9" s="60" t="s">
        <v>177</v>
      </c>
      <c r="L9" s="60" t="s">
        <v>157</v>
      </c>
      <c r="M9" s="60" t="s">
        <v>158</v>
      </c>
      <c r="N9" s="60" t="s">
        <v>159</v>
      </c>
      <c r="O9" s="60" t="s">
        <v>160</v>
      </c>
      <c r="P9" s="60" t="s">
        <v>161</v>
      </c>
      <c r="Q9" s="60" t="s">
        <v>162</v>
      </c>
      <c r="R9" s="60" t="s">
        <v>163</v>
      </c>
      <c r="S9" s="60" t="s">
        <v>164</v>
      </c>
      <c r="T9" s="60" t="s">
        <v>165</v>
      </c>
      <c r="U9" s="60" t="s">
        <v>166</v>
      </c>
      <c r="V9" s="60" t="s">
        <v>167</v>
      </c>
      <c r="W9" s="60" t="s">
        <v>168</v>
      </c>
    </row>
    <row r="10" spans="1:30" s="71" customFormat="1" x14ac:dyDescent="0.15">
      <c r="A10" s="57" t="s">
        <v>212</v>
      </c>
      <c r="B10" s="63" t="s">
        <v>201</v>
      </c>
      <c r="C10" s="58">
        <f>C$2</f>
        <v>15028</v>
      </c>
      <c r="D10" s="63" t="s">
        <v>181</v>
      </c>
      <c r="E10" s="64" t="str">
        <f t="shared" si="1"/>
        <v>stage_hints_data_c_15028.tmp</v>
      </c>
      <c r="F10" s="63" t="s">
        <v>209</v>
      </c>
      <c r="G10" s="68" t="s">
        <v>182</v>
      </c>
      <c r="H10" s="68" t="s">
        <v>174</v>
      </c>
      <c r="I10" s="69" t="s">
        <v>183</v>
      </c>
      <c r="J10" s="62" t="s">
        <v>184</v>
      </c>
      <c r="K10" s="70" t="s">
        <v>185</v>
      </c>
    </row>
    <row r="11" spans="1:30" s="71" customFormat="1" x14ac:dyDescent="0.15">
      <c r="A11" s="57" t="s">
        <v>212</v>
      </c>
      <c r="B11" s="63" t="s">
        <v>202</v>
      </c>
      <c r="C11" s="58">
        <f t="shared" si="0"/>
        <v>15028</v>
      </c>
      <c r="D11" s="63" t="s">
        <v>172</v>
      </c>
      <c r="E11" s="64" t="str">
        <f t="shared" ref="E11:E12" si="2">B11&amp;C11&amp;D11</f>
        <v>stage_hints_data_f_15028.tmp</v>
      </c>
      <c r="F11" s="63" t="s">
        <v>210</v>
      </c>
      <c r="G11" s="68" t="s">
        <v>182</v>
      </c>
      <c r="H11" s="68" t="s">
        <v>174</v>
      </c>
      <c r="I11" s="69" t="s">
        <v>183</v>
      </c>
      <c r="J11" s="62" t="s">
        <v>184</v>
      </c>
      <c r="K11" s="70" t="s">
        <v>185</v>
      </c>
    </row>
    <row r="12" spans="1:30" s="71" customFormat="1" x14ac:dyDescent="0.15">
      <c r="A12" s="57" t="s">
        <v>212</v>
      </c>
      <c r="B12" s="63" t="s">
        <v>203</v>
      </c>
      <c r="C12" s="58">
        <f t="shared" si="0"/>
        <v>15028</v>
      </c>
      <c r="D12" s="63" t="s">
        <v>172</v>
      </c>
      <c r="E12" s="64" t="str">
        <f t="shared" si="2"/>
        <v>stage_hints_i18n_15028.tmp</v>
      </c>
      <c r="F12" s="63" t="s">
        <v>211</v>
      </c>
      <c r="G12" s="69" t="s">
        <v>204</v>
      </c>
      <c r="H12" s="90" t="s">
        <v>205</v>
      </c>
      <c r="I12" s="68" t="s">
        <v>206</v>
      </c>
      <c r="J12" s="91" t="s">
        <v>207</v>
      </c>
      <c r="K12" s="70" t="s">
        <v>208</v>
      </c>
    </row>
  </sheetData>
  <phoneticPr fontId="6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8"/>
  <sheetViews>
    <sheetView showGridLines="0" workbookViewId="0">
      <pane ySplit="1" topLeftCell="A2" activePane="bottomLeft" state="frozen"/>
      <selection activeCell="V2" sqref="V2:X34"/>
      <selection pane="bottomLeft" activeCell="L10" sqref="L10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thickBot="1" x14ac:dyDescent="0.2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19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15028_1-1</v>
      </c>
      <c r="B2" s="15" t="str">
        <f>IF(COUNTIF(enemy_habitats!$H:$H,A2),"OK","NG")</f>
        <v>OK</v>
      </c>
      <c r="C2" s="7">
        <v>15028</v>
      </c>
      <c r="D2" s="11" t="str">
        <f ca="1">VLOOKUP($C2,OFFSET([2]quests!$A$1,0,0,COUNTA([2]quests!$A:$A),MATCH(D$1,[2]quests!$1:$1,0)-MATCH($C$1,[2]quests!$1:$1,0)+1),MATCH(D$1,[2]quests!$1:$1,0)-MATCH($C$1,[2]quests!$1:$1,0)+1,FALSE)</f>
        <v>28. 暴風と灼熱の罪浄</v>
      </c>
      <c r="E2" s="17" t="str">
        <f ca="1">VLOOKUP($C2,OFFSET([2]quests!$A$1,0,0,COUNTA([2]quests!$A:$A),MATCH(E$1,[2]quests!$1:$1,0)-MATCH($C$1,[2]quests!$1:$1,0)+1),MATCH(E$1,[2]quests!$1:$1,0)-MATCH($C$1,[2]quests!$1:$1,0)+1,FALSE)</f>
        <v>赤緑DL6</v>
      </c>
      <c r="F2" s="93">
        <v>1</v>
      </c>
      <c r="G2" s="19" t="str">
        <f>C2&amp;"_"&amp;F2</f>
        <v>15028_1</v>
      </c>
      <c r="H2" s="14" t="str">
        <f ca="1">VLOOKUP($G2,OFFSET([2]stages!$A$1,0,0,COUNTA([2]stages!$A:$A),MATCH(H$1,[2]stages!$2:$2,0)-MATCH($G$1,[2]stages!$2:$2,0)+1),MATCH(H$1,[2]stages!$2:$2,0)-MATCH($G$1,[2]stages!$2:$2,0)+1,FALSE)</f>
        <v>28-1. 轟翼のかまど</v>
      </c>
      <c r="I2" s="93">
        <v>1</v>
      </c>
      <c r="J2" s="98">
        <v>44</v>
      </c>
      <c r="K2" s="99">
        <v>45</v>
      </c>
    </row>
    <row r="3" spans="1:11" ht="21" customHeight="1" x14ac:dyDescent="0.15">
      <c r="A3" s="15" t="str">
        <f t="shared" ref="A3:A18" si="0">G3&amp;"-"&amp;I3</f>
        <v>15028_1-2</v>
      </c>
      <c r="B3" s="15" t="str">
        <f>IF(COUNTIF(enemy_habitats!$H:$H,A3),"OK","NG")</f>
        <v>OK</v>
      </c>
      <c r="C3" s="7">
        <v>15028</v>
      </c>
      <c r="D3" s="11" t="str">
        <f ca="1">VLOOKUP($C3,OFFSET([2]quests!$A$1,0,0,COUNTA([2]quests!$A:$A),MATCH(D$1,[2]quests!$1:$1,0)-MATCH($C$1,[2]quests!$1:$1,0)+1),MATCH(D$1,[2]quests!$1:$1,0)-MATCH($C$1,[2]quests!$1:$1,0)+1,FALSE)</f>
        <v>28. 暴風と灼熱の罪浄</v>
      </c>
      <c r="E3" s="17" t="str">
        <f ca="1">VLOOKUP($C3,OFFSET([2]quests!$A$1,0,0,COUNTA([2]quests!$A:$A),MATCH(E$1,[2]quests!$1:$1,0)-MATCH($C$1,[2]quests!$1:$1,0)+1),MATCH(E$1,[2]quests!$1:$1,0)-MATCH($C$1,[2]quests!$1:$1,0)+1,FALSE)</f>
        <v>赤緑DL6</v>
      </c>
      <c r="F3" s="94">
        <v>1</v>
      </c>
      <c r="G3" s="19" t="str">
        <f t="shared" ref="G3:G18" si="1">C3&amp;"_"&amp;F3</f>
        <v>15028_1</v>
      </c>
      <c r="H3" s="14" t="str">
        <f ca="1">VLOOKUP($G3,OFFSET([2]stages!$A$1,0,0,COUNTA([2]stages!$A:$A),MATCH(H$1,[2]stages!$2:$2,0)-MATCH($G$1,[2]stages!$2:$2,0)+1),MATCH(H$1,[2]stages!$2:$2,0)-MATCH($G$1,[2]stages!$2:$2,0)+1,FALSE)</f>
        <v>28-1. 轟翼のかまど</v>
      </c>
      <c r="I3" s="94">
        <v>2</v>
      </c>
      <c r="J3" s="34">
        <v>59</v>
      </c>
      <c r="K3" s="100">
        <v>60</v>
      </c>
    </row>
    <row r="4" spans="1:11" ht="21" customHeight="1" x14ac:dyDescent="0.15">
      <c r="A4" s="15" t="str">
        <f t="shared" ref="A4" si="2">G4&amp;"-"&amp;I4</f>
        <v>15028_1-3</v>
      </c>
      <c r="B4" s="15" t="str">
        <f>IF(COUNTIF(enemy_habitats!$H:$H,A4),"OK","NG")</f>
        <v>OK</v>
      </c>
      <c r="C4" s="7">
        <v>15028</v>
      </c>
      <c r="D4" s="11" t="str">
        <f ca="1">VLOOKUP($C4,OFFSET([2]quests!$A$1,0,0,COUNTA([2]quests!$A:$A),MATCH(D$1,[2]quests!$1:$1,0)-MATCH($C$1,[2]quests!$1:$1,0)+1),MATCH(D$1,[2]quests!$1:$1,0)-MATCH($C$1,[2]quests!$1:$1,0)+1,FALSE)</f>
        <v>28. 暴風と灼熱の罪浄</v>
      </c>
      <c r="E4" s="17" t="str">
        <f ca="1">VLOOKUP($C4,OFFSET([2]quests!$A$1,0,0,COUNTA([2]quests!$A:$A),MATCH(E$1,[2]quests!$1:$1,0)-MATCH($C$1,[2]quests!$1:$1,0)+1),MATCH(E$1,[2]quests!$1:$1,0)-MATCH($C$1,[2]quests!$1:$1,0)+1,FALSE)</f>
        <v>赤緑DL6</v>
      </c>
      <c r="F4" s="94">
        <v>1</v>
      </c>
      <c r="G4" s="19" t="str">
        <f t="shared" ref="G4" si="3">C4&amp;"_"&amp;F4</f>
        <v>15028_1</v>
      </c>
      <c r="H4" s="14" t="str">
        <f ca="1">VLOOKUP($G4,OFFSET([2]stages!$A$1,0,0,COUNTA([2]stages!$A:$A),MATCH(H$1,[2]stages!$2:$2,0)-MATCH($G$1,[2]stages!$2:$2,0)+1),MATCH(H$1,[2]stages!$2:$2,0)-MATCH($G$1,[2]stages!$2:$2,0)+1,FALSE)</f>
        <v>28-1. 轟翼のかまど</v>
      </c>
      <c r="I4" s="94">
        <v>3</v>
      </c>
      <c r="J4" s="34">
        <v>60</v>
      </c>
      <c r="K4" s="100">
        <v>60</v>
      </c>
    </row>
    <row r="5" spans="1:11" ht="21" customHeight="1" thickBot="1" x14ac:dyDescent="0.2">
      <c r="A5" s="15" t="str">
        <f t="shared" si="0"/>
        <v>15028_1-4</v>
      </c>
      <c r="B5" s="15" t="str">
        <f>IF(COUNTIF(enemy_habitats!$H:$H,A5),"OK","NG")</f>
        <v>OK</v>
      </c>
      <c r="C5" s="7">
        <v>15028</v>
      </c>
      <c r="D5" s="11" t="str">
        <f ca="1">VLOOKUP($C5,OFFSET([2]quests!$A$1,0,0,COUNTA([2]quests!$A:$A),MATCH(D$1,[2]quests!$1:$1,0)-MATCH($C$1,[2]quests!$1:$1,0)+1),MATCH(D$1,[2]quests!$1:$1,0)-MATCH($C$1,[2]quests!$1:$1,0)+1,FALSE)</f>
        <v>28. 暴風と灼熱の罪浄</v>
      </c>
      <c r="E5" s="17" t="str">
        <f ca="1">VLOOKUP($C5,OFFSET([2]quests!$A$1,0,0,COUNTA([2]quests!$A:$A),MATCH(E$1,[2]quests!$1:$1,0)-MATCH($C$1,[2]quests!$1:$1,0)+1),MATCH(E$1,[2]quests!$1:$1,0)-MATCH($C$1,[2]quests!$1:$1,0)+1,FALSE)</f>
        <v>赤緑DL6</v>
      </c>
      <c r="F5" s="95">
        <v>1</v>
      </c>
      <c r="G5" s="19" t="str">
        <f t="shared" si="1"/>
        <v>15028_1</v>
      </c>
      <c r="H5" s="14" t="str">
        <f ca="1">VLOOKUP($G5,OFFSET([2]stages!$A$1,0,0,COUNTA([2]stages!$A:$A),MATCH(H$1,[2]stages!$2:$2,0)-MATCH($G$1,[2]stages!$2:$2,0)+1),MATCH(H$1,[2]stages!$2:$2,0)-MATCH($G$1,[2]stages!$2:$2,0)+1,FALSE)</f>
        <v>28-1. 轟翼のかまど</v>
      </c>
      <c r="I5" s="95">
        <v>4</v>
      </c>
      <c r="J5" s="101">
        <v>60</v>
      </c>
      <c r="K5" s="102">
        <v>60</v>
      </c>
    </row>
    <row r="6" spans="1:11" ht="21" customHeight="1" x14ac:dyDescent="0.15">
      <c r="A6" s="15" t="str">
        <f t="shared" si="0"/>
        <v>15028_2-1</v>
      </c>
      <c r="B6" s="15" t="str">
        <f>IF(COUNTIF(enemy_habitats!$H:$H,A6),"OK","NG")</f>
        <v>OK</v>
      </c>
      <c r="C6" s="7">
        <v>15028</v>
      </c>
      <c r="D6" s="11" t="str">
        <f ca="1">VLOOKUP($C6,OFFSET([2]quests!$A$1,0,0,COUNTA([2]quests!$A:$A),MATCH(D$1,[2]quests!$1:$1,0)-MATCH($C$1,[2]quests!$1:$1,0)+1),MATCH(D$1,[2]quests!$1:$1,0)-MATCH($C$1,[2]quests!$1:$1,0)+1,FALSE)</f>
        <v>28. 暴風と灼熱の罪浄</v>
      </c>
      <c r="E6" s="17" t="str">
        <f ca="1">VLOOKUP($C6,OFFSET([2]quests!$A$1,0,0,COUNTA([2]quests!$A:$A),MATCH(E$1,[2]quests!$1:$1,0)-MATCH($C$1,[2]quests!$1:$1,0)+1),MATCH(E$1,[2]quests!$1:$1,0)-MATCH($C$1,[2]quests!$1:$1,0)+1,FALSE)</f>
        <v>赤緑DL6</v>
      </c>
      <c r="F6" s="96">
        <v>2</v>
      </c>
      <c r="G6" s="19" t="str">
        <f t="shared" si="1"/>
        <v>15028_2</v>
      </c>
      <c r="H6" s="14" t="str">
        <f ca="1">VLOOKUP($G6,OFFSET([2]stages!$A$1,0,0,COUNTA([2]stages!$A:$A),MATCH(H$1,[2]stages!$2:$2,0)-MATCH($G$1,[2]stages!$2:$2,0)+1),MATCH(H$1,[2]stages!$2:$2,0)-MATCH($G$1,[2]stages!$2:$2,0)+1,FALSE)</f>
        <v>28-2. 空の寝殿</v>
      </c>
      <c r="I6" s="96">
        <v>1</v>
      </c>
      <c r="J6" s="103">
        <v>50</v>
      </c>
      <c r="K6" s="104">
        <v>50</v>
      </c>
    </row>
    <row r="7" spans="1:11" ht="21" customHeight="1" x14ac:dyDescent="0.15">
      <c r="A7" s="15" t="str">
        <f t="shared" si="0"/>
        <v>15028_2-2</v>
      </c>
      <c r="B7" s="15" t="str">
        <f>IF(COUNTIF(enemy_habitats!$H:$H,A7),"OK","NG")</f>
        <v>OK</v>
      </c>
      <c r="C7" s="7">
        <v>15028</v>
      </c>
      <c r="D7" s="11" t="str">
        <f ca="1">VLOOKUP($C7,OFFSET([2]quests!$A$1,0,0,COUNTA([2]quests!$A:$A),MATCH(D$1,[2]quests!$1:$1,0)-MATCH($C$1,[2]quests!$1:$1,0)+1),MATCH(D$1,[2]quests!$1:$1,0)-MATCH($C$1,[2]quests!$1:$1,0)+1,FALSE)</f>
        <v>28. 暴風と灼熱の罪浄</v>
      </c>
      <c r="E7" s="17" t="str">
        <f ca="1">VLOOKUP($C7,OFFSET([2]quests!$A$1,0,0,COUNTA([2]quests!$A:$A),MATCH(E$1,[2]quests!$1:$1,0)-MATCH($C$1,[2]quests!$1:$1,0)+1),MATCH(E$1,[2]quests!$1:$1,0)-MATCH($C$1,[2]quests!$1:$1,0)+1,FALSE)</f>
        <v>赤緑DL6</v>
      </c>
      <c r="F7" s="94">
        <v>2</v>
      </c>
      <c r="G7" s="19" t="str">
        <f t="shared" si="1"/>
        <v>15028_2</v>
      </c>
      <c r="H7" s="14" t="str">
        <f ca="1">VLOOKUP($G7,OFFSET([2]stages!$A$1,0,0,COUNTA([2]stages!$A:$A),MATCH(H$1,[2]stages!$2:$2,0)-MATCH($G$1,[2]stages!$2:$2,0)+1),MATCH(H$1,[2]stages!$2:$2,0)-MATCH($G$1,[2]stages!$2:$2,0)+1,FALSE)</f>
        <v>28-2. 空の寝殿</v>
      </c>
      <c r="I7" s="96">
        <v>2</v>
      </c>
      <c r="J7" s="34">
        <v>50</v>
      </c>
      <c r="K7" s="100">
        <v>50</v>
      </c>
    </row>
    <row r="8" spans="1:11" ht="21" customHeight="1" x14ac:dyDescent="0.15">
      <c r="A8" s="15" t="str">
        <f t="shared" ref="A8" si="4">G8&amp;"-"&amp;I8</f>
        <v>15028_2-3</v>
      </c>
      <c r="B8" s="15" t="str">
        <f>IF(COUNTIF(enemy_habitats!$H:$H,A8),"OK","NG")</f>
        <v>OK</v>
      </c>
      <c r="C8" s="7">
        <v>15028</v>
      </c>
      <c r="D8" s="11" t="str">
        <f ca="1">VLOOKUP($C8,OFFSET([2]quests!$A$1,0,0,COUNTA([2]quests!$A:$A),MATCH(D$1,[2]quests!$1:$1,0)-MATCH($C$1,[2]quests!$1:$1,0)+1),MATCH(D$1,[2]quests!$1:$1,0)-MATCH($C$1,[2]quests!$1:$1,0)+1,FALSE)</f>
        <v>28. 暴風と灼熱の罪浄</v>
      </c>
      <c r="E8" s="17" t="str">
        <f ca="1">VLOOKUP($C8,OFFSET([2]quests!$A$1,0,0,COUNTA([2]quests!$A:$A),MATCH(E$1,[2]quests!$1:$1,0)-MATCH($C$1,[2]quests!$1:$1,0)+1),MATCH(E$1,[2]quests!$1:$1,0)-MATCH($C$1,[2]quests!$1:$1,0)+1,FALSE)</f>
        <v>赤緑DL6</v>
      </c>
      <c r="F8" s="94">
        <v>2</v>
      </c>
      <c r="G8" s="19" t="str">
        <f t="shared" ref="G8" si="5">C8&amp;"_"&amp;F8</f>
        <v>15028_2</v>
      </c>
      <c r="H8" s="14" t="str">
        <f ca="1">VLOOKUP($G8,OFFSET([2]stages!$A$1,0,0,COUNTA([2]stages!$A:$A),MATCH(H$1,[2]stages!$2:$2,0)-MATCH($G$1,[2]stages!$2:$2,0)+1),MATCH(H$1,[2]stages!$2:$2,0)-MATCH($G$1,[2]stages!$2:$2,0)+1,FALSE)</f>
        <v>28-2. 空の寝殿</v>
      </c>
      <c r="I8" s="96">
        <v>3</v>
      </c>
      <c r="J8" s="34">
        <v>49</v>
      </c>
      <c r="K8" s="100">
        <v>50</v>
      </c>
    </row>
    <row r="9" spans="1:11" ht="21" customHeight="1" thickBot="1" x14ac:dyDescent="0.2">
      <c r="A9" s="15" t="str">
        <f t="shared" si="0"/>
        <v>15028_2-4</v>
      </c>
      <c r="B9" s="15" t="str">
        <f>IF(COUNTIF(enemy_habitats!$H:$H,A9),"OK","NG")</f>
        <v>OK</v>
      </c>
      <c r="C9" s="7">
        <v>15028</v>
      </c>
      <c r="D9" s="11" t="str">
        <f ca="1">VLOOKUP($C9,OFFSET([2]quests!$A$1,0,0,COUNTA([2]quests!$A:$A),MATCH(D$1,[2]quests!$1:$1,0)-MATCH($C$1,[2]quests!$1:$1,0)+1),MATCH(D$1,[2]quests!$1:$1,0)-MATCH($C$1,[2]quests!$1:$1,0)+1,FALSE)</f>
        <v>28. 暴風と灼熱の罪浄</v>
      </c>
      <c r="E9" s="17" t="str">
        <f ca="1">VLOOKUP($C9,OFFSET([2]quests!$A$1,0,0,COUNTA([2]quests!$A:$A),MATCH(E$1,[2]quests!$1:$1,0)-MATCH($C$1,[2]quests!$1:$1,0)+1),MATCH(E$1,[2]quests!$1:$1,0)-MATCH($C$1,[2]quests!$1:$1,0)+1,FALSE)</f>
        <v>赤緑DL6</v>
      </c>
      <c r="F9" s="97">
        <v>2</v>
      </c>
      <c r="G9" s="19" t="str">
        <f t="shared" si="1"/>
        <v>15028_2</v>
      </c>
      <c r="H9" s="14" t="str">
        <f ca="1">VLOOKUP($G9,OFFSET([2]stages!$A$1,0,0,COUNTA([2]stages!$A:$A),MATCH(H$1,[2]stages!$2:$2,0)-MATCH($G$1,[2]stages!$2:$2,0)+1),MATCH(H$1,[2]stages!$2:$2,0)-MATCH($G$1,[2]stages!$2:$2,0)+1,FALSE)</f>
        <v>28-2. 空の寝殿</v>
      </c>
      <c r="I9" s="96">
        <v>4</v>
      </c>
      <c r="J9" s="105">
        <v>60</v>
      </c>
      <c r="K9" s="106">
        <v>60</v>
      </c>
    </row>
    <row r="10" spans="1:11" ht="21" customHeight="1" x14ac:dyDescent="0.15">
      <c r="A10" s="15" t="str">
        <f t="shared" si="0"/>
        <v>15028_3-1</v>
      </c>
      <c r="B10" s="15" t="str">
        <f>IF(COUNTIF(enemy_habitats!$H:$H,A10),"OK","NG")</f>
        <v>OK</v>
      </c>
      <c r="C10" s="7">
        <v>15028</v>
      </c>
      <c r="D10" s="11" t="str">
        <f ca="1">VLOOKUP($C10,OFFSET([2]quests!$A$1,0,0,COUNTA([2]quests!$A:$A),MATCH(D$1,[2]quests!$1:$1,0)-MATCH($C$1,[2]quests!$1:$1,0)+1),MATCH(D$1,[2]quests!$1:$1,0)-MATCH($C$1,[2]quests!$1:$1,0)+1,FALSE)</f>
        <v>28. 暴風と灼熱の罪浄</v>
      </c>
      <c r="E10" s="17" t="str">
        <f ca="1">VLOOKUP($C10,OFFSET([2]quests!$A$1,0,0,COUNTA([2]quests!$A:$A),MATCH(E$1,[2]quests!$1:$1,0)-MATCH($C$1,[2]quests!$1:$1,0)+1),MATCH(E$1,[2]quests!$1:$1,0)-MATCH($C$1,[2]quests!$1:$1,0)+1,FALSE)</f>
        <v>赤緑DL6</v>
      </c>
      <c r="F10" s="93">
        <v>3</v>
      </c>
      <c r="G10" s="19" t="str">
        <f t="shared" si="1"/>
        <v>15028_3</v>
      </c>
      <c r="H10" s="14" t="str">
        <f ca="1">VLOOKUP($G10,OFFSET([2]stages!$A$1,0,0,COUNTA([2]stages!$A:$A),MATCH(H$1,[2]stages!$2:$2,0)-MATCH($G$1,[2]stages!$2:$2,0)+1),MATCH(H$1,[2]stages!$2:$2,0)-MATCH($G$1,[2]stages!$2:$2,0)+1,FALSE)</f>
        <v>28-3. 縛風の洞窟</v>
      </c>
      <c r="I10" s="93">
        <v>1</v>
      </c>
      <c r="J10" s="98">
        <v>59</v>
      </c>
      <c r="K10" s="99">
        <v>60</v>
      </c>
    </row>
    <row r="11" spans="1:11" ht="21" customHeight="1" x14ac:dyDescent="0.15">
      <c r="A11" s="15" t="str">
        <f t="shared" si="0"/>
        <v>15028_3-2</v>
      </c>
      <c r="B11" s="15" t="str">
        <f>IF(COUNTIF(enemy_habitats!$H:$H,A11),"OK","NG")</f>
        <v>OK</v>
      </c>
      <c r="C11" s="7">
        <v>15028</v>
      </c>
      <c r="D11" s="11" t="str">
        <f ca="1">VLOOKUP($C11,OFFSET([2]quests!$A$1,0,0,COUNTA([2]quests!$A:$A),MATCH(D$1,[2]quests!$1:$1,0)-MATCH($C$1,[2]quests!$1:$1,0)+1),MATCH(D$1,[2]quests!$1:$1,0)-MATCH($C$1,[2]quests!$1:$1,0)+1,FALSE)</f>
        <v>28. 暴風と灼熱の罪浄</v>
      </c>
      <c r="E11" s="17" t="str">
        <f ca="1">VLOOKUP($C11,OFFSET([2]quests!$A$1,0,0,COUNTA([2]quests!$A:$A),MATCH(E$1,[2]quests!$1:$1,0)-MATCH($C$1,[2]quests!$1:$1,0)+1),MATCH(E$1,[2]quests!$1:$1,0)-MATCH($C$1,[2]quests!$1:$1,0)+1,FALSE)</f>
        <v>赤緑DL6</v>
      </c>
      <c r="F11" s="94">
        <v>3</v>
      </c>
      <c r="G11" s="19" t="str">
        <f t="shared" si="1"/>
        <v>15028_3</v>
      </c>
      <c r="H11" s="14" t="str">
        <f ca="1">VLOOKUP($G11,OFFSET([2]stages!$A$1,0,0,COUNTA([2]stages!$A:$A),MATCH(H$1,[2]stages!$2:$2,0)-MATCH($G$1,[2]stages!$2:$2,0)+1),MATCH(H$1,[2]stages!$2:$2,0)-MATCH($G$1,[2]stages!$2:$2,0)+1,FALSE)</f>
        <v>28-3. 縛風の洞窟</v>
      </c>
      <c r="I11" s="94">
        <v>2</v>
      </c>
      <c r="J11" s="34">
        <v>40</v>
      </c>
      <c r="K11" s="100">
        <v>40</v>
      </c>
    </row>
    <row r="12" spans="1:11" ht="21" customHeight="1" x14ac:dyDescent="0.15">
      <c r="A12" s="15" t="str">
        <f t="shared" si="0"/>
        <v>15028_3-3</v>
      </c>
      <c r="B12" s="15" t="str">
        <f>IF(COUNTIF(enemy_habitats!$H:$H,A12),"OK","NG")</f>
        <v>OK</v>
      </c>
      <c r="C12" s="7">
        <v>15028</v>
      </c>
      <c r="D12" s="11" t="str">
        <f ca="1">VLOOKUP($C12,OFFSET([2]quests!$A$1,0,0,COUNTA([2]quests!$A:$A),MATCH(D$1,[2]quests!$1:$1,0)-MATCH($C$1,[2]quests!$1:$1,0)+1),MATCH(D$1,[2]quests!$1:$1,0)-MATCH($C$1,[2]quests!$1:$1,0)+1,FALSE)</f>
        <v>28. 暴風と灼熱の罪浄</v>
      </c>
      <c r="E12" s="17" t="str">
        <f ca="1">VLOOKUP($C12,OFFSET([2]quests!$A$1,0,0,COUNTA([2]quests!$A:$A),MATCH(E$1,[2]quests!$1:$1,0)-MATCH($C$1,[2]quests!$1:$1,0)+1),MATCH(E$1,[2]quests!$1:$1,0)-MATCH($C$1,[2]quests!$1:$1,0)+1,FALSE)</f>
        <v>赤緑DL6</v>
      </c>
      <c r="F12" s="94">
        <v>3</v>
      </c>
      <c r="G12" s="19" t="str">
        <f t="shared" si="1"/>
        <v>15028_3</v>
      </c>
      <c r="H12" s="14" t="str">
        <f ca="1">VLOOKUP($G12,OFFSET([2]stages!$A$1,0,0,COUNTA([2]stages!$A:$A),MATCH(H$1,[2]stages!$2:$2,0)-MATCH($G$1,[2]stages!$2:$2,0)+1),MATCH(H$1,[2]stages!$2:$2,0)-MATCH($G$1,[2]stages!$2:$2,0)+1,FALSE)</f>
        <v>28-3. 縛風の洞窟</v>
      </c>
      <c r="I12" s="94">
        <v>3</v>
      </c>
      <c r="J12" s="34">
        <v>60</v>
      </c>
      <c r="K12" s="100">
        <v>60</v>
      </c>
    </row>
    <row r="13" spans="1:11" ht="21" customHeight="1" thickBot="1" x14ac:dyDescent="0.2">
      <c r="A13" s="15" t="str">
        <f t="shared" si="0"/>
        <v>15028_3-4</v>
      </c>
      <c r="B13" s="15" t="str">
        <f>IF(COUNTIF(enemy_habitats!$H:$H,A13),"OK","NG")</f>
        <v>OK</v>
      </c>
      <c r="C13" s="7">
        <v>15028</v>
      </c>
      <c r="D13" s="11" t="str">
        <f ca="1">VLOOKUP($C13,OFFSET([2]quests!$A$1,0,0,COUNTA([2]quests!$A:$A),MATCH(D$1,[2]quests!$1:$1,0)-MATCH($C$1,[2]quests!$1:$1,0)+1),MATCH(D$1,[2]quests!$1:$1,0)-MATCH($C$1,[2]quests!$1:$1,0)+1,FALSE)</f>
        <v>28. 暴風と灼熱の罪浄</v>
      </c>
      <c r="E13" s="17" t="str">
        <f ca="1">VLOOKUP($C13,OFFSET([2]quests!$A$1,0,0,COUNTA([2]quests!$A:$A),MATCH(E$1,[2]quests!$1:$1,0)-MATCH($C$1,[2]quests!$1:$1,0)+1),MATCH(E$1,[2]quests!$1:$1,0)-MATCH($C$1,[2]quests!$1:$1,0)+1,FALSE)</f>
        <v>赤緑DL6</v>
      </c>
      <c r="F13" s="95">
        <v>3</v>
      </c>
      <c r="G13" s="19" t="str">
        <f t="shared" si="1"/>
        <v>15028_3</v>
      </c>
      <c r="H13" s="14" t="str">
        <f ca="1">VLOOKUP($G13,OFFSET([2]stages!$A$1,0,0,COUNTA([2]stages!$A:$A),MATCH(H$1,[2]stages!$2:$2,0)-MATCH($G$1,[2]stages!$2:$2,0)+1),MATCH(H$1,[2]stages!$2:$2,0)-MATCH($G$1,[2]stages!$2:$2,0)+1,FALSE)</f>
        <v>28-3. 縛風の洞窟</v>
      </c>
      <c r="I13" s="95">
        <v>4</v>
      </c>
      <c r="J13" s="101">
        <v>60</v>
      </c>
      <c r="K13" s="102">
        <v>60</v>
      </c>
    </row>
    <row r="14" spans="1:11" ht="21" customHeight="1" x14ac:dyDescent="0.15">
      <c r="A14" s="15" t="str">
        <f t="shared" si="0"/>
        <v>15028_4-1</v>
      </c>
      <c r="B14" s="15" t="str">
        <f>IF(COUNTIF(enemy_habitats!$H:$H,A14),"OK","NG")</f>
        <v>OK</v>
      </c>
      <c r="C14" s="7">
        <v>15028</v>
      </c>
      <c r="D14" s="11" t="str">
        <f ca="1">VLOOKUP($C14,OFFSET([2]quests!$A$1,0,0,COUNTA([2]quests!$A:$A),MATCH(D$1,[2]quests!$1:$1,0)-MATCH($C$1,[2]quests!$1:$1,0)+1),MATCH(D$1,[2]quests!$1:$1,0)-MATCH($C$1,[2]quests!$1:$1,0)+1,FALSE)</f>
        <v>28. 暴風と灼熱の罪浄</v>
      </c>
      <c r="E14" s="17" t="str">
        <f ca="1">VLOOKUP($C14,OFFSET([2]quests!$A$1,0,0,COUNTA([2]quests!$A:$A),MATCH(E$1,[2]quests!$1:$1,0)-MATCH($C$1,[2]quests!$1:$1,0)+1),MATCH(E$1,[2]quests!$1:$1,0)-MATCH($C$1,[2]quests!$1:$1,0)+1,FALSE)</f>
        <v>赤緑DL6</v>
      </c>
      <c r="F14" s="96">
        <v>4</v>
      </c>
      <c r="G14" s="19" t="str">
        <f t="shared" si="1"/>
        <v>15028_4</v>
      </c>
      <c r="H14" s="14" t="str">
        <f ca="1">VLOOKUP($G14,OFFSET([2]stages!$A$1,0,0,COUNTA([2]stages!$A:$A),MATCH(H$1,[2]stages!$2:$2,0)-MATCH($G$1,[2]stages!$2:$2,0)+1),MATCH(H$1,[2]stages!$2:$2,0)-MATCH($G$1,[2]stages!$2:$2,0)+1,FALSE)</f>
        <v>28-4. 【1回のみ】ボーナスステージ</v>
      </c>
      <c r="I14" s="96">
        <v>1</v>
      </c>
      <c r="J14" s="103">
        <v>40</v>
      </c>
      <c r="K14" s="104">
        <v>40</v>
      </c>
    </row>
    <row r="15" spans="1:11" ht="21" customHeight="1" x14ac:dyDescent="0.15">
      <c r="A15" s="15" t="str">
        <f t="shared" si="0"/>
        <v>15028_4-2</v>
      </c>
      <c r="B15" s="15" t="str">
        <f>IF(COUNTIF(enemy_habitats!$H:$H,A15),"OK","NG")</f>
        <v>OK</v>
      </c>
      <c r="C15" s="7">
        <v>15028</v>
      </c>
      <c r="D15" s="11" t="str">
        <f ca="1">VLOOKUP($C15,OFFSET([2]quests!$A$1,0,0,COUNTA([2]quests!$A:$A),MATCH(D$1,[2]quests!$1:$1,0)-MATCH($C$1,[2]quests!$1:$1,0)+1),MATCH(D$1,[2]quests!$1:$1,0)-MATCH($C$1,[2]quests!$1:$1,0)+1,FALSE)</f>
        <v>28. 暴風と灼熱の罪浄</v>
      </c>
      <c r="E15" s="17" t="str">
        <f ca="1">VLOOKUP($C15,OFFSET([2]quests!$A$1,0,0,COUNTA([2]quests!$A:$A),MATCH(E$1,[2]quests!$1:$1,0)-MATCH($C$1,[2]quests!$1:$1,0)+1),MATCH(E$1,[2]quests!$1:$1,0)-MATCH($C$1,[2]quests!$1:$1,0)+1,FALSE)</f>
        <v>赤緑DL6</v>
      </c>
      <c r="F15" s="94">
        <v>4</v>
      </c>
      <c r="G15" s="19" t="str">
        <f t="shared" si="1"/>
        <v>15028_4</v>
      </c>
      <c r="H15" s="14" t="str">
        <f ca="1">VLOOKUP($G15,OFFSET([2]stages!$A$1,0,0,COUNTA([2]stages!$A:$A),MATCH(H$1,[2]stages!$2:$2,0)-MATCH($G$1,[2]stages!$2:$2,0)+1),MATCH(H$1,[2]stages!$2:$2,0)-MATCH($G$1,[2]stages!$2:$2,0)+1,FALSE)</f>
        <v>28-4. 【1回のみ】ボーナスステージ</v>
      </c>
      <c r="I15" s="94">
        <v>2</v>
      </c>
      <c r="J15" s="34">
        <v>40</v>
      </c>
      <c r="K15" s="100">
        <v>40</v>
      </c>
    </row>
    <row r="16" spans="1:11" ht="21" customHeight="1" x14ac:dyDescent="0.15">
      <c r="A16" s="15" t="str">
        <f t="shared" si="0"/>
        <v>15028_4-3</v>
      </c>
      <c r="B16" s="15" t="str">
        <f>IF(COUNTIF(enemy_habitats!$H:$H,A16),"OK","NG")</f>
        <v>OK</v>
      </c>
      <c r="C16" s="7">
        <v>15028</v>
      </c>
      <c r="D16" s="11" t="str">
        <f ca="1">VLOOKUP($C16,OFFSET([2]quests!$A$1,0,0,COUNTA([2]quests!$A:$A),MATCH(D$1,[2]quests!$1:$1,0)-MATCH($C$1,[2]quests!$1:$1,0)+1),MATCH(D$1,[2]quests!$1:$1,0)-MATCH($C$1,[2]quests!$1:$1,0)+1,FALSE)</f>
        <v>28. 暴風と灼熱の罪浄</v>
      </c>
      <c r="E16" s="17" t="str">
        <f ca="1">VLOOKUP($C16,OFFSET([2]quests!$A$1,0,0,COUNTA([2]quests!$A:$A),MATCH(E$1,[2]quests!$1:$1,0)-MATCH($C$1,[2]quests!$1:$1,0)+1),MATCH(E$1,[2]quests!$1:$1,0)-MATCH($C$1,[2]quests!$1:$1,0)+1,FALSE)</f>
        <v>赤緑DL6</v>
      </c>
      <c r="F16" s="94">
        <v>4</v>
      </c>
      <c r="G16" s="19" t="str">
        <f t="shared" si="1"/>
        <v>15028_4</v>
      </c>
      <c r="H16" s="14" t="str">
        <f ca="1">VLOOKUP($G16,OFFSET([2]stages!$A$1,0,0,COUNTA([2]stages!$A:$A),MATCH(H$1,[2]stages!$2:$2,0)-MATCH($G$1,[2]stages!$2:$2,0)+1),MATCH(H$1,[2]stages!$2:$2,0)-MATCH($G$1,[2]stages!$2:$2,0)+1,FALSE)</f>
        <v>28-4. 【1回のみ】ボーナスステージ</v>
      </c>
      <c r="I16" s="94">
        <v>3</v>
      </c>
      <c r="J16" s="34">
        <v>40</v>
      </c>
      <c r="K16" s="100">
        <v>40</v>
      </c>
    </row>
    <row r="17" spans="1:11" ht="21" customHeight="1" x14ac:dyDescent="0.15">
      <c r="A17" s="15" t="str">
        <f t="shared" si="0"/>
        <v>15028_4-4</v>
      </c>
      <c r="B17" s="15" t="str">
        <f>IF(COUNTIF(enemy_habitats!$H:$H,A17),"OK","NG")</f>
        <v>OK</v>
      </c>
      <c r="C17" s="7">
        <v>15028</v>
      </c>
      <c r="D17" s="11" t="str">
        <f ca="1">VLOOKUP($C17,OFFSET([2]quests!$A$1,0,0,COUNTA([2]quests!$A:$A),MATCH(D$1,[2]quests!$1:$1,0)-MATCH($C$1,[2]quests!$1:$1,0)+1),MATCH(D$1,[2]quests!$1:$1,0)-MATCH($C$1,[2]quests!$1:$1,0)+1,FALSE)</f>
        <v>28. 暴風と灼熱の罪浄</v>
      </c>
      <c r="E17" s="17" t="str">
        <f ca="1">VLOOKUP($C17,OFFSET([2]quests!$A$1,0,0,COUNTA([2]quests!$A:$A),MATCH(E$1,[2]quests!$1:$1,0)-MATCH($C$1,[2]quests!$1:$1,0)+1),MATCH(E$1,[2]quests!$1:$1,0)-MATCH($C$1,[2]quests!$1:$1,0)+1,FALSE)</f>
        <v>赤緑DL6</v>
      </c>
      <c r="F17" s="94">
        <v>4</v>
      </c>
      <c r="G17" s="19" t="str">
        <f t="shared" si="1"/>
        <v>15028_4</v>
      </c>
      <c r="H17" s="14" t="str">
        <f ca="1">VLOOKUP($G17,OFFSET([2]stages!$A$1,0,0,COUNTA([2]stages!$A:$A),MATCH(H$1,[2]stages!$2:$2,0)-MATCH($G$1,[2]stages!$2:$2,0)+1),MATCH(H$1,[2]stages!$2:$2,0)-MATCH($G$1,[2]stages!$2:$2,0)+1,FALSE)</f>
        <v>28-4. 【1回のみ】ボーナスステージ</v>
      </c>
      <c r="I17" s="94">
        <v>4</v>
      </c>
      <c r="J17" s="34">
        <v>40</v>
      </c>
      <c r="K17" s="100">
        <v>40</v>
      </c>
    </row>
    <row r="18" spans="1:11" ht="21" customHeight="1" thickBot="1" x14ac:dyDescent="0.2">
      <c r="A18" s="15" t="str">
        <f t="shared" si="0"/>
        <v>15028_4-5</v>
      </c>
      <c r="B18" s="15" t="str">
        <f>IF(COUNTIF(enemy_habitats!$H:$H,A18),"OK","NG")</f>
        <v>OK</v>
      </c>
      <c r="C18" s="7">
        <v>15028</v>
      </c>
      <c r="D18" s="11" t="str">
        <f ca="1">VLOOKUP($C18,OFFSET([2]quests!$A$1,0,0,COUNTA([2]quests!$A:$A),MATCH(D$1,[2]quests!$1:$1,0)-MATCH($C$1,[2]quests!$1:$1,0)+1),MATCH(D$1,[2]quests!$1:$1,0)-MATCH($C$1,[2]quests!$1:$1,0)+1,FALSE)</f>
        <v>28. 暴風と灼熱の罪浄</v>
      </c>
      <c r="E18" s="17" t="str">
        <f ca="1">VLOOKUP($C18,OFFSET([2]quests!$A$1,0,0,COUNTA([2]quests!$A:$A),MATCH(E$1,[2]quests!$1:$1,0)-MATCH($C$1,[2]quests!$1:$1,0)+1),MATCH(E$1,[2]quests!$1:$1,0)-MATCH($C$1,[2]quests!$1:$1,0)+1,FALSE)</f>
        <v>赤緑DL6</v>
      </c>
      <c r="F18" s="95">
        <v>4</v>
      </c>
      <c r="G18" s="19" t="str">
        <f t="shared" si="1"/>
        <v>15028_4</v>
      </c>
      <c r="H18" s="14" t="str">
        <f ca="1">VLOOKUP($G18,OFFSET([2]stages!$A$1,0,0,COUNTA([2]stages!$A:$A),MATCH(H$1,[2]stages!$2:$2,0)-MATCH($G$1,[2]stages!$2:$2,0)+1),MATCH(H$1,[2]stages!$2:$2,0)-MATCH($G$1,[2]stages!$2:$2,0)+1,FALSE)</f>
        <v>28-4. 【1回のみ】ボーナスステージ</v>
      </c>
      <c r="I18" s="95">
        <v>5</v>
      </c>
      <c r="J18" s="101">
        <v>40</v>
      </c>
      <c r="K18" s="102">
        <v>40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37"/>
  <sheetViews>
    <sheetView showGridLines="0" tabSelected="1" workbookViewId="0">
      <pane xSplit="17" ySplit="1" topLeftCell="AB4" activePane="bottomRight" state="frozen"/>
      <selection pane="topRight" activeCell="N1" sqref="N1"/>
      <selection pane="bottomLeft" activeCell="A2" sqref="A2"/>
      <selection pane="bottomRight" activeCell="AF4" sqref="AF4:AF39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0.1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20</v>
      </c>
      <c r="F1" s="26" t="s">
        <v>20</v>
      </c>
      <c r="G1" s="24" t="s">
        <v>19</v>
      </c>
      <c r="H1" s="25" t="s">
        <v>35</v>
      </c>
      <c r="I1" s="25" t="s">
        <v>14</v>
      </c>
      <c r="J1" s="25" t="s">
        <v>15</v>
      </c>
      <c r="K1" s="32" t="s">
        <v>54</v>
      </c>
      <c r="L1" s="33" t="s">
        <v>2</v>
      </c>
      <c r="M1" s="27" t="s">
        <v>21</v>
      </c>
      <c r="N1" s="25" t="s">
        <v>24</v>
      </c>
      <c r="O1" s="25" t="s">
        <v>23</v>
      </c>
      <c r="P1" s="28" t="s">
        <v>26</v>
      </c>
      <c r="Q1" s="26" t="s">
        <v>25</v>
      </c>
      <c r="R1" s="24" t="s">
        <v>3</v>
      </c>
      <c r="S1" s="22" t="s">
        <v>48</v>
      </c>
      <c r="T1" s="22" t="s">
        <v>50</v>
      </c>
      <c r="U1" s="22" t="s">
        <v>52</v>
      </c>
      <c r="V1" s="25" t="s">
        <v>31</v>
      </c>
      <c r="W1" s="24" t="s">
        <v>4</v>
      </c>
      <c r="X1" s="24" t="s">
        <v>5</v>
      </c>
      <c r="Y1" s="24" t="s">
        <v>6</v>
      </c>
      <c r="Z1" s="24" t="s">
        <v>7</v>
      </c>
      <c r="AA1" s="24" t="s">
        <v>8</v>
      </c>
      <c r="AB1" s="29" t="s">
        <v>9</v>
      </c>
      <c r="AC1" s="30" t="s">
        <v>16</v>
      </c>
      <c r="AD1" s="30" t="s">
        <v>17</v>
      </c>
      <c r="AE1" s="30" t="s">
        <v>27</v>
      </c>
      <c r="AF1" s="29" t="s">
        <v>10</v>
      </c>
      <c r="AG1" s="24" t="s">
        <v>11</v>
      </c>
      <c r="AH1" s="24" t="s">
        <v>12</v>
      </c>
      <c r="AI1" s="24" t="s">
        <v>38</v>
      </c>
      <c r="AJ1" s="24" t="s">
        <v>40</v>
      </c>
      <c r="AK1" s="24" t="s">
        <v>42</v>
      </c>
      <c r="AL1" s="24" t="s">
        <v>44</v>
      </c>
      <c r="AM1" s="24" t="s">
        <v>46</v>
      </c>
      <c r="AN1" s="32" t="s">
        <v>180</v>
      </c>
    </row>
    <row r="2" spans="1:40" ht="21" customHeight="1" x14ac:dyDescent="0.15">
      <c r="A2" s="15" t="str">
        <f t="shared" ref="A2:A11" ca="1" si="0">B2&amp;"_"&amp;C2&amp;"-"&amp;G2&amp;"/"&amp;L2&amp;"&lt;lv"&amp;R2&amp;"&gt;s"&amp;AA2</f>
        <v>15028_1-1/372&lt;lv58&gt;s3</v>
      </c>
      <c r="B2" s="107">
        <v>15028</v>
      </c>
      <c r="C2" s="108">
        <v>1</v>
      </c>
      <c r="D2" s="2" t="str">
        <f t="shared" ref="D2:D11" si="1">B2&amp;"_"&amp;C2</f>
        <v>15028_1</v>
      </c>
      <c r="E2" s="4" t="str">
        <f ca="1">VLOOKUP($B2,OFFSET([2]quests!$A$1,0,0,COUNTA([2]quests!$A:$A),MATCH(E$1,[2]quests!$1:$1,0)-MATCH($B$1,[2]quests!$1:$1,0)+1),MATCH(E$1,[2]quests!$1:$1,0)-MATCH($B$1,[2]quests!$1:$1,0)+1,FALSE)</f>
        <v>28. 暴風と灼熱の罪浄</v>
      </c>
      <c r="F2" s="4" t="str">
        <f ca="1">VLOOKUP($D2,OFFSET([2]stages!$A$1,0,0,COUNTA([2]stages!$A:$A),MATCH(F$1,[2]stages!$2:$2,0)-MATCH($D$1,[2]stages!$2:$2,0)+1),MATCH(F$1,[2]stages!$2:$2,0)-MATCH($D$1,[2]stages!$2:$2,0)+1,FALSE)</f>
        <v>28-1. 轟翼のかまど</v>
      </c>
      <c r="G2" s="108">
        <v>1</v>
      </c>
      <c r="H2" s="14" t="str">
        <f t="shared" ref="H2:H11" si="2">B2&amp;"_"&amp;C2&amp;"-"&amp;G2</f>
        <v>15028_1-1</v>
      </c>
      <c r="I2" s="4">
        <f ca="1">VLOOKUP($H2,OFFSET(floors!$A$1,0,0,COUNTA(floors!$A:$A),MATCH(I$1,floors!$1:$1,0)-MATCH($H$1,floors!$1:$1,0)+1),MATCH(I$1,floors!$1:$1,0)-MATCH($H$1,floors!$1:$1,0)+1,FALSE)</f>
        <v>44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4" t="s">
        <v>53</v>
      </c>
      <c r="L2" s="126">
        <v>372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バショー</v>
      </c>
      <c r="N2" s="16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6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58</v>
      </c>
      <c r="S2" s="162">
        <v>2.5</v>
      </c>
      <c r="T2" s="162">
        <v>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2" s="160">
        <v>15028001</v>
      </c>
      <c r="X2" s="164">
        <v>1</v>
      </c>
      <c r="Y2" s="164">
        <v>100</v>
      </c>
      <c r="Z2" s="164">
        <v>0</v>
      </c>
      <c r="AA2" s="16">
        <f ca="1">VLOOKUP($L2,OFFSET([3]enemies!$A$1,0,0,COUNTA([3]enemies!$A:$A),MATCH(AA$1,[3]enemies!$1:$1,0)-MATCH($L$1,[3]enemies!$1:$1,0)+1),MATCH(AA$1,[3]enemies!$1:$1,0)-MATCH($L$1,[3]enemies!$1:$1,0)+1,FALSE)</f>
        <v>3</v>
      </c>
      <c r="AB2" s="20">
        <f t="shared" ref="AB2:AB11" si="3">L2</f>
        <v>372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" s="144">
        <v>1</v>
      </c>
      <c r="AG2" s="20">
        <f t="shared" ref="AG2:AG11" ca="1" si="4">AD2</f>
        <v>2</v>
      </c>
      <c r="AH2" s="8">
        <v>20</v>
      </c>
      <c r="AI2" s="144">
        <v>0</v>
      </c>
      <c r="AJ2" s="144">
        <v>0</v>
      </c>
      <c r="AK2" s="144">
        <v>0</v>
      </c>
      <c r="AL2" s="144">
        <v>0</v>
      </c>
      <c r="AM2" s="144">
        <v>1</v>
      </c>
      <c r="AN2" s="65">
        <v>1</v>
      </c>
    </row>
    <row r="3" spans="1:40" ht="21" customHeight="1" x14ac:dyDescent="0.15">
      <c r="A3" s="15" t="str">
        <f t="shared" si="0"/>
        <v>15028_1-1/370&lt;lv58&gt;s1</v>
      </c>
      <c r="B3" s="107">
        <v>15028</v>
      </c>
      <c r="C3" s="108">
        <v>1</v>
      </c>
      <c r="D3" s="2" t="str">
        <f t="shared" si="1"/>
        <v>15028_1</v>
      </c>
      <c r="E3" s="4" t="str">
        <f ca="1">VLOOKUP($B3,OFFSET([2]quests!$A$1,0,0,COUNTA([2]quests!$A:$A),MATCH(E$1,[2]quests!$1:$1,0)-MATCH($B$1,[2]quests!$1:$1,0)+1),MATCH(E$1,[2]quests!$1:$1,0)-MATCH($B$1,[2]quests!$1:$1,0)+1,FALSE)</f>
        <v>28. 暴風と灼熱の罪浄</v>
      </c>
      <c r="F3" s="4" t="str">
        <f ca="1">VLOOKUP($D3,OFFSET([2]stages!$A$1,0,0,COUNTA([2]stages!$A:$A),MATCH(F$1,[2]stages!$2:$2,0)-MATCH($D$1,[2]stages!$2:$2,0)+1),MATCH(F$1,[2]stages!$2:$2,0)-MATCH($D$1,[2]stages!$2:$2,0)+1,FALSE)</f>
        <v>28-1. 轟翼のかまど</v>
      </c>
      <c r="G3" s="108">
        <v>1</v>
      </c>
      <c r="H3" s="14" t="str">
        <f t="shared" si="2"/>
        <v>15028_1-1</v>
      </c>
      <c r="I3" s="4">
        <f ca="1">VLOOKUP($H3,OFFSET(floors!$A$1,0,0,COUNTA(floors!$A:$A),MATCH(I$1,floors!$1:$1,0)-MATCH($H$1,floors!$1:$1,0)+1),MATCH(I$1,floors!$1:$1,0)-MATCH($H$1,floors!$1:$1,0)+1,FALSE)</f>
        <v>44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4" t="s">
        <v>53</v>
      </c>
      <c r="L3" s="126">
        <v>370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タイチ</v>
      </c>
      <c r="N3" s="16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6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58</v>
      </c>
      <c r="S3" s="162">
        <v>1.7</v>
      </c>
      <c r="T3" s="162">
        <v>1.3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3" s="160">
        <v>15028002</v>
      </c>
      <c r="X3" s="164">
        <v>1</v>
      </c>
      <c r="Y3" s="164">
        <v>100</v>
      </c>
      <c r="Z3" s="164">
        <v>0</v>
      </c>
      <c r="AA3" s="161">
        <v>1</v>
      </c>
      <c r="AB3" s="20">
        <f t="shared" si="3"/>
        <v>370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144">
        <v>1</v>
      </c>
      <c r="AG3" s="20">
        <f t="shared" ca="1" si="4"/>
        <v>2</v>
      </c>
      <c r="AH3" s="8">
        <v>20</v>
      </c>
      <c r="AI3" s="144">
        <v>0</v>
      </c>
      <c r="AJ3" s="144">
        <v>0</v>
      </c>
      <c r="AK3" s="144">
        <v>0</v>
      </c>
      <c r="AL3" s="144">
        <v>0</v>
      </c>
      <c r="AM3" s="144">
        <v>1</v>
      </c>
      <c r="AN3" s="65">
        <v>1</v>
      </c>
    </row>
    <row r="4" spans="1:40" ht="21" customHeight="1" x14ac:dyDescent="0.15">
      <c r="A4" s="15" t="str">
        <f t="shared" si="0"/>
        <v>15028_1-1/348&lt;lv58&gt;s1</v>
      </c>
      <c r="B4" s="107">
        <v>15028</v>
      </c>
      <c r="C4" s="108">
        <v>1</v>
      </c>
      <c r="D4" s="2" t="str">
        <f t="shared" si="1"/>
        <v>15028_1</v>
      </c>
      <c r="E4" s="4" t="str">
        <f ca="1">VLOOKUP($B4,OFFSET([2]quests!$A$1,0,0,COUNTA([2]quests!$A:$A),MATCH(E$1,[2]quests!$1:$1,0)-MATCH($B$1,[2]quests!$1:$1,0)+1),MATCH(E$1,[2]quests!$1:$1,0)-MATCH($B$1,[2]quests!$1:$1,0)+1,FALSE)</f>
        <v>28. 暴風と灼熱の罪浄</v>
      </c>
      <c r="F4" s="4" t="str">
        <f ca="1">VLOOKUP($D4,OFFSET([2]stages!$A$1,0,0,COUNTA([2]stages!$A:$A),MATCH(F$1,[2]stages!$2:$2,0)-MATCH($D$1,[2]stages!$2:$2,0)+1),MATCH(F$1,[2]stages!$2:$2,0)-MATCH($D$1,[2]stages!$2:$2,0)+1,FALSE)</f>
        <v>28-1. 轟翼のかまど</v>
      </c>
      <c r="G4" s="108">
        <v>1</v>
      </c>
      <c r="H4" s="14" t="str">
        <f t="shared" si="2"/>
        <v>15028_1-1</v>
      </c>
      <c r="I4" s="4">
        <f ca="1">VLOOKUP($H4,OFFSET(floors!$A$1,0,0,COUNTA(floors!$A:$A),MATCH(I$1,floors!$1:$1,0)-MATCH($H$1,floors!$1:$1,0)+1),MATCH(I$1,floors!$1:$1,0)-MATCH($H$1,floors!$1:$1,0)+1,FALSE)</f>
        <v>44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4" t="s">
        <v>53</v>
      </c>
      <c r="L4" s="126">
        <v>348</v>
      </c>
      <c r="M4" s="16" t="str">
        <f ca="1">VLOOKUP($L4,OFFSET([3]enemies!$A$1,0,0,COUNTA([3]enemies!$A:$A),MATCH(M$1,[3]enemies!$1:$1,0)-MATCH($L$1,[3]enemies!$1:$1,0)+1),MATCH(M$1,[3]enemies!$1:$1,0)-MATCH($L$1,[3]enemies!$1:$1,0)+1,FALSE)</f>
        <v>炎のケロケロ</v>
      </c>
      <c r="N4" s="16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16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6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58</v>
      </c>
      <c r="S4" s="162">
        <v>1.7</v>
      </c>
      <c r="T4" s="162">
        <v>1.8</v>
      </c>
      <c r="U4" s="5">
        <v>0</v>
      </c>
      <c r="V4" s="4" t="e">
        <f ca="1">VLOOKUP($W4,OFFSET(enemy_skill_sets!$B$1,0,0,COUNTA(enemy_skill_sets!$B:$B),MATCH(M$1,enemy_skill_sets!$1:$1,0)-MATCH($W$1,enemy_skill_sets!$1:$1,0)+2),MATCH(M$1,enemy_skill_sets!$1:$1,0)-MATCH($W$1,enemy_skill_sets!$1:$1,0)+2,FALSE)</f>
        <v>#N/A</v>
      </c>
      <c r="W4" s="4">
        <f ca="1">VLOOKUP($L4,OFFSET([3]enemies!$A$1,0,0,COUNTA([3]enemies!$A:$A),MATCH(W$1,[3]enemies!$1:$1,0)-MATCH($L$1,[3]enemies!$1:$1,0)+1),MATCH(W$1,[3]enemies!$1:$1,0)-MATCH($L$1,[3]enemies!$1:$1,0)+1,FALSE)</f>
        <v>0</v>
      </c>
      <c r="X4" s="164">
        <v>0</v>
      </c>
      <c r="Y4" s="164">
        <v>10</v>
      </c>
      <c r="Z4" s="164">
        <v>1</v>
      </c>
      <c r="AA4" s="161">
        <v>1</v>
      </c>
      <c r="AB4" s="20">
        <f t="shared" si="3"/>
        <v>348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144">
        <v>10</v>
      </c>
      <c r="AG4" s="20">
        <f t="shared" ca="1" si="4"/>
        <v>2</v>
      </c>
      <c r="AH4" s="174">
        <v>100</v>
      </c>
      <c r="AI4" s="144">
        <v>0</v>
      </c>
      <c r="AJ4" s="144">
        <v>0</v>
      </c>
      <c r="AK4" s="144">
        <v>0</v>
      </c>
      <c r="AL4" s="144">
        <v>0</v>
      </c>
      <c r="AM4" s="144">
        <v>1</v>
      </c>
      <c r="AN4" s="65">
        <v>1</v>
      </c>
    </row>
    <row r="5" spans="1:40" ht="21" customHeight="1" x14ac:dyDescent="0.15">
      <c r="A5" s="15" t="str">
        <f t="shared" si="0"/>
        <v>15028_1-1/350&lt;lv62&gt;s1</v>
      </c>
      <c r="B5" s="107">
        <v>15028</v>
      </c>
      <c r="C5" s="108">
        <v>1</v>
      </c>
      <c r="D5" s="2" t="str">
        <f t="shared" si="1"/>
        <v>15028_1</v>
      </c>
      <c r="E5" s="4" t="str">
        <f ca="1">VLOOKUP($B5,OFFSET([2]quests!$A$1,0,0,COUNTA([2]quests!$A:$A),MATCH(E$1,[2]quests!$1:$1,0)-MATCH($B$1,[2]quests!$1:$1,0)+1),MATCH(E$1,[2]quests!$1:$1,0)-MATCH($B$1,[2]quests!$1:$1,0)+1,FALSE)</f>
        <v>28. 暴風と灼熱の罪浄</v>
      </c>
      <c r="F5" s="4" t="str">
        <f ca="1">VLOOKUP($D5,OFFSET([2]stages!$A$1,0,0,COUNTA([2]stages!$A:$A),MATCH(F$1,[2]stages!$2:$2,0)-MATCH($D$1,[2]stages!$2:$2,0)+1),MATCH(F$1,[2]stages!$2:$2,0)-MATCH($D$1,[2]stages!$2:$2,0)+1,FALSE)</f>
        <v>28-1. 轟翼のかまど</v>
      </c>
      <c r="G5" s="108">
        <v>1</v>
      </c>
      <c r="H5" s="14" t="str">
        <f t="shared" si="2"/>
        <v>15028_1-1</v>
      </c>
      <c r="I5" s="4">
        <f ca="1">VLOOKUP($H5,OFFSET(floors!$A$1,0,0,COUNTA(floors!$A:$A),MATCH(I$1,floors!$1:$1,0)-MATCH($H$1,floors!$1:$1,0)+1),MATCH(I$1,floors!$1:$1,0)-MATCH($H$1,floors!$1:$1,0)+1,FALSE)</f>
        <v>44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4" t="s">
        <v>53</v>
      </c>
      <c r="L5" s="126">
        <v>350</v>
      </c>
      <c r="M5" s="16" t="str">
        <f ca="1">VLOOKUP($L5,OFFSET([3]enemies!$A$1,0,0,COUNTA([3]enemies!$A:$A),MATCH(M$1,[3]enemies!$1:$1,0)-MATCH($L$1,[3]enemies!$1:$1,0)+1),MATCH(M$1,[3]enemies!$1:$1,0)-MATCH($L$1,[3]enemies!$1:$1,0)+1,FALSE)</f>
        <v>森のケロケロ</v>
      </c>
      <c r="N5" s="16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16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6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62</v>
      </c>
      <c r="S5" s="162">
        <v>1.7</v>
      </c>
      <c r="T5" s="162">
        <v>1.8</v>
      </c>
      <c r="U5" s="5">
        <v>0</v>
      </c>
      <c r="V5" s="4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4">
        <f ca="1">VLOOKUP($L5,OFFSET([3]enemies!$A$1,0,0,COUNTA([3]enemies!$A:$A),MATCH(W$1,[3]enemies!$1:$1,0)-MATCH($L$1,[3]enemies!$1:$1,0)+1),MATCH(W$1,[3]enemies!$1:$1,0)-MATCH($L$1,[3]enemies!$1:$1,0)+1,FALSE)</f>
        <v>0</v>
      </c>
      <c r="X5" s="164">
        <v>0</v>
      </c>
      <c r="Y5" s="164">
        <v>10</v>
      </c>
      <c r="Z5" s="164">
        <v>1</v>
      </c>
      <c r="AA5" s="161">
        <v>1</v>
      </c>
      <c r="AB5" s="20">
        <f t="shared" si="3"/>
        <v>350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" s="144">
        <v>10</v>
      </c>
      <c r="AG5" s="20">
        <f t="shared" ca="1" si="4"/>
        <v>2</v>
      </c>
      <c r="AH5" s="174">
        <v>100</v>
      </c>
      <c r="AI5" s="144">
        <v>0</v>
      </c>
      <c r="AJ5" s="144">
        <v>0</v>
      </c>
      <c r="AK5" s="144">
        <v>0</v>
      </c>
      <c r="AL5" s="144">
        <v>0</v>
      </c>
      <c r="AM5" s="144">
        <v>1</v>
      </c>
      <c r="AN5" s="65">
        <v>1</v>
      </c>
    </row>
    <row r="6" spans="1:40" ht="21" customHeight="1" x14ac:dyDescent="0.15">
      <c r="A6" s="15" t="str">
        <f t="shared" ca="1" si="0"/>
        <v>15028_1-2/9&lt;lv58&gt;s2</v>
      </c>
      <c r="B6" s="107">
        <v>15028</v>
      </c>
      <c r="C6" s="108">
        <v>1</v>
      </c>
      <c r="D6" s="2" t="str">
        <f t="shared" si="1"/>
        <v>15028_1</v>
      </c>
      <c r="E6" s="4" t="str">
        <f ca="1">VLOOKUP($B6,OFFSET([2]quests!$A$1,0,0,COUNTA([2]quests!$A:$A),MATCH(E$1,[2]quests!$1:$1,0)-MATCH($B$1,[2]quests!$1:$1,0)+1),MATCH(E$1,[2]quests!$1:$1,0)-MATCH($B$1,[2]quests!$1:$1,0)+1,FALSE)</f>
        <v>28. 暴風と灼熱の罪浄</v>
      </c>
      <c r="F6" s="4" t="str">
        <f ca="1">VLOOKUP($D6,OFFSET([2]stages!$A$1,0,0,COUNTA([2]stages!$A:$A),MATCH(F$1,[2]stages!$2:$2,0)-MATCH($D$1,[2]stages!$2:$2,0)+1),MATCH(F$1,[2]stages!$2:$2,0)-MATCH($D$1,[2]stages!$2:$2,0)+1,FALSE)</f>
        <v>28-1. 轟翼のかまど</v>
      </c>
      <c r="G6" s="114">
        <v>2</v>
      </c>
      <c r="H6" s="14" t="str">
        <f t="shared" si="2"/>
        <v>15028_1-2</v>
      </c>
      <c r="I6" s="4">
        <f ca="1">VLOOKUP($H6,OFFSET(floors!$A$1,0,0,COUNTA(floors!$A:$A),MATCH(I$1,floors!$1:$1,0)-MATCH($H$1,floors!$1:$1,0)+1),MATCH(I$1,floors!$1:$1,0)-MATCH($H$1,floors!$1:$1,0)+1,FALSE)</f>
        <v>59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4" t="s">
        <v>53</v>
      </c>
      <c r="L6" s="126">
        <v>9</v>
      </c>
      <c r="M6" s="16" t="str">
        <f ca="1">VLOOKUP($L6,OFFSET([3]enemies!$A$1,0,0,COUNTA([3]enemies!$A:$A),MATCH(M$1,[3]enemies!$1:$1,0)-MATCH($L$1,[3]enemies!$1:$1,0)+1),MATCH(M$1,[3]enemies!$1:$1,0)-MATCH($L$1,[3]enemies!$1:$1,0)+1,FALSE)</f>
        <v>ブレット</v>
      </c>
      <c r="N6" s="16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Drop1W</v>
      </c>
      <c r="P6" s="16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6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58</v>
      </c>
      <c r="S6" s="162">
        <v>1.7</v>
      </c>
      <c r="T6" s="162">
        <v>1.3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全体攻撃</v>
      </c>
      <c r="W6" s="160">
        <v>15028003</v>
      </c>
      <c r="X6" s="164">
        <v>1</v>
      </c>
      <c r="Y6" s="164">
        <v>100</v>
      </c>
      <c r="Z6" s="164">
        <v>0</v>
      </c>
      <c r="AA6" s="16">
        <f ca="1">VLOOKUP($L6,OFFSET([3]enemies!$A$1,0,0,COUNTA([3]enemies!$A:$A),MATCH(AA$1,[3]enemies!$1:$1,0)-MATCH($L$1,[3]enemies!$1:$1,0)+1),MATCH(AA$1,[3]enemies!$1:$1,0)-MATCH($L$1,[3]enemies!$1:$1,0)+1,FALSE)</f>
        <v>2</v>
      </c>
      <c r="AB6" s="20">
        <f t="shared" si="3"/>
        <v>9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1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Drop1W</v>
      </c>
      <c r="AF6" s="144">
        <v>1</v>
      </c>
      <c r="AG6" s="20">
        <f t="shared" ca="1" si="4"/>
        <v>1</v>
      </c>
      <c r="AH6" s="8">
        <v>20</v>
      </c>
      <c r="AI6" s="144">
        <v>0</v>
      </c>
      <c r="AJ6" s="144">
        <v>0</v>
      </c>
      <c r="AK6" s="144">
        <v>0</v>
      </c>
      <c r="AL6" s="144">
        <v>0</v>
      </c>
      <c r="AM6" s="144">
        <v>1</v>
      </c>
      <c r="AN6" s="65">
        <v>1</v>
      </c>
    </row>
    <row r="7" spans="1:40" ht="21" customHeight="1" x14ac:dyDescent="0.15">
      <c r="A7" s="15" t="str">
        <f t="shared" ca="1" si="0"/>
        <v>15028_1-2/23&lt;lv58&gt;s4</v>
      </c>
      <c r="B7" s="107">
        <v>15028</v>
      </c>
      <c r="C7" s="108">
        <v>1</v>
      </c>
      <c r="D7" s="2" t="str">
        <f t="shared" si="1"/>
        <v>15028_1</v>
      </c>
      <c r="E7" s="4" t="str">
        <f ca="1">VLOOKUP($B7,OFFSET([2]quests!$A$1,0,0,COUNTA([2]quests!$A:$A),MATCH(E$1,[2]quests!$1:$1,0)-MATCH($B$1,[2]quests!$1:$1,0)+1),MATCH(E$1,[2]quests!$1:$1,0)-MATCH($B$1,[2]quests!$1:$1,0)+1,FALSE)</f>
        <v>28. 暴風と灼熱の罪浄</v>
      </c>
      <c r="F7" s="4" t="str">
        <f ca="1">VLOOKUP($D7,OFFSET([2]stages!$A$1,0,0,COUNTA([2]stages!$A:$A),MATCH(F$1,[2]stages!$2:$2,0)-MATCH($D$1,[2]stages!$2:$2,0)+1),MATCH(F$1,[2]stages!$2:$2,0)-MATCH($D$1,[2]stages!$2:$2,0)+1,FALSE)</f>
        <v>28-1. 轟翼のかまど</v>
      </c>
      <c r="G7" s="114">
        <v>2</v>
      </c>
      <c r="H7" s="14" t="str">
        <f t="shared" si="2"/>
        <v>15028_1-2</v>
      </c>
      <c r="I7" s="4">
        <f ca="1">VLOOKUP($H7,OFFSET(floors!$A$1,0,0,COUNTA(floors!$A:$A),MATCH(I$1,floors!$1:$1,0)-MATCH($H$1,floors!$1:$1,0)+1),MATCH(I$1,floors!$1:$1,0)-MATCH($H$1,floors!$1:$1,0)+1,FALSE)</f>
        <v>59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4" t="s">
        <v>53</v>
      </c>
      <c r="L7" s="126">
        <v>23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ミール</v>
      </c>
      <c r="N7" s="16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6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6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58</v>
      </c>
      <c r="S7" s="162">
        <v>1.5</v>
      </c>
      <c r="T7" s="162">
        <v>1.3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攻撃力×1.5倍の攻撃</v>
      </c>
      <c r="W7" s="160">
        <v>15028004</v>
      </c>
      <c r="X7" s="164">
        <v>1</v>
      </c>
      <c r="Y7" s="164">
        <v>100</v>
      </c>
      <c r="Z7" s="164">
        <v>0</v>
      </c>
      <c r="AA7" s="16">
        <f ca="1">VLOOKUP($L7,OFFSET([3]enemies!$A$1,0,0,COUNTA([3]enemies!$A:$A),MATCH(AA$1,[3]enemies!$1:$1,0)-MATCH($L$1,[3]enemies!$1:$1,0)+1),MATCH(AA$1,[3]enemies!$1:$1,0)-MATCH($L$1,[3]enemies!$1:$1,0)+1,FALSE)</f>
        <v>4</v>
      </c>
      <c r="AB7" s="20">
        <f t="shared" si="3"/>
        <v>23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ミール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1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144">
        <v>1</v>
      </c>
      <c r="AG7" s="20">
        <f t="shared" ca="1" si="4"/>
        <v>1</v>
      </c>
      <c r="AH7" s="8">
        <v>20</v>
      </c>
      <c r="AI7" s="144">
        <v>0</v>
      </c>
      <c r="AJ7" s="144">
        <v>0</v>
      </c>
      <c r="AK7" s="144">
        <v>0</v>
      </c>
      <c r="AL7" s="144">
        <v>0</v>
      </c>
      <c r="AM7" s="144">
        <v>1</v>
      </c>
      <c r="AN7" s="65">
        <v>1</v>
      </c>
    </row>
    <row r="8" spans="1:40" ht="21" customHeight="1" x14ac:dyDescent="0.15">
      <c r="A8" s="15" t="str">
        <f t="shared" si="0"/>
        <v>15028_1-2/57&lt;lv58&gt;s1</v>
      </c>
      <c r="B8" s="107">
        <v>15028</v>
      </c>
      <c r="C8" s="108">
        <v>1</v>
      </c>
      <c r="D8" s="2" t="str">
        <f t="shared" si="1"/>
        <v>15028_1</v>
      </c>
      <c r="E8" s="4" t="str">
        <f ca="1">VLOOKUP($B8,OFFSET([2]quests!$A$1,0,0,COUNTA([2]quests!$A:$A),MATCH(E$1,[2]quests!$1:$1,0)-MATCH($B$1,[2]quests!$1:$1,0)+1),MATCH(E$1,[2]quests!$1:$1,0)-MATCH($B$1,[2]quests!$1:$1,0)+1,FALSE)</f>
        <v>28. 暴風と灼熱の罪浄</v>
      </c>
      <c r="F8" s="4" t="str">
        <f ca="1">VLOOKUP($D8,OFFSET([2]stages!$A$1,0,0,COUNTA([2]stages!$A:$A),MATCH(F$1,[2]stages!$2:$2,0)-MATCH($D$1,[2]stages!$2:$2,0)+1),MATCH(F$1,[2]stages!$2:$2,0)-MATCH($D$1,[2]stages!$2:$2,0)+1,FALSE)</f>
        <v>28-1. 轟翼のかまど</v>
      </c>
      <c r="G8" s="114">
        <v>2</v>
      </c>
      <c r="H8" s="14" t="str">
        <f t="shared" si="2"/>
        <v>15028_1-2</v>
      </c>
      <c r="I8" s="4">
        <f ca="1">VLOOKUP($H8,OFFSET(floors!$A$1,0,0,COUNTA(floors!$A:$A),MATCH(I$1,floors!$1:$1,0)-MATCH($H$1,floors!$1:$1,0)+1),MATCH(I$1,floors!$1:$1,0)-MATCH($H$1,floors!$1:$1,0)+1,FALSE)</f>
        <v>59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4" t="s">
        <v>53</v>
      </c>
      <c r="L8" s="126">
        <v>57</v>
      </c>
      <c r="M8" s="16" t="str">
        <f ca="1">VLOOKUP($L8,OFFSET([3]enemies!$A$1,0,0,COUNTA([3]enemies!$A:$A),MATCH(M$1,[3]enemies!$1:$1,0)-MATCH($L$1,[3]enemies!$1:$1,0)+1),MATCH(M$1,[3]enemies!$1:$1,0)-MATCH($L$1,[3]enemies!$1:$1,0)+1,FALSE)</f>
        <v>チェン・リー</v>
      </c>
      <c r="N8" s="16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6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6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58</v>
      </c>
      <c r="S8" s="162">
        <v>3.8</v>
      </c>
      <c r="T8" s="162">
        <v>1.3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固定ダメージ</v>
      </c>
      <c r="W8" s="160">
        <v>15028005</v>
      </c>
      <c r="X8" s="164">
        <v>1</v>
      </c>
      <c r="Y8" s="164">
        <v>100</v>
      </c>
      <c r="Z8" s="164">
        <v>0</v>
      </c>
      <c r="AA8" s="161">
        <v>1</v>
      </c>
      <c r="AB8" s="20">
        <f t="shared" si="3"/>
        <v>57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チェン・リー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144">
        <v>1</v>
      </c>
      <c r="AG8" s="20">
        <f t="shared" ca="1" si="4"/>
        <v>2</v>
      </c>
      <c r="AH8" s="8">
        <v>20</v>
      </c>
      <c r="AI8" s="144">
        <v>0</v>
      </c>
      <c r="AJ8" s="144">
        <v>0</v>
      </c>
      <c r="AK8" s="144">
        <v>0</v>
      </c>
      <c r="AL8" s="144">
        <v>0</v>
      </c>
      <c r="AM8" s="144">
        <v>1</v>
      </c>
      <c r="AN8" s="65">
        <v>1</v>
      </c>
    </row>
    <row r="9" spans="1:40" ht="21" customHeight="1" x14ac:dyDescent="0.15">
      <c r="A9" s="15" t="str">
        <f t="shared" ref="A9:A10" si="5">B9&amp;"_"&amp;C9&amp;"-"&amp;G9&amp;"/"&amp;L9&amp;"&lt;lv"&amp;R9&amp;"&gt;s"&amp;AA9</f>
        <v>15028_1-2/348&lt;lv58&gt;s1</v>
      </c>
      <c r="B9" s="107">
        <v>15028</v>
      </c>
      <c r="C9" s="108">
        <v>1</v>
      </c>
      <c r="D9" s="2" t="str">
        <f t="shared" ref="D9:D10" si="6">B9&amp;"_"&amp;C9</f>
        <v>15028_1</v>
      </c>
      <c r="E9" s="4" t="str">
        <f ca="1">VLOOKUP($B9,OFFSET([2]quests!$A$1,0,0,COUNTA([2]quests!$A:$A),MATCH(E$1,[2]quests!$1:$1,0)-MATCH($B$1,[2]quests!$1:$1,0)+1),MATCH(E$1,[2]quests!$1:$1,0)-MATCH($B$1,[2]quests!$1:$1,0)+1,FALSE)</f>
        <v>28. 暴風と灼熱の罪浄</v>
      </c>
      <c r="F9" s="4" t="str">
        <f ca="1">VLOOKUP($D9,OFFSET([2]stages!$A$1,0,0,COUNTA([2]stages!$A:$A),MATCH(F$1,[2]stages!$2:$2,0)-MATCH($D$1,[2]stages!$2:$2,0)+1),MATCH(F$1,[2]stages!$2:$2,0)-MATCH($D$1,[2]stages!$2:$2,0)+1,FALSE)</f>
        <v>28-1. 轟翼のかまど</v>
      </c>
      <c r="G9" s="114">
        <v>2</v>
      </c>
      <c r="H9" s="14" t="str">
        <f t="shared" ref="H9:H10" si="7">B9&amp;"_"&amp;C9&amp;"-"&amp;G9</f>
        <v>15028_1-2</v>
      </c>
      <c r="I9" s="4">
        <f ca="1">VLOOKUP($H9,OFFSET(floors!$A$1,0,0,COUNTA(floors!$A:$A),MATCH(I$1,floors!$1:$1,0)-MATCH($H$1,floors!$1:$1,0)+1),MATCH(I$1,floors!$1:$1,0)-MATCH($H$1,floors!$1:$1,0)+1,FALSE)</f>
        <v>59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4" t="s">
        <v>53</v>
      </c>
      <c r="L9" s="126">
        <v>348</v>
      </c>
      <c r="M9" s="16" t="str">
        <f ca="1">VLOOKUP($L9,OFFSET([3]enemies!$A$1,0,0,COUNTA([3]enemies!$A:$A),MATCH(M$1,[3]enemies!$1:$1,0)-MATCH($L$1,[3]enemies!$1:$1,0)+1),MATCH(M$1,[3]enemies!$1:$1,0)-MATCH($L$1,[3]enemies!$1:$1,0)+1,FALSE)</f>
        <v>炎のケロケロ</v>
      </c>
      <c r="N9" s="16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6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6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58</v>
      </c>
      <c r="S9" s="162">
        <v>1.7</v>
      </c>
      <c r="T9" s="162">
        <v>1.8</v>
      </c>
      <c r="U9" s="5">
        <v>0</v>
      </c>
      <c r="V9" s="4" t="e">
        <f ca="1">VLOOKUP($W9,OFFSET(enemy_skill_sets!$B$1,0,0,COUNTA(enemy_skill_sets!$B:$B),MATCH(M$1,enemy_skill_sets!$1:$1,0)-MATCH($W$1,enemy_skill_sets!$1:$1,0)+2),MATCH(M$1,enemy_skill_sets!$1:$1,0)-MATCH($W$1,enemy_skill_sets!$1:$1,0)+2,FALSE)</f>
        <v>#N/A</v>
      </c>
      <c r="W9" s="4">
        <f ca="1">VLOOKUP($L9,OFFSET([3]enemies!$A$1,0,0,COUNTA([3]enemies!$A:$A),MATCH(W$1,[3]enemies!$1:$1,0)-MATCH($L$1,[3]enemies!$1:$1,0)+1),MATCH(W$1,[3]enemies!$1:$1,0)-MATCH($L$1,[3]enemies!$1:$1,0)+1,FALSE)</f>
        <v>0</v>
      </c>
      <c r="X9" s="164">
        <v>0</v>
      </c>
      <c r="Y9" s="164">
        <v>10</v>
      </c>
      <c r="Z9" s="164">
        <v>1</v>
      </c>
      <c r="AA9" s="161">
        <v>1</v>
      </c>
      <c r="AB9" s="20">
        <f t="shared" ref="AB9:AB10" si="8">L9</f>
        <v>348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144">
        <v>10</v>
      </c>
      <c r="AG9" s="20">
        <f t="shared" ref="AG9:AG10" ca="1" si="9">AD9</f>
        <v>2</v>
      </c>
      <c r="AH9" s="174">
        <v>100</v>
      </c>
      <c r="AI9" s="144">
        <v>0</v>
      </c>
      <c r="AJ9" s="144">
        <v>0</v>
      </c>
      <c r="AK9" s="144">
        <v>0</v>
      </c>
      <c r="AL9" s="144">
        <v>0</v>
      </c>
      <c r="AM9" s="144">
        <v>1</v>
      </c>
      <c r="AN9" s="65">
        <v>1</v>
      </c>
    </row>
    <row r="10" spans="1:40" ht="21" customHeight="1" x14ac:dyDescent="0.15">
      <c r="A10" s="15" t="str">
        <f t="shared" si="5"/>
        <v>15028_1-2/350&lt;lv62&gt;s1</v>
      </c>
      <c r="B10" s="107">
        <v>15028</v>
      </c>
      <c r="C10" s="108">
        <v>1</v>
      </c>
      <c r="D10" s="2" t="str">
        <f t="shared" si="6"/>
        <v>15028_1</v>
      </c>
      <c r="E10" s="4" t="str">
        <f ca="1">VLOOKUP($B10,OFFSET([2]quests!$A$1,0,0,COUNTA([2]quests!$A:$A),MATCH(E$1,[2]quests!$1:$1,0)-MATCH($B$1,[2]quests!$1:$1,0)+1),MATCH(E$1,[2]quests!$1:$1,0)-MATCH($B$1,[2]quests!$1:$1,0)+1,FALSE)</f>
        <v>28. 暴風と灼熱の罪浄</v>
      </c>
      <c r="F10" s="4" t="str">
        <f ca="1">VLOOKUP($D10,OFFSET([2]stages!$A$1,0,0,COUNTA([2]stages!$A:$A),MATCH(F$1,[2]stages!$2:$2,0)-MATCH($D$1,[2]stages!$2:$2,0)+1),MATCH(F$1,[2]stages!$2:$2,0)-MATCH($D$1,[2]stages!$2:$2,0)+1,FALSE)</f>
        <v>28-1. 轟翼のかまど</v>
      </c>
      <c r="G10" s="114">
        <v>2</v>
      </c>
      <c r="H10" s="14" t="str">
        <f t="shared" si="7"/>
        <v>15028_1-2</v>
      </c>
      <c r="I10" s="4">
        <f ca="1">VLOOKUP($H10,OFFSET(floors!$A$1,0,0,COUNTA(floors!$A:$A),MATCH(I$1,floors!$1:$1,0)-MATCH($H$1,floors!$1:$1,0)+1),MATCH(I$1,floors!$1:$1,0)-MATCH($H$1,floors!$1:$1,0)+1,FALSE)</f>
        <v>59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4" t="s">
        <v>53</v>
      </c>
      <c r="L10" s="126">
        <v>350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森のケロケロ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6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62</v>
      </c>
      <c r="S10" s="162">
        <v>1.7</v>
      </c>
      <c r="T10" s="162">
        <v>1.8</v>
      </c>
      <c r="U10" s="5">
        <v>0</v>
      </c>
      <c r="V10" s="4" t="e">
        <f ca="1">VLOOKUP($W10,OFFSET(enemy_skill_sets!$B$1,0,0,COUNTA(enemy_skill_sets!$B:$B),MATCH(M$1,enemy_skill_sets!$1:$1,0)-MATCH($W$1,enemy_skill_sets!$1:$1,0)+2),MATCH(M$1,enemy_skill_sets!$1:$1,0)-MATCH($W$1,enemy_skill_sets!$1:$1,0)+2,FALSE)</f>
        <v>#N/A</v>
      </c>
      <c r="W10" s="4">
        <f ca="1">VLOOKUP($L10,OFFSET([3]enemies!$A$1,0,0,COUNTA([3]enemies!$A:$A),MATCH(W$1,[3]enemies!$1:$1,0)-MATCH($L$1,[3]enemies!$1:$1,0)+1),MATCH(W$1,[3]enemies!$1:$1,0)-MATCH($L$1,[3]enemies!$1:$1,0)+1,FALSE)</f>
        <v>0</v>
      </c>
      <c r="X10" s="164">
        <v>0</v>
      </c>
      <c r="Y10" s="164">
        <v>10</v>
      </c>
      <c r="Z10" s="164">
        <v>1</v>
      </c>
      <c r="AA10" s="161">
        <v>1</v>
      </c>
      <c r="AB10" s="20">
        <f t="shared" si="8"/>
        <v>350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144">
        <v>10</v>
      </c>
      <c r="AG10" s="20">
        <f t="shared" ca="1" si="9"/>
        <v>2</v>
      </c>
      <c r="AH10" s="174">
        <v>100</v>
      </c>
      <c r="AI10" s="144">
        <v>0</v>
      </c>
      <c r="AJ10" s="144">
        <v>0</v>
      </c>
      <c r="AK10" s="144">
        <v>0</v>
      </c>
      <c r="AL10" s="144">
        <v>0</v>
      </c>
      <c r="AM10" s="144">
        <v>1</v>
      </c>
      <c r="AN10" s="65">
        <v>1</v>
      </c>
    </row>
    <row r="11" spans="1:40" ht="21" customHeight="1" x14ac:dyDescent="0.15">
      <c r="A11" s="15" t="str">
        <f t="shared" ca="1" si="0"/>
        <v>15028_1-3/49&lt;lv58&gt;s2</v>
      </c>
      <c r="B11" s="107">
        <v>15028</v>
      </c>
      <c r="C11" s="108">
        <v>1</v>
      </c>
      <c r="D11" s="2" t="str">
        <f t="shared" si="1"/>
        <v>15028_1</v>
      </c>
      <c r="E11" s="4" t="str">
        <f ca="1">VLOOKUP($B11,OFFSET([2]quests!$A$1,0,0,COUNTA([2]quests!$A:$A),MATCH(E$1,[2]quests!$1:$1,0)-MATCH($B$1,[2]quests!$1:$1,0)+1),MATCH(E$1,[2]quests!$1:$1,0)-MATCH($B$1,[2]quests!$1:$1,0)+1,FALSE)</f>
        <v>28. 暴風と灼熱の罪浄</v>
      </c>
      <c r="F11" s="4" t="str">
        <f ca="1">VLOOKUP($D11,OFFSET([2]stages!$A$1,0,0,COUNTA([2]stages!$A:$A),MATCH(F$1,[2]stages!$2:$2,0)-MATCH($D$1,[2]stages!$2:$2,0)+1),MATCH(F$1,[2]stages!$2:$2,0)-MATCH($D$1,[2]stages!$2:$2,0)+1,FALSE)</f>
        <v>28-1. 轟翼のかまど</v>
      </c>
      <c r="G11" s="119">
        <v>3</v>
      </c>
      <c r="H11" s="14" t="str">
        <f t="shared" si="2"/>
        <v>15028_1-3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4" t="s">
        <v>53</v>
      </c>
      <c r="L11" s="126">
        <v>49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ヨシタカ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6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58</v>
      </c>
      <c r="S11" s="162">
        <v>1.8</v>
      </c>
      <c r="T11" s="162">
        <v>1.7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2ターン攻撃力が50%DOWN</v>
      </c>
      <c r="W11" s="160">
        <v>15028006</v>
      </c>
      <c r="X11" s="164">
        <v>1</v>
      </c>
      <c r="Y11" s="164">
        <v>100</v>
      </c>
      <c r="Z11" s="164">
        <v>0</v>
      </c>
      <c r="AA11" s="16">
        <f ca="1">VLOOKUP($L11,OFFSET([3]enemies!$A$1,0,0,COUNTA([3]enemies!$A:$A),MATCH(AA$1,[3]enemies!$1:$1,0)-MATCH($L$1,[3]enemies!$1:$1,0)+1),MATCH(AA$1,[3]enemies!$1:$1,0)-MATCH($L$1,[3]enemies!$1:$1,0)+1,FALSE)</f>
        <v>2</v>
      </c>
      <c r="AB11" s="20">
        <f t="shared" si="3"/>
        <v>49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144">
        <v>1</v>
      </c>
      <c r="AG11" s="20">
        <f t="shared" ca="1" si="4"/>
        <v>2</v>
      </c>
      <c r="AH11" s="8">
        <v>0</v>
      </c>
      <c r="AI11" s="144">
        <v>0</v>
      </c>
      <c r="AJ11" s="144">
        <v>0</v>
      </c>
      <c r="AK11" s="144">
        <v>0</v>
      </c>
      <c r="AL11" s="144">
        <v>0</v>
      </c>
      <c r="AM11" s="144">
        <v>1</v>
      </c>
      <c r="AN11" s="65">
        <v>1</v>
      </c>
    </row>
    <row r="12" spans="1:40" ht="21" customHeight="1" x14ac:dyDescent="0.15">
      <c r="A12" s="15" t="str">
        <f t="shared" ref="A12:A48" ca="1" si="10">B12&amp;"_"&amp;C12&amp;"-"&amp;G12&amp;"/"&amp;L12&amp;"&lt;lv"&amp;R12&amp;"&gt;s"&amp;AA12</f>
        <v>15028_1-3/51&lt;lv58&gt;s2</v>
      </c>
      <c r="B12" s="107">
        <v>15028</v>
      </c>
      <c r="C12" s="108">
        <v>1</v>
      </c>
      <c r="D12" s="2" t="str">
        <f t="shared" ref="D12:D48" si="11">B12&amp;"_"&amp;C12</f>
        <v>15028_1</v>
      </c>
      <c r="E12" s="4" t="str">
        <f ca="1">VLOOKUP($B12,OFFSET([2]quests!$A$1,0,0,COUNTA([2]quests!$A:$A),MATCH(E$1,[2]quests!$1:$1,0)-MATCH($B$1,[2]quests!$1:$1,0)+1),MATCH(E$1,[2]quests!$1:$1,0)-MATCH($B$1,[2]quests!$1:$1,0)+1,FALSE)</f>
        <v>28. 暴風と灼熱の罪浄</v>
      </c>
      <c r="F12" s="4" t="str">
        <f ca="1">VLOOKUP($D12,OFFSET([2]stages!$A$1,0,0,COUNTA([2]stages!$A:$A),MATCH(F$1,[2]stages!$2:$2,0)-MATCH($D$1,[2]stages!$2:$2,0)+1),MATCH(F$1,[2]stages!$2:$2,0)-MATCH($D$1,[2]stages!$2:$2,0)+1,FALSE)</f>
        <v>28-1. 轟翼のかまど</v>
      </c>
      <c r="G12" s="119">
        <v>3</v>
      </c>
      <c r="H12" s="14" t="str">
        <f t="shared" ref="H12:H48" si="12">B12&amp;"_"&amp;C12&amp;"-"&amp;G12</f>
        <v>15028_1-3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4" t="s">
        <v>53</v>
      </c>
      <c r="L12" s="126">
        <v>51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マイ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6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58</v>
      </c>
      <c r="S12" s="162">
        <v>2.6</v>
      </c>
      <c r="T12" s="162">
        <v>1.2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2ターンCパネル生成延長</v>
      </c>
      <c r="W12" s="160">
        <v>15028007</v>
      </c>
      <c r="X12" s="164">
        <v>1</v>
      </c>
      <c r="Y12" s="164">
        <v>100</v>
      </c>
      <c r="Z12" s="164">
        <v>0</v>
      </c>
      <c r="AA12" s="16">
        <f ca="1">VLOOKUP($L12,OFFSET([3]enemies!$A$1,0,0,COUNTA([3]enemies!$A:$A),MATCH(AA$1,[3]enemies!$1:$1,0)-MATCH($L$1,[3]enemies!$1:$1,0)+1),MATCH(AA$1,[3]enemies!$1:$1,0)-MATCH($L$1,[3]enemies!$1:$1,0)+1,FALSE)</f>
        <v>2</v>
      </c>
      <c r="AB12" s="20">
        <f t="shared" ref="AB12:AB48" si="13">L12</f>
        <v>51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マイ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144">
        <v>1</v>
      </c>
      <c r="AG12" s="20">
        <f t="shared" ref="AG12:AG48" ca="1" si="14">AD12</f>
        <v>2</v>
      </c>
      <c r="AH12" s="8">
        <v>0</v>
      </c>
      <c r="AI12" s="144">
        <v>0</v>
      </c>
      <c r="AJ12" s="144">
        <v>0</v>
      </c>
      <c r="AK12" s="144">
        <v>0</v>
      </c>
      <c r="AL12" s="144">
        <v>0</v>
      </c>
      <c r="AM12" s="144">
        <v>1</v>
      </c>
      <c r="AN12" s="65">
        <v>1</v>
      </c>
    </row>
    <row r="13" spans="1:40" ht="21" customHeight="1" x14ac:dyDescent="0.15">
      <c r="A13" s="15" t="str">
        <f t="shared" ca="1" si="10"/>
        <v>15028_1-3/59&lt;lv58&gt;s2</v>
      </c>
      <c r="B13" s="107">
        <v>15028</v>
      </c>
      <c r="C13" s="108">
        <v>1</v>
      </c>
      <c r="D13" s="2" t="str">
        <f t="shared" si="11"/>
        <v>15028_1</v>
      </c>
      <c r="E13" s="4" t="str">
        <f ca="1">VLOOKUP($B13,OFFSET([2]quests!$A$1,0,0,COUNTA([2]quests!$A:$A),MATCH(E$1,[2]quests!$1:$1,0)-MATCH($B$1,[2]quests!$1:$1,0)+1),MATCH(E$1,[2]quests!$1:$1,0)-MATCH($B$1,[2]quests!$1:$1,0)+1,FALSE)</f>
        <v>28. 暴風と灼熱の罪浄</v>
      </c>
      <c r="F13" s="4" t="str">
        <f ca="1">VLOOKUP($D13,OFFSET([2]stages!$A$1,0,0,COUNTA([2]stages!$A:$A),MATCH(F$1,[2]stages!$2:$2,0)-MATCH($D$1,[2]stages!$2:$2,0)+1),MATCH(F$1,[2]stages!$2:$2,0)-MATCH($D$1,[2]stages!$2:$2,0)+1,FALSE)</f>
        <v>28-1. 轟翼のかまど</v>
      </c>
      <c r="G13" s="119">
        <v>3</v>
      </c>
      <c r="H13" s="14" t="str">
        <f t="shared" si="12"/>
        <v>15028_1-3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4" t="s">
        <v>53</v>
      </c>
      <c r="L13" s="126">
        <v>59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マーチ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6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58</v>
      </c>
      <c r="S13" s="162">
        <v>2.6</v>
      </c>
      <c r="T13" s="162">
        <v>1.3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回復</v>
      </c>
      <c r="W13" s="160">
        <v>15028008</v>
      </c>
      <c r="X13" s="164">
        <v>1</v>
      </c>
      <c r="Y13" s="164">
        <v>100</v>
      </c>
      <c r="Z13" s="164">
        <v>0</v>
      </c>
      <c r="AA13" s="16">
        <f ca="1">VLOOKUP($L13,OFFSET([3]enemies!$A$1,0,0,COUNTA([3]enemies!$A:$A),MATCH(AA$1,[3]enemies!$1:$1,0)-MATCH($L$1,[3]enemies!$1:$1,0)+1),MATCH(AA$1,[3]enemies!$1:$1,0)-MATCH($L$1,[3]enemies!$1:$1,0)+1,FALSE)</f>
        <v>2</v>
      </c>
      <c r="AB13" s="20">
        <f t="shared" si="13"/>
        <v>59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マーチ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144">
        <v>1</v>
      </c>
      <c r="AG13" s="20">
        <f t="shared" ca="1" si="14"/>
        <v>2</v>
      </c>
      <c r="AH13" s="8">
        <v>0</v>
      </c>
      <c r="AI13" s="144">
        <v>0</v>
      </c>
      <c r="AJ13" s="144">
        <v>0</v>
      </c>
      <c r="AK13" s="144">
        <v>0</v>
      </c>
      <c r="AL13" s="144">
        <v>0</v>
      </c>
      <c r="AM13" s="144">
        <v>1</v>
      </c>
      <c r="AN13" s="65">
        <v>1</v>
      </c>
    </row>
    <row r="14" spans="1:40" ht="21" customHeight="1" x14ac:dyDescent="0.15">
      <c r="A14" s="15" t="str">
        <f t="shared" ref="A14" si="15">B14&amp;"_"&amp;C14&amp;"-"&amp;G14&amp;"/"&amp;L14&amp;"&lt;lv"&amp;R14&amp;"&gt;s"&amp;AA14</f>
        <v>15028_1-3/348&lt;lv58&gt;s1</v>
      </c>
      <c r="B14" s="107">
        <v>15028</v>
      </c>
      <c r="C14" s="108">
        <v>1</v>
      </c>
      <c r="D14" s="2" t="str">
        <f t="shared" ref="D14" si="16">B14&amp;"_"&amp;C14</f>
        <v>15028_1</v>
      </c>
      <c r="E14" s="4" t="str">
        <f ca="1">VLOOKUP($B14,OFFSET([2]quests!$A$1,0,0,COUNTA([2]quests!$A:$A),MATCH(E$1,[2]quests!$1:$1,0)-MATCH($B$1,[2]quests!$1:$1,0)+1),MATCH(E$1,[2]quests!$1:$1,0)-MATCH($B$1,[2]quests!$1:$1,0)+1,FALSE)</f>
        <v>28. 暴風と灼熱の罪浄</v>
      </c>
      <c r="F14" s="4" t="str">
        <f ca="1">VLOOKUP($D14,OFFSET([2]stages!$A$1,0,0,COUNTA([2]stages!$A:$A),MATCH(F$1,[2]stages!$2:$2,0)-MATCH($D$1,[2]stages!$2:$2,0)+1),MATCH(F$1,[2]stages!$2:$2,0)-MATCH($D$1,[2]stages!$2:$2,0)+1,FALSE)</f>
        <v>28-1. 轟翼のかまど</v>
      </c>
      <c r="G14" s="119">
        <v>3</v>
      </c>
      <c r="H14" s="14" t="str">
        <f t="shared" ref="H14" si="17">B14&amp;"_"&amp;C14&amp;"-"&amp;G14</f>
        <v>15028_1-3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4" t="s">
        <v>53</v>
      </c>
      <c r="L14" s="126">
        <v>348</v>
      </c>
      <c r="M14" s="16" t="str">
        <f ca="1">VLOOKUP($L14,OFFSET([3]enemies!$A$1,0,0,COUNTA([3]enemies!$A:$A),MATCH(M$1,[3]enemies!$1:$1,0)-MATCH($L$1,[3]enemies!$1:$1,0)+1),MATCH(M$1,[3]enemies!$1:$1,0)-MATCH($L$1,[3]enemies!$1:$1,0)+1,FALSE)</f>
        <v>炎のケロケロ</v>
      </c>
      <c r="N14" s="16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6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16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6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58</v>
      </c>
      <c r="S14" s="162">
        <v>1.7</v>
      </c>
      <c r="T14" s="162">
        <v>1.8</v>
      </c>
      <c r="U14" s="5">
        <v>0</v>
      </c>
      <c r="V14" s="4" t="e">
        <f ca="1">VLOOKUP($W14,OFFSET(enemy_skill_sets!$B$1,0,0,COUNTA(enemy_skill_sets!$B:$B),MATCH(M$1,enemy_skill_sets!$1:$1,0)-MATCH($W$1,enemy_skill_sets!$1:$1,0)+2),MATCH(M$1,enemy_skill_sets!$1:$1,0)-MATCH($W$1,enemy_skill_sets!$1:$1,0)+2,FALSE)</f>
        <v>#N/A</v>
      </c>
      <c r="W14" s="4">
        <f ca="1">VLOOKUP($L14,OFFSET([3]enemies!$A$1,0,0,COUNTA([3]enemies!$A:$A),MATCH(W$1,[3]enemies!$1:$1,0)-MATCH($L$1,[3]enemies!$1:$1,0)+1),MATCH(W$1,[3]enemies!$1:$1,0)-MATCH($L$1,[3]enemies!$1:$1,0)+1,FALSE)</f>
        <v>0</v>
      </c>
      <c r="X14" s="164">
        <v>1</v>
      </c>
      <c r="Y14" s="164">
        <v>100</v>
      </c>
      <c r="Z14" s="164">
        <v>1</v>
      </c>
      <c r="AA14" s="161">
        <v>1</v>
      </c>
      <c r="AB14" s="20">
        <f t="shared" ref="AB14" si="18">L14</f>
        <v>348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" s="144">
        <v>10</v>
      </c>
      <c r="AG14" s="20">
        <f t="shared" ref="AG14" ca="1" si="19">AD14</f>
        <v>2</v>
      </c>
      <c r="AH14" s="174">
        <v>100</v>
      </c>
      <c r="AI14" s="144">
        <v>0</v>
      </c>
      <c r="AJ14" s="144">
        <v>0</v>
      </c>
      <c r="AK14" s="144">
        <v>0</v>
      </c>
      <c r="AL14" s="144">
        <v>0</v>
      </c>
      <c r="AM14" s="144">
        <v>1</v>
      </c>
      <c r="AN14" s="65">
        <v>1</v>
      </c>
    </row>
    <row r="15" spans="1:40" ht="21" customHeight="1" x14ac:dyDescent="0.15">
      <c r="A15" s="15" t="str">
        <f t="shared" si="10"/>
        <v>15028_1-4/381&lt;lv63&gt;s2</v>
      </c>
      <c r="B15" s="107">
        <v>15028</v>
      </c>
      <c r="C15" s="108">
        <v>1</v>
      </c>
      <c r="D15" s="2" t="str">
        <f t="shared" si="11"/>
        <v>15028_1</v>
      </c>
      <c r="E15" s="4" t="str">
        <f ca="1">VLOOKUP($B15,OFFSET([2]quests!$A$1,0,0,COUNTA([2]quests!$A:$A),MATCH(E$1,[2]quests!$1:$1,0)-MATCH($B$1,[2]quests!$1:$1,0)+1),MATCH(E$1,[2]quests!$1:$1,0)-MATCH($B$1,[2]quests!$1:$1,0)+1,FALSE)</f>
        <v>28. 暴風と灼熱の罪浄</v>
      </c>
      <c r="F15" s="4" t="str">
        <f ca="1">VLOOKUP($D15,OFFSET([2]stages!$A$1,0,0,COUNTA([2]stages!$A:$A),MATCH(F$1,[2]stages!$2:$2,0)-MATCH($D$1,[2]stages!$2:$2,0)+1),MATCH(F$1,[2]stages!$2:$2,0)-MATCH($D$1,[2]stages!$2:$2,0)+1,FALSE)</f>
        <v>28-1. 轟翼のかまど</v>
      </c>
      <c r="G15" s="178">
        <v>4</v>
      </c>
      <c r="H15" s="14" t="str">
        <f t="shared" si="12"/>
        <v>15028_1-4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4" t="s">
        <v>232</v>
      </c>
      <c r="L15" s="126">
        <v>381</v>
      </c>
      <c r="M15" s="16" t="str">
        <f ca="1">VLOOKUP($L15,OFFSET([3]enemies!$A$1,0,0,COUNTA([3]enemies!$A:$A),MATCH(M$1,[3]enemies!$1:$1,0)-MATCH($L$1,[3]enemies!$1:$1,0)+1),MATCH(M$1,[3]enemies!$1:$1,0)-MATCH($L$1,[3]enemies!$1:$1,0)+1,FALSE)</f>
        <v>肉食の恋火 バハムート</v>
      </c>
      <c r="N15" s="16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6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6" t="str">
        <f ca="1">VLOOKUP($L15,OFFSET([3]enemies!$A$1,0,0,COUNTA([3]enemies!$A:$A),MATCH(P$1,[3]enemies!$1:$1,0)-MATCH($L$1,[3]enemies!$1:$1,0)+1),MATCH(P$1,[3]enemies!$1:$1,0)-MATCH($L$1,[3]enemies!$1:$1,0)+1,FALSE)</f>
        <v>dragon</v>
      </c>
      <c r="Q15" s="16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63</v>
      </c>
      <c r="S15" s="162">
        <v>1.7</v>
      </c>
      <c r="T15" s="162">
        <v>1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辺りに人間が居ないか探しているようだ</v>
      </c>
      <c r="W15" s="160">
        <v>15028009</v>
      </c>
      <c r="X15" s="164">
        <v>1</v>
      </c>
      <c r="Y15" s="164">
        <v>100</v>
      </c>
      <c r="Z15" s="164">
        <v>0</v>
      </c>
      <c r="AA15" s="161">
        <v>2</v>
      </c>
      <c r="AB15" s="20">
        <f t="shared" si="13"/>
        <v>381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肉食の恋火 バハムート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5" s="144">
        <v>1</v>
      </c>
      <c r="AG15" s="20">
        <f t="shared" ca="1" si="14"/>
        <v>4</v>
      </c>
      <c r="AH15" s="8">
        <v>0</v>
      </c>
      <c r="AI15" s="144">
        <v>0</v>
      </c>
      <c r="AJ15" s="144">
        <v>0</v>
      </c>
      <c r="AK15" s="144">
        <v>0</v>
      </c>
      <c r="AL15" s="144">
        <v>0</v>
      </c>
      <c r="AM15" s="144">
        <v>1</v>
      </c>
      <c r="AN15" s="65">
        <v>1</v>
      </c>
    </row>
    <row r="16" spans="1:40" ht="21" customHeight="1" thickBot="1" x14ac:dyDescent="0.2">
      <c r="A16" s="15" t="str">
        <f t="shared" si="10"/>
        <v>15028_1-4/70&lt;lv63&gt;s3</v>
      </c>
      <c r="B16" s="109">
        <v>15028</v>
      </c>
      <c r="C16" s="110">
        <v>1</v>
      </c>
      <c r="D16" s="2" t="str">
        <f t="shared" si="11"/>
        <v>15028_1</v>
      </c>
      <c r="E16" s="4" t="str">
        <f ca="1">VLOOKUP($B16,OFFSET([2]quests!$A$1,0,0,COUNTA([2]quests!$A:$A),MATCH(E$1,[2]quests!$1:$1,0)-MATCH($B$1,[2]quests!$1:$1,0)+1),MATCH(E$1,[2]quests!$1:$1,0)-MATCH($B$1,[2]quests!$1:$1,0)+1,FALSE)</f>
        <v>28. 暴風と灼熱の罪浄</v>
      </c>
      <c r="F16" s="4" t="str">
        <f ca="1">VLOOKUP($D16,OFFSET([2]stages!$A$1,0,0,COUNTA([2]stages!$A:$A),MATCH(F$1,[2]stages!$2:$2,0)-MATCH($D$1,[2]stages!$2:$2,0)+1),MATCH(F$1,[2]stages!$2:$2,0)-MATCH($D$1,[2]stages!$2:$2,0)+1,FALSE)</f>
        <v>28-1. 轟翼のかまど</v>
      </c>
      <c r="G16" s="125">
        <v>4</v>
      </c>
      <c r="H16" s="14" t="str">
        <f t="shared" si="12"/>
        <v>15028_1-4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105" t="s">
        <v>53</v>
      </c>
      <c r="L16" s="127">
        <v>70</v>
      </c>
      <c r="M16" s="16" t="str">
        <f ca="1">VLOOKUP($L16,OFFSET([3]enemies!$A$1,0,0,COUNTA([3]enemies!$A:$A),MATCH(M$1,[3]enemies!$1:$1,0)-MATCH($L$1,[3]enemies!$1:$1,0)+1),MATCH(M$1,[3]enemies!$1:$1,0)-MATCH($L$1,[3]enemies!$1:$1,0)+1,FALSE)</f>
        <v>自由の思想家 ストール</v>
      </c>
      <c r="N16" s="16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6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6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6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63</v>
      </c>
      <c r="S16" s="166">
        <v>1.2</v>
      </c>
      <c r="T16" s="166">
        <v>1</v>
      </c>
      <c r="U16" s="134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3ターンの間バハムートの攻撃力と防御力が大UP</v>
      </c>
      <c r="W16" s="160">
        <v>15028010</v>
      </c>
      <c r="X16" s="169">
        <v>1</v>
      </c>
      <c r="Y16" s="169">
        <v>100</v>
      </c>
      <c r="Z16" s="169">
        <v>0</v>
      </c>
      <c r="AA16" s="161">
        <v>3</v>
      </c>
      <c r="AB16" s="20">
        <f t="shared" si="13"/>
        <v>70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自由の思想家 ストール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4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145">
        <v>1</v>
      </c>
      <c r="AG16" s="20">
        <f t="shared" ca="1" si="14"/>
        <v>4</v>
      </c>
      <c r="AH16" s="150">
        <v>20</v>
      </c>
      <c r="AI16" s="145">
        <v>0</v>
      </c>
      <c r="AJ16" s="145">
        <v>0</v>
      </c>
      <c r="AK16" s="145">
        <v>0</v>
      </c>
      <c r="AL16" s="145">
        <v>0</v>
      </c>
      <c r="AM16" s="145">
        <v>1</v>
      </c>
      <c r="AN16" s="151">
        <v>1</v>
      </c>
    </row>
    <row r="17" spans="1:40" ht="21" customHeight="1" x14ac:dyDescent="0.15">
      <c r="A17" s="15" t="str">
        <f t="shared" si="10"/>
        <v>15028_2-1/126&lt;lv60&gt;s5</v>
      </c>
      <c r="B17" s="111">
        <v>15028</v>
      </c>
      <c r="C17" s="112">
        <v>2</v>
      </c>
      <c r="D17" s="2" t="str">
        <f t="shared" si="11"/>
        <v>15028_2</v>
      </c>
      <c r="E17" s="4" t="str">
        <f ca="1">VLOOKUP($B17,OFFSET([2]quests!$A$1,0,0,COUNTA([2]quests!$A:$A),MATCH(E$1,[2]quests!$1:$1,0)-MATCH($B$1,[2]quests!$1:$1,0)+1),MATCH(E$1,[2]quests!$1:$1,0)-MATCH($B$1,[2]quests!$1:$1,0)+1,FALSE)</f>
        <v>28. 暴風と灼熱の罪浄</v>
      </c>
      <c r="F17" s="4" t="str">
        <f ca="1">VLOOKUP($D17,OFFSET([2]stages!$A$1,0,0,COUNTA([2]stages!$A:$A),MATCH(F$1,[2]stages!$2:$2,0)-MATCH($D$1,[2]stages!$2:$2,0)+1),MATCH(F$1,[2]stages!$2:$2,0)-MATCH($D$1,[2]stages!$2:$2,0)+1,FALSE)</f>
        <v>28-2. 空の寝殿</v>
      </c>
      <c r="G17" s="122">
        <v>1</v>
      </c>
      <c r="H17" s="14" t="str">
        <f t="shared" si="12"/>
        <v>15028_2-1</v>
      </c>
      <c r="I17" s="4">
        <f ca="1">VLOOKUP($H17,OFFSET(floors!$A$1,0,0,COUNTA(floors!$A:$A),MATCH(I$1,floors!$1:$1,0)-MATCH($H$1,floors!$1:$1,0)+1),MATCH(I$1,floors!$1:$1,0)-MATCH($H$1,floors!$1:$1,0)+1,FALSE)</f>
        <v>50</v>
      </c>
      <c r="J17" s="4">
        <f ca="1">VLOOKUP($H17,OFFSET(floors!$A$1,0,0,COUNTA(floors!$A:$A),MATCH(J$1,floors!$1:$1,0)-MATCH($H$1,floors!$1:$1,0)+1),MATCH(J$1,floors!$1:$1,0)-MATCH($H$1,floors!$1:$1,0)+1,FALSE)</f>
        <v>50</v>
      </c>
      <c r="K17" s="128" t="s">
        <v>53</v>
      </c>
      <c r="L17" s="129">
        <v>126</v>
      </c>
      <c r="M17" s="16" t="str">
        <f ca="1">VLOOKUP($L17,OFFSET([3]enemies!$A$1,0,0,COUNTA([3]enemies!$A:$A),MATCH(M$1,[3]enemies!$1:$1,0)-MATCH($L$1,[3]enemies!$1:$1,0)+1),MATCH(M$1,[3]enemies!$1:$1,0)-MATCH($L$1,[3]enemies!$1:$1,0)+1,FALSE)</f>
        <v>骨器使い ユノ</v>
      </c>
      <c r="N17" s="16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6" t="str">
        <f ca="1">VLOOKUP($L17,OFFSET([4]characters!$A$1,0,0,COUNTA([4]characters!$A:$A),MATCH(O$1,[4]characters!$1:$1,0)-MATCH($L$1,[4]characters!$1:$1,0)+1),MATCH(O$1,[4]characters!$1:$1,0)-MATCH($L$1,[4]characters!$1:$1,0)+1,FALSE)</f>
        <v>PremiumW</v>
      </c>
      <c r="P17" s="16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6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60</v>
      </c>
      <c r="S17" s="167">
        <v>0.8</v>
      </c>
      <c r="T17" s="167">
        <v>1.3</v>
      </c>
      <c r="U17" s="13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3ターン敵の攻撃力と攻撃頻度がUP</v>
      </c>
      <c r="W17" s="160">
        <v>15028011</v>
      </c>
      <c r="X17" s="170">
        <v>1</v>
      </c>
      <c r="Y17" s="170">
        <v>100</v>
      </c>
      <c r="Z17" s="170">
        <v>1</v>
      </c>
      <c r="AA17" s="161">
        <v>5</v>
      </c>
      <c r="AB17" s="20">
        <f t="shared" si="13"/>
        <v>126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骨器使い ユノ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7" s="146">
        <v>1</v>
      </c>
      <c r="AG17" s="20">
        <f t="shared" ca="1" si="14"/>
        <v>3</v>
      </c>
      <c r="AH17" s="152">
        <v>0</v>
      </c>
      <c r="AI17" s="146">
        <v>0</v>
      </c>
      <c r="AJ17" s="146">
        <v>0</v>
      </c>
      <c r="AK17" s="146">
        <v>0</v>
      </c>
      <c r="AL17" s="146">
        <v>0</v>
      </c>
      <c r="AM17" s="146">
        <v>1</v>
      </c>
      <c r="AN17" s="153">
        <v>1</v>
      </c>
    </row>
    <row r="18" spans="1:40" ht="21" customHeight="1" x14ac:dyDescent="0.15">
      <c r="A18" s="15" t="str">
        <f t="shared" ca="1" si="10"/>
        <v>15028_2-1/21&lt;lv60&gt;s2</v>
      </c>
      <c r="B18" s="113">
        <v>15028</v>
      </c>
      <c r="C18" s="114">
        <v>2</v>
      </c>
      <c r="D18" s="2" t="str">
        <f t="shared" si="11"/>
        <v>15028_2</v>
      </c>
      <c r="E18" s="4" t="str">
        <f ca="1">VLOOKUP($B18,OFFSET([2]quests!$A$1,0,0,COUNTA([2]quests!$A:$A),MATCH(E$1,[2]quests!$1:$1,0)-MATCH($B$1,[2]quests!$1:$1,0)+1),MATCH(E$1,[2]quests!$1:$1,0)-MATCH($B$1,[2]quests!$1:$1,0)+1,FALSE)</f>
        <v>28. 暴風と灼熱の罪浄</v>
      </c>
      <c r="F18" s="4" t="str">
        <f ca="1">VLOOKUP($D18,OFFSET([2]stages!$A$1,0,0,COUNTA([2]stages!$A:$A),MATCH(F$1,[2]stages!$2:$2,0)-MATCH($D$1,[2]stages!$2:$2,0)+1),MATCH(F$1,[2]stages!$2:$2,0)-MATCH($D$1,[2]stages!$2:$2,0)+1,FALSE)</f>
        <v>28-2. 空の寝殿</v>
      </c>
      <c r="G18" s="108">
        <v>1</v>
      </c>
      <c r="H18" s="14" t="str">
        <f t="shared" si="12"/>
        <v>15028_2-1</v>
      </c>
      <c r="I18" s="4">
        <f ca="1">VLOOKUP($H18,OFFSET(floors!$A$1,0,0,COUNTA(floors!$A:$A),MATCH(I$1,floors!$1:$1,0)-MATCH($H$1,floors!$1:$1,0)+1),MATCH(I$1,floors!$1:$1,0)-MATCH($H$1,floors!$1:$1,0)+1,FALSE)</f>
        <v>50</v>
      </c>
      <c r="J18" s="4">
        <f ca="1">VLOOKUP($H18,OFFSET(floors!$A$1,0,0,COUNTA(floors!$A:$A),MATCH(J$1,floors!$1:$1,0)-MATCH($H$1,floors!$1:$1,0)+1),MATCH(J$1,floors!$1:$1,0)-MATCH($H$1,floors!$1:$1,0)+1,FALSE)</f>
        <v>50</v>
      </c>
      <c r="K18" s="34" t="s">
        <v>53</v>
      </c>
      <c r="L18" s="126">
        <v>21</v>
      </c>
      <c r="M18" s="16" t="str">
        <f ca="1">VLOOKUP($L18,OFFSET([3]enemies!$A$1,0,0,COUNTA([3]enemies!$A:$A),MATCH(M$1,[3]enemies!$1:$1,0)-MATCH($L$1,[3]enemies!$1:$1,0)+1),MATCH(M$1,[3]enemies!$1:$1,0)-MATCH($L$1,[3]enemies!$1:$1,0)+1,FALSE)</f>
        <v>ヴェロキー</v>
      </c>
      <c r="N18" s="16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16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6" t="str">
        <f ca="1">VLOOKUP($L18,OFFSET([3]enemies!$A$1,0,0,COUNTA([3]enemies!$A:$A),MATCH(P$1,[3]enemies!$1:$1,0)-MATCH($L$1,[3]enemies!$1:$1,0)+1),MATCH(P$1,[3]enemies!$1:$1,0)-MATCH($L$1,[3]enemies!$1:$1,0)+1,FALSE)</f>
        <v>dragon</v>
      </c>
      <c r="Q18" s="16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60</v>
      </c>
      <c r="S18" s="176">
        <v>1.9</v>
      </c>
      <c r="T18" s="176">
        <v>1.1000000000000001</v>
      </c>
      <c r="U18" s="136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8" s="160">
        <v>15028012</v>
      </c>
      <c r="X18" s="171">
        <v>0</v>
      </c>
      <c r="Y18" s="171">
        <v>100</v>
      </c>
      <c r="Z18" s="171">
        <v>0</v>
      </c>
      <c r="AA18" s="16">
        <f ca="1">VLOOKUP($L18,OFFSET([3]enemies!$A$1,0,0,COUNTA([3]enemies!$A:$A),MATCH(AA$1,[3]enemies!$1:$1,0)-MATCH($L$1,[3]enemies!$1:$1,0)+1),MATCH(AA$1,[3]enemies!$1:$1,0)-MATCH($L$1,[3]enemies!$1:$1,0)+1,FALSE)</f>
        <v>2</v>
      </c>
      <c r="AB18" s="20">
        <f t="shared" si="13"/>
        <v>21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ヴェロキー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1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144">
        <v>1</v>
      </c>
      <c r="AG18" s="20">
        <f t="shared" ca="1" si="14"/>
        <v>1</v>
      </c>
      <c r="AH18" s="65">
        <v>20</v>
      </c>
      <c r="AI18" s="144">
        <v>0</v>
      </c>
      <c r="AJ18" s="144">
        <v>0</v>
      </c>
      <c r="AK18" s="144">
        <v>0</v>
      </c>
      <c r="AL18" s="144">
        <v>0</v>
      </c>
      <c r="AM18" s="144">
        <v>1</v>
      </c>
      <c r="AN18" s="65">
        <v>1</v>
      </c>
    </row>
    <row r="19" spans="1:40" ht="21" customHeight="1" x14ac:dyDescent="0.15">
      <c r="A19" s="15" t="str">
        <f t="shared" si="10"/>
        <v>15028_2-1/348&lt;lv58&gt;s1</v>
      </c>
      <c r="B19" s="107">
        <v>15028</v>
      </c>
      <c r="C19" s="114">
        <v>2</v>
      </c>
      <c r="D19" s="2" t="str">
        <f t="shared" si="11"/>
        <v>15028_2</v>
      </c>
      <c r="E19" s="4" t="str">
        <f ca="1">VLOOKUP($B19,OFFSET([2]quests!$A$1,0,0,COUNTA([2]quests!$A:$A),MATCH(E$1,[2]quests!$1:$1,0)-MATCH($B$1,[2]quests!$1:$1,0)+1),MATCH(E$1,[2]quests!$1:$1,0)-MATCH($B$1,[2]quests!$1:$1,0)+1,FALSE)</f>
        <v>28. 暴風と灼熱の罪浄</v>
      </c>
      <c r="F19" s="4" t="str">
        <f ca="1">VLOOKUP($D19,OFFSET([2]stages!$A$1,0,0,COUNTA([2]stages!$A:$A),MATCH(F$1,[2]stages!$2:$2,0)-MATCH($D$1,[2]stages!$2:$2,0)+1),MATCH(F$1,[2]stages!$2:$2,0)-MATCH($D$1,[2]stages!$2:$2,0)+1,FALSE)</f>
        <v>28-2. 空の寝殿</v>
      </c>
      <c r="G19" s="108">
        <v>1</v>
      </c>
      <c r="H19" s="14" t="str">
        <f t="shared" si="12"/>
        <v>15028_2-1</v>
      </c>
      <c r="I19" s="4">
        <f ca="1">VLOOKUP($H19,OFFSET(floors!$A$1,0,0,COUNTA(floors!$A:$A),MATCH(I$1,floors!$1:$1,0)-MATCH($H$1,floors!$1:$1,0)+1),MATCH(I$1,floors!$1:$1,0)-MATCH($H$1,floors!$1:$1,0)+1,FALSE)</f>
        <v>50</v>
      </c>
      <c r="J19" s="4">
        <f ca="1">VLOOKUP($H19,OFFSET(floors!$A$1,0,0,COUNTA(floors!$A:$A),MATCH(J$1,floors!$1:$1,0)-MATCH($H$1,floors!$1:$1,0)+1),MATCH(J$1,floors!$1:$1,0)-MATCH($H$1,floors!$1:$1,0)+1,FALSE)</f>
        <v>50</v>
      </c>
      <c r="K19" s="34" t="s">
        <v>53</v>
      </c>
      <c r="L19" s="126">
        <v>348</v>
      </c>
      <c r="M19" s="16" t="str">
        <f ca="1">VLOOKUP($L19,OFFSET([3]enemies!$A$1,0,0,COUNTA([3]enemies!$A:$A),MATCH(M$1,[3]enemies!$1:$1,0)-MATCH($L$1,[3]enemies!$1:$1,0)+1),MATCH(M$1,[3]enemies!$1:$1,0)-MATCH($L$1,[3]enemies!$1:$1,0)+1,FALSE)</f>
        <v>炎のケロケロ</v>
      </c>
      <c r="N19" s="16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6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16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6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58</v>
      </c>
      <c r="S19" s="162">
        <v>1.7</v>
      </c>
      <c r="T19" s="162">
        <v>1.8</v>
      </c>
      <c r="U19" s="5">
        <v>0</v>
      </c>
      <c r="V19" s="4" t="e">
        <f ca="1">VLOOKUP($W19,OFFSET(enemy_skill_sets!$B$1,0,0,COUNTA(enemy_skill_sets!$B:$B),MATCH(M$1,enemy_skill_sets!$1:$1,0)-MATCH($W$1,enemy_skill_sets!$1:$1,0)+2),MATCH(M$1,enemy_skill_sets!$1:$1,0)-MATCH($W$1,enemy_skill_sets!$1:$1,0)+2,FALSE)</f>
        <v>#N/A</v>
      </c>
      <c r="W19" s="4">
        <f ca="1">VLOOKUP($L19,OFFSET([3]enemies!$A$1,0,0,COUNTA([3]enemies!$A:$A),MATCH(W$1,[3]enemies!$1:$1,0)-MATCH($L$1,[3]enemies!$1:$1,0)+1),MATCH(W$1,[3]enemies!$1:$1,0)-MATCH($L$1,[3]enemies!$1:$1,0)+1,FALSE)</f>
        <v>0</v>
      </c>
      <c r="X19" s="164">
        <v>0</v>
      </c>
      <c r="Y19" s="164">
        <v>5</v>
      </c>
      <c r="Z19" s="164">
        <v>2</v>
      </c>
      <c r="AA19" s="161">
        <v>1</v>
      </c>
      <c r="AB19" s="20">
        <f t="shared" si="13"/>
        <v>348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9" s="144">
        <v>10</v>
      </c>
      <c r="AG19" s="20">
        <f t="shared" ca="1" si="14"/>
        <v>2</v>
      </c>
      <c r="AH19" s="174">
        <v>100</v>
      </c>
      <c r="AI19" s="144">
        <v>0</v>
      </c>
      <c r="AJ19" s="144">
        <v>0</v>
      </c>
      <c r="AK19" s="144">
        <v>0</v>
      </c>
      <c r="AL19" s="144">
        <v>0</v>
      </c>
      <c r="AM19" s="144">
        <v>1</v>
      </c>
      <c r="AN19" s="65">
        <v>1</v>
      </c>
    </row>
    <row r="20" spans="1:40" ht="21" customHeight="1" x14ac:dyDescent="0.15">
      <c r="A20" s="15" t="str">
        <f t="shared" si="10"/>
        <v>15028_2-1/350&lt;lv62&gt;s1</v>
      </c>
      <c r="B20" s="107">
        <v>15028</v>
      </c>
      <c r="C20" s="114">
        <v>2</v>
      </c>
      <c r="D20" s="2" t="str">
        <f t="shared" si="11"/>
        <v>15028_2</v>
      </c>
      <c r="E20" s="4" t="str">
        <f ca="1">VLOOKUP($B20,OFFSET([2]quests!$A$1,0,0,COUNTA([2]quests!$A:$A),MATCH(E$1,[2]quests!$1:$1,0)-MATCH($B$1,[2]quests!$1:$1,0)+1),MATCH(E$1,[2]quests!$1:$1,0)-MATCH($B$1,[2]quests!$1:$1,0)+1,FALSE)</f>
        <v>28. 暴風と灼熱の罪浄</v>
      </c>
      <c r="F20" s="4" t="str">
        <f ca="1">VLOOKUP($D20,OFFSET([2]stages!$A$1,0,0,COUNTA([2]stages!$A:$A),MATCH(F$1,[2]stages!$2:$2,0)-MATCH($D$1,[2]stages!$2:$2,0)+1),MATCH(F$1,[2]stages!$2:$2,0)-MATCH($D$1,[2]stages!$2:$2,0)+1,FALSE)</f>
        <v>28-2. 空の寝殿</v>
      </c>
      <c r="G20" s="108">
        <v>1</v>
      </c>
      <c r="H20" s="14" t="str">
        <f t="shared" si="12"/>
        <v>15028_2-1</v>
      </c>
      <c r="I20" s="4">
        <f ca="1">VLOOKUP($H20,OFFSET(floors!$A$1,0,0,COUNTA(floors!$A:$A),MATCH(I$1,floors!$1:$1,0)-MATCH($H$1,floors!$1:$1,0)+1),MATCH(I$1,floors!$1:$1,0)-MATCH($H$1,floors!$1:$1,0)+1,FALSE)</f>
        <v>50</v>
      </c>
      <c r="J20" s="4">
        <f ca="1">VLOOKUP($H20,OFFSET(floors!$A$1,0,0,COUNTA(floors!$A:$A),MATCH(J$1,floors!$1:$1,0)-MATCH($H$1,floors!$1:$1,0)+1),MATCH(J$1,floors!$1:$1,0)-MATCH($H$1,floors!$1:$1,0)+1,FALSE)</f>
        <v>50</v>
      </c>
      <c r="K20" s="34" t="s">
        <v>53</v>
      </c>
      <c r="L20" s="126">
        <v>350</v>
      </c>
      <c r="M20" s="16" t="str">
        <f ca="1">VLOOKUP($L20,OFFSET([3]enemies!$A$1,0,0,COUNTA([3]enemies!$A:$A),MATCH(M$1,[3]enemies!$1:$1,0)-MATCH($L$1,[3]enemies!$1:$1,0)+1),MATCH(M$1,[3]enemies!$1:$1,0)-MATCH($L$1,[3]enemies!$1:$1,0)+1,FALSE)</f>
        <v>森のケロケロ</v>
      </c>
      <c r="N20" s="16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6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16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6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62</v>
      </c>
      <c r="S20" s="162">
        <v>1.7</v>
      </c>
      <c r="T20" s="162">
        <v>1.8</v>
      </c>
      <c r="U20" s="5">
        <v>0</v>
      </c>
      <c r="V20" s="4" t="e">
        <f ca="1">VLOOKUP($W20,OFFSET(enemy_skill_sets!$B$1,0,0,COUNTA(enemy_skill_sets!$B:$B),MATCH(M$1,enemy_skill_sets!$1:$1,0)-MATCH($W$1,enemy_skill_sets!$1:$1,0)+2),MATCH(M$1,enemy_skill_sets!$1:$1,0)-MATCH($W$1,enemy_skill_sets!$1:$1,0)+2,FALSE)</f>
        <v>#N/A</v>
      </c>
      <c r="W20" s="4">
        <f ca="1">VLOOKUP($L20,OFFSET([3]enemies!$A$1,0,0,COUNTA([3]enemies!$A:$A),MATCH(W$1,[3]enemies!$1:$1,0)-MATCH($L$1,[3]enemies!$1:$1,0)+1),MATCH(W$1,[3]enemies!$1:$1,0)-MATCH($L$1,[3]enemies!$1:$1,0)+1,FALSE)</f>
        <v>0</v>
      </c>
      <c r="X20" s="164">
        <v>0</v>
      </c>
      <c r="Y20" s="164">
        <v>5</v>
      </c>
      <c r="Z20" s="164">
        <v>2</v>
      </c>
      <c r="AA20" s="161">
        <v>1</v>
      </c>
      <c r="AB20" s="20">
        <f t="shared" si="13"/>
        <v>350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0" s="144">
        <v>10</v>
      </c>
      <c r="AG20" s="20">
        <f t="shared" ca="1" si="14"/>
        <v>2</v>
      </c>
      <c r="AH20" s="174">
        <v>100</v>
      </c>
      <c r="AI20" s="144">
        <v>0</v>
      </c>
      <c r="AJ20" s="144">
        <v>0</v>
      </c>
      <c r="AK20" s="144">
        <v>0</v>
      </c>
      <c r="AL20" s="144">
        <v>0</v>
      </c>
      <c r="AM20" s="144">
        <v>1</v>
      </c>
      <c r="AN20" s="65">
        <v>1</v>
      </c>
    </row>
    <row r="21" spans="1:40" ht="21" customHeight="1" x14ac:dyDescent="0.15">
      <c r="A21" s="15" t="str">
        <f t="shared" si="10"/>
        <v>15028_2-2/44&lt;lv60&gt;s3</v>
      </c>
      <c r="B21" s="107">
        <v>15028</v>
      </c>
      <c r="C21" s="115">
        <v>2</v>
      </c>
      <c r="D21" s="2" t="str">
        <f t="shared" si="11"/>
        <v>15028_2</v>
      </c>
      <c r="E21" s="4" t="str">
        <f ca="1">VLOOKUP($B21,OFFSET([2]quests!$A$1,0,0,COUNTA([2]quests!$A:$A),MATCH(E$1,[2]quests!$1:$1,0)-MATCH($B$1,[2]quests!$1:$1,0)+1),MATCH(E$1,[2]quests!$1:$1,0)-MATCH($B$1,[2]quests!$1:$1,0)+1,FALSE)</f>
        <v>28. 暴風と灼熱の罪浄</v>
      </c>
      <c r="F21" s="4" t="str">
        <f ca="1">VLOOKUP($D21,OFFSET([2]stages!$A$1,0,0,COUNTA([2]stages!$A:$A),MATCH(F$1,[2]stages!$2:$2,0)-MATCH($D$1,[2]stages!$2:$2,0)+1),MATCH(F$1,[2]stages!$2:$2,0)-MATCH($D$1,[2]stages!$2:$2,0)+1,FALSE)</f>
        <v>28-2. 空の寝殿</v>
      </c>
      <c r="G21" s="115">
        <v>2</v>
      </c>
      <c r="H21" s="14" t="str">
        <f t="shared" si="12"/>
        <v>15028_2-2</v>
      </c>
      <c r="I21" s="4">
        <f ca="1">VLOOKUP($H21,OFFSET(floors!$A$1,0,0,COUNTA(floors!$A:$A),MATCH(I$1,floors!$1:$1,0)-MATCH($H$1,floors!$1:$1,0)+1),MATCH(I$1,floors!$1:$1,0)-MATCH($H$1,floors!$1:$1,0)+1,FALSE)</f>
        <v>50</v>
      </c>
      <c r="J21" s="4">
        <f ca="1">VLOOKUP($H21,OFFSET(floors!$A$1,0,0,COUNTA(floors!$A:$A),MATCH(J$1,floors!$1:$1,0)-MATCH($H$1,floors!$1:$1,0)+1),MATCH(J$1,floors!$1:$1,0)-MATCH($H$1,floors!$1:$1,0)+1,FALSE)</f>
        <v>50</v>
      </c>
      <c r="K21" s="103" t="s">
        <v>53</v>
      </c>
      <c r="L21" s="130">
        <v>44</v>
      </c>
      <c r="M21" s="16" t="str">
        <f ca="1">VLOOKUP($L21,OFFSET([3]enemies!$A$1,0,0,COUNTA([3]enemies!$A:$A),MATCH(M$1,[3]enemies!$1:$1,0)-MATCH($L$1,[3]enemies!$1:$1,0)+1),MATCH(M$1,[3]enemies!$1:$1,0)-MATCH($L$1,[3]enemies!$1:$1,0)+1,FALSE)</f>
        <v>遠い星からやってきたムゥ</v>
      </c>
      <c r="N21" s="16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6" t="str">
        <f ca="1">VLOOKUP($L21,OFFSET([4]characters!$A$1,0,0,COUNTA([4]characters!$A:$A),MATCH(O$1,[4]characters!$1:$1,0)-MATCH($L$1,[4]characters!$1:$1,0)+1),MATCH(O$1,[4]characters!$1:$1,0)-MATCH($L$1,[4]characters!$1:$1,0)+1,FALSE)</f>
        <v>Drop1N</v>
      </c>
      <c r="P21" s="16" t="str">
        <f ca="1">VLOOKUP($L21,OFFSET([3]enemies!$A$1,0,0,COUNTA([3]enemies!$A:$A),MATCH(P$1,[3]enemies!$1:$1,0)-MATCH($L$1,[3]enemies!$1:$1,0)+1),MATCH(P$1,[3]enemies!$1:$1,0)-MATCH($L$1,[3]enemies!$1:$1,0)+1,FALSE)</f>
        <v>dragon</v>
      </c>
      <c r="Q21" s="16">
        <f ca="1">VLOOKUP($L21,OFFSET([3]enemies!$A$1,0,0,COUNTA([3]enemies!$A:$A),MATCH(Q$1,[3]enemies!$1:$1,0)-MATCH($L$1,[3]enemies!$1:$1,0)+1),MATCH(Q$1,[3]enemies!$1:$1,0)-MATCH($L$1,[3]enemies!$1:$1,0)+1,FALSE)</f>
        <v>20</v>
      </c>
      <c r="R21" s="5">
        <v>60</v>
      </c>
      <c r="S21" s="163">
        <v>2</v>
      </c>
      <c r="T21" s="163">
        <v>1.3</v>
      </c>
      <c r="U21" s="137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3ターンスキルが使えない！</v>
      </c>
      <c r="W21" s="160">
        <v>15028013</v>
      </c>
      <c r="X21" s="172">
        <v>1</v>
      </c>
      <c r="Y21" s="172">
        <v>100</v>
      </c>
      <c r="Z21" s="172">
        <v>0</v>
      </c>
      <c r="AA21" s="161">
        <v>3</v>
      </c>
      <c r="AB21" s="20">
        <f t="shared" si="13"/>
        <v>44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遠い星からやってきたムゥ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3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Drop1N</v>
      </c>
      <c r="AF21" s="147">
        <v>1</v>
      </c>
      <c r="AG21" s="20">
        <f t="shared" ca="1" si="14"/>
        <v>3</v>
      </c>
      <c r="AH21" s="154">
        <v>0</v>
      </c>
      <c r="AI21" s="147">
        <v>0</v>
      </c>
      <c r="AJ21" s="147">
        <v>0</v>
      </c>
      <c r="AK21" s="147">
        <v>0</v>
      </c>
      <c r="AL21" s="147">
        <v>0</v>
      </c>
      <c r="AM21" s="147">
        <v>1</v>
      </c>
      <c r="AN21" s="155">
        <v>1</v>
      </c>
    </row>
    <row r="22" spans="1:40" ht="21" customHeight="1" x14ac:dyDescent="0.15">
      <c r="A22" s="15" t="str">
        <f t="shared" ca="1" si="10"/>
        <v>15028_2-2/372&lt;lv60&gt;s3</v>
      </c>
      <c r="B22" s="107">
        <v>15028</v>
      </c>
      <c r="C22" s="115">
        <v>2</v>
      </c>
      <c r="D22" s="2" t="str">
        <f t="shared" si="11"/>
        <v>15028_2</v>
      </c>
      <c r="E22" s="4" t="str">
        <f ca="1">VLOOKUP($B22,OFFSET([2]quests!$A$1,0,0,COUNTA([2]quests!$A:$A),MATCH(E$1,[2]quests!$1:$1,0)-MATCH($B$1,[2]quests!$1:$1,0)+1),MATCH(E$1,[2]quests!$1:$1,0)-MATCH($B$1,[2]quests!$1:$1,0)+1,FALSE)</f>
        <v>28. 暴風と灼熱の罪浄</v>
      </c>
      <c r="F22" s="4" t="str">
        <f ca="1">VLOOKUP($D22,OFFSET([2]stages!$A$1,0,0,COUNTA([2]stages!$A:$A),MATCH(F$1,[2]stages!$2:$2,0)-MATCH($D$1,[2]stages!$2:$2,0)+1),MATCH(F$1,[2]stages!$2:$2,0)-MATCH($D$1,[2]stages!$2:$2,0)+1,FALSE)</f>
        <v>28-2. 空の寝殿</v>
      </c>
      <c r="G22" s="115">
        <v>2</v>
      </c>
      <c r="H22" s="14" t="str">
        <f t="shared" si="12"/>
        <v>15028_2-2</v>
      </c>
      <c r="I22" s="4">
        <f ca="1">VLOOKUP($H22,OFFSET(floors!$A$1,0,0,COUNTA(floors!$A:$A),MATCH(I$1,floors!$1:$1,0)-MATCH($H$1,floors!$1:$1,0)+1),MATCH(I$1,floors!$1:$1,0)-MATCH($H$1,floors!$1:$1,0)+1,FALSE)</f>
        <v>50</v>
      </c>
      <c r="J22" s="4">
        <f ca="1">VLOOKUP($H22,OFFSET(floors!$A$1,0,0,COUNTA(floors!$A:$A),MATCH(J$1,floors!$1:$1,0)-MATCH($H$1,floors!$1:$1,0)+1),MATCH(J$1,floors!$1:$1,0)-MATCH($H$1,floors!$1:$1,0)+1,FALSE)</f>
        <v>50</v>
      </c>
      <c r="K22" s="103" t="s">
        <v>53</v>
      </c>
      <c r="L22" s="130">
        <v>372</v>
      </c>
      <c r="M22" s="16" t="str">
        <f ca="1">VLOOKUP($L22,OFFSET([3]enemies!$A$1,0,0,COUNTA([3]enemies!$A:$A),MATCH(M$1,[3]enemies!$1:$1,0)-MATCH($L$1,[3]enemies!$1:$1,0)+1),MATCH(M$1,[3]enemies!$1:$1,0)-MATCH($L$1,[3]enemies!$1:$1,0)+1,FALSE)</f>
        <v>バショー</v>
      </c>
      <c r="N22" s="16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6" t="str">
        <f ca="1">VLOOKUP($L22,OFFSET([4]characters!$A$1,0,0,COUNTA([4]characters!$A:$A),MATCH(O$1,[4]characters!$1:$1,0)-MATCH($L$1,[4]characters!$1:$1,0)+1),MATCH(O$1,[4]characters!$1:$1,0)-MATCH($L$1,[4]characters!$1:$1,0)+1,FALSE)</f>
        <v>Drop1S</v>
      </c>
      <c r="P22" s="16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6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60</v>
      </c>
      <c r="S22" s="162">
        <v>2.5</v>
      </c>
      <c r="T22" s="162">
        <v>1</v>
      </c>
      <c r="U22" s="137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22" s="160">
        <v>15028001</v>
      </c>
      <c r="X22" s="172">
        <v>1</v>
      </c>
      <c r="Y22" s="172">
        <v>100</v>
      </c>
      <c r="Z22" s="172">
        <v>0</v>
      </c>
      <c r="AA22" s="16">
        <f ca="1">VLOOKUP($L22,OFFSET([3]enemies!$A$1,0,0,COUNTA([3]enemies!$A:$A),MATCH(AA$1,[3]enemies!$1:$1,0)-MATCH($L$1,[3]enemies!$1:$1,0)+1),MATCH(AA$1,[3]enemies!$1:$1,0)-MATCH($L$1,[3]enemies!$1:$1,0)+1,FALSE)</f>
        <v>3</v>
      </c>
      <c r="AB22" s="20">
        <f t="shared" si="13"/>
        <v>372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2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2" s="147">
        <v>1</v>
      </c>
      <c r="AG22" s="20">
        <f t="shared" ca="1" si="14"/>
        <v>2</v>
      </c>
      <c r="AH22" s="154">
        <v>0</v>
      </c>
      <c r="AI22" s="147">
        <v>0</v>
      </c>
      <c r="AJ22" s="147">
        <v>0</v>
      </c>
      <c r="AK22" s="147">
        <v>0</v>
      </c>
      <c r="AL22" s="147">
        <v>0</v>
      </c>
      <c r="AM22" s="147">
        <v>1</v>
      </c>
      <c r="AN22" s="155">
        <v>1</v>
      </c>
    </row>
    <row r="23" spans="1:40" ht="21" customHeight="1" x14ac:dyDescent="0.15">
      <c r="A23" s="15" t="str">
        <f t="shared" ref="A23" si="20">B23&amp;"_"&amp;C23&amp;"-"&amp;G23&amp;"/"&amp;L23&amp;"&lt;lv"&amp;R23&amp;"&gt;s"&amp;AA23</f>
        <v>15028_2-2/348&lt;lv60&gt;s1</v>
      </c>
      <c r="B23" s="107">
        <v>15028</v>
      </c>
      <c r="C23" s="115">
        <v>2</v>
      </c>
      <c r="D23" s="2" t="str">
        <f t="shared" ref="D23" si="21">B23&amp;"_"&amp;C23</f>
        <v>15028_2</v>
      </c>
      <c r="E23" s="4" t="str">
        <f ca="1">VLOOKUP($B23,OFFSET([2]quests!$A$1,0,0,COUNTA([2]quests!$A:$A),MATCH(E$1,[2]quests!$1:$1,0)-MATCH($B$1,[2]quests!$1:$1,0)+1),MATCH(E$1,[2]quests!$1:$1,0)-MATCH($B$1,[2]quests!$1:$1,0)+1,FALSE)</f>
        <v>28. 暴風と灼熱の罪浄</v>
      </c>
      <c r="F23" s="4" t="str">
        <f ca="1">VLOOKUP($D23,OFFSET([2]stages!$A$1,0,0,COUNTA([2]stages!$A:$A),MATCH(F$1,[2]stages!$2:$2,0)-MATCH($D$1,[2]stages!$2:$2,0)+1),MATCH(F$1,[2]stages!$2:$2,0)-MATCH($D$1,[2]stages!$2:$2,0)+1,FALSE)</f>
        <v>28-2. 空の寝殿</v>
      </c>
      <c r="G23" s="115">
        <v>2</v>
      </c>
      <c r="H23" s="14" t="str">
        <f t="shared" ref="H23" si="22">B23&amp;"_"&amp;C23&amp;"-"&amp;G23</f>
        <v>15028_2-2</v>
      </c>
      <c r="I23" s="4">
        <f ca="1">VLOOKUP($H23,OFFSET(floors!$A$1,0,0,COUNTA(floors!$A:$A),MATCH(I$1,floors!$1:$1,0)-MATCH($H$1,floors!$1:$1,0)+1),MATCH(I$1,floors!$1:$1,0)-MATCH($H$1,floors!$1:$1,0)+1,FALSE)</f>
        <v>50</v>
      </c>
      <c r="J23" s="4">
        <f ca="1">VLOOKUP($H23,OFFSET(floors!$A$1,0,0,COUNTA(floors!$A:$A),MATCH(J$1,floors!$1:$1,0)-MATCH($H$1,floors!$1:$1,0)+1),MATCH(J$1,floors!$1:$1,0)-MATCH($H$1,floors!$1:$1,0)+1,FALSE)</f>
        <v>50</v>
      </c>
      <c r="K23" s="103" t="s">
        <v>53</v>
      </c>
      <c r="L23" s="130">
        <v>348</v>
      </c>
      <c r="M23" s="16" t="str">
        <f ca="1">VLOOKUP($L23,OFFSET([3]enemies!$A$1,0,0,COUNTA([3]enemies!$A:$A),MATCH(M$1,[3]enemies!$1:$1,0)-MATCH($L$1,[3]enemies!$1:$1,0)+1),MATCH(M$1,[3]enemies!$1:$1,0)-MATCH($L$1,[3]enemies!$1:$1,0)+1,FALSE)</f>
        <v>炎のケロケロ</v>
      </c>
      <c r="N23" s="16" t="str">
        <f ca="1">VLOOKUP($L23,OFFSET([3]enemies!$A$1,0,0,COUNTA([3]enemies!$A:$A),MATCH(N$1,[3]enemies!$1:$1,0)-MATCH($L$1,[3]enemies!$1:$1,0)+1),MATCH(N$1,[3]enemies!$1:$1,0)-MATCH($L$1,[3]enemies!$1:$1,0)+1,FALSE)</f>
        <v>red</v>
      </c>
      <c r="O23" s="16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16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6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60</v>
      </c>
      <c r="S23" s="162">
        <v>1.7</v>
      </c>
      <c r="T23" s="162">
        <v>1.8</v>
      </c>
      <c r="U23" s="137">
        <v>0</v>
      </c>
      <c r="V23" s="4" t="e">
        <f ca="1">VLOOKUP($W23,OFFSET(enemy_skill_sets!$B$1,0,0,COUNTA(enemy_skill_sets!$B:$B),MATCH(M$1,enemy_skill_sets!$1:$1,0)-MATCH($W$1,enemy_skill_sets!$1:$1,0)+2),MATCH(M$1,enemy_skill_sets!$1:$1,0)-MATCH($W$1,enemy_skill_sets!$1:$1,0)+2,FALSE)</f>
        <v>#N/A</v>
      </c>
      <c r="W23" s="4">
        <f ca="1">VLOOKUP($L23,OFFSET([3]enemies!$A$1,0,0,COUNTA([3]enemies!$A:$A),MATCH(W$1,[3]enemies!$1:$1,0)-MATCH($L$1,[3]enemies!$1:$1,0)+1),MATCH(W$1,[3]enemies!$1:$1,0)-MATCH($L$1,[3]enemies!$1:$1,0)+1,FALSE)</f>
        <v>0</v>
      </c>
      <c r="X23" s="172">
        <v>1</v>
      </c>
      <c r="Y23" s="172">
        <v>100</v>
      </c>
      <c r="Z23" s="172">
        <v>1</v>
      </c>
      <c r="AA23" s="161">
        <v>1</v>
      </c>
      <c r="AB23" s="20">
        <f t="shared" ref="AB23" si="23">L23</f>
        <v>348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3" s="144">
        <v>10</v>
      </c>
      <c r="AG23" s="20">
        <f t="shared" ref="AG23" ca="1" si="24">AD23</f>
        <v>2</v>
      </c>
      <c r="AH23" s="175">
        <v>100</v>
      </c>
      <c r="AI23" s="147">
        <v>0</v>
      </c>
      <c r="AJ23" s="147">
        <v>0</v>
      </c>
      <c r="AK23" s="147">
        <v>0</v>
      </c>
      <c r="AL23" s="147">
        <v>0</v>
      </c>
      <c r="AM23" s="147">
        <v>1</v>
      </c>
      <c r="AN23" s="155">
        <v>1</v>
      </c>
    </row>
    <row r="24" spans="1:40" ht="21" customHeight="1" x14ac:dyDescent="0.15">
      <c r="A24" s="15" t="str">
        <f t="shared" ref="A24" si="25">B24&amp;"_"&amp;C24&amp;"-"&amp;G24&amp;"/"&amp;L24&amp;"&lt;lv"&amp;R24&amp;"&gt;s"&amp;AA24</f>
        <v>15028_2-3/28&lt;lv60&gt;s3</v>
      </c>
      <c r="B24" s="107">
        <v>15028</v>
      </c>
      <c r="C24" s="115">
        <v>2</v>
      </c>
      <c r="D24" s="2" t="str">
        <f t="shared" ref="D24" si="26">B24&amp;"_"&amp;C24</f>
        <v>15028_2</v>
      </c>
      <c r="E24" s="4" t="str">
        <f ca="1">VLOOKUP($B24,OFFSET([2]quests!$A$1,0,0,COUNTA([2]quests!$A:$A),MATCH(E$1,[2]quests!$1:$1,0)-MATCH($B$1,[2]quests!$1:$1,0)+1),MATCH(E$1,[2]quests!$1:$1,0)-MATCH($B$1,[2]quests!$1:$1,0)+1,FALSE)</f>
        <v>28. 暴風と灼熱の罪浄</v>
      </c>
      <c r="F24" s="4" t="str">
        <f ca="1">VLOOKUP($D24,OFFSET([2]stages!$A$1,0,0,COUNTA([2]stages!$A:$A),MATCH(F$1,[2]stages!$2:$2,0)-MATCH($D$1,[2]stages!$2:$2,0)+1),MATCH(F$1,[2]stages!$2:$2,0)-MATCH($D$1,[2]stages!$2:$2,0)+1,FALSE)</f>
        <v>28-2. 空の寝殿</v>
      </c>
      <c r="G24" s="119">
        <v>3</v>
      </c>
      <c r="H24" s="14" t="str">
        <f t="shared" ref="H24" si="27">B24&amp;"_"&amp;C24&amp;"-"&amp;G24</f>
        <v>15028_2-3</v>
      </c>
      <c r="I24" s="4">
        <f ca="1">VLOOKUP($H24,OFFSET(floors!$A$1,0,0,COUNTA(floors!$A:$A),MATCH(I$1,floors!$1:$1,0)-MATCH($H$1,floors!$1:$1,0)+1),MATCH(I$1,floors!$1:$1,0)-MATCH($H$1,floors!$1:$1,0)+1,FALSE)</f>
        <v>49</v>
      </c>
      <c r="J24" s="4">
        <f ca="1">VLOOKUP($H24,OFFSET(floors!$A$1,0,0,COUNTA(floors!$A:$A),MATCH(J$1,floors!$1:$1,0)-MATCH($H$1,floors!$1:$1,0)+1),MATCH(J$1,floors!$1:$1,0)-MATCH($H$1,floors!$1:$1,0)+1,FALSE)</f>
        <v>50</v>
      </c>
      <c r="K24" s="103" t="s">
        <v>53</v>
      </c>
      <c r="L24" s="130">
        <v>28</v>
      </c>
      <c r="M24" s="16" t="str">
        <f ca="1">VLOOKUP($L24,OFFSET([3]enemies!$A$1,0,0,COUNTA([3]enemies!$A:$A),MATCH(M$1,[3]enemies!$1:$1,0)-MATCH($L$1,[3]enemies!$1:$1,0)+1),MATCH(M$1,[3]enemies!$1:$1,0)-MATCH($L$1,[3]enemies!$1:$1,0)+1,FALSE)</f>
        <v>現場急行 パトラインカスタム</v>
      </c>
      <c r="N24" s="16" t="str">
        <f ca="1">VLOOKUP($L24,OFFSET([3]enemies!$A$1,0,0,COUNTA([3]enemies!$A:$A),MATCH(N$1,[3]enemies!$1:$1,0)-MATCH($L$1,[3]enemies!$1:$1,0)+1),MATCH(N$1,[3]enemies!$1:$1,0)-MATCH($L$1,[3]enemies!$1:$1,0)+1,FALSE)</f>
        <v>green</v>
      </c>
      <c r="O24" s="16" t="str">
        <f ca="1">VLOOKUP($L24,OFFSET([4]characters!$A$1,0,0,COUNTA([4]characters!$A:$A),MATCH(O$1,[4]characters!$1:$1,0)-MATCH($L$1,[4]characters!$1:$1,0)+1),MATCH(O$1,[4]characters!$1:$1,0)-MATCH($L$1,[4]characters!$1:$1,0)+1,FALSE)</f>
        <v>Drop1N</v>
      </c>
      <c r="P24" s="16" t="str">
        <f ca="1">VLOOKUP($L24,OFFSET([3]enemies!$A$1,0,0,COUNTA([3]enemies!$A:$A),MATCH(P$1,[3]enemies!$1:$1,0)-MATCH($L$1,[3]enemies!$1:$1,0)+1),MATCH(P$1,[3]enemies!$1:$1,0)-MATCH($L$1,[3]enemies!$1:$1,0)+1,FALSE)</f>
        <v>machine</v>
      </c>
      <c r="Q24" s="16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60</v>
      </c>
      <c r="S24" s="163">
        <v>1.5</v>
      </c>
      <c r="T24" s="163">
        <v>2</v>
      </c>
      <c r="U24" s="137">
        <v>0</v>
      </c>
      <c r="V24" s="4" t="str">
        <f ca="1">VLOOKUP($W24,OFFSET(enemy_skill_sets!$B$1,0,0,COUNTA(enemy_skill_sets!$B:$B),MATCH(M$1,enemy_skill_sets!$1:$1,0)-MATCH($W$1,enemy_skill_sets!$1:$1,0)+2),MATCH(M$1,enemy_skill_sets!$1:$1,0)-MATCH($W$1,enemy_skill_sets!$1:$1,0)+2,FALSE)</f>
        <v>敵全体の行動頻度がUP</v>
      </c>
      <c r="W24" s="160">
        <v>15028014</v>
      </c>
      <c r="X24" s="172">
        <v>1</v>
      </c>
      <c r="Y24" s="172">
        <v>100</v>
      </c>
      <c r="Z24" s="172">
        <v>0</v>
      </c>
      <c r="AA24" s="161">
        <v>3</v>
      </c>
      <c r="AB24" s="20">
        <f t="shared" ref="AB24" si="28">L24</f>
        <v>28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Drop1N</v>
      </c>
      <c r="AF24" s="147">
        <v>1</v>
      </c>
      <c r="AG24" s="20">
        <f t="shared" ref="AG24" ca="1" si="29">AD24</f>
        <v>2</v>
      </c>
      <c r="AH24" s="175">
        <v>20</v>
      </c>
      <c r="AI24" s="147">
        <v>0</v>
      </c>
      <c r="AJ24" s="147">
        <v>0</v>
      </c>
      <c r="AK24" s="147">
        <v>0</v>
      </c>
      <c r="AL24" s="147">
        <v>0</v>
      </c>
      <c r="AM24" s="147">
        <v>1</v>
      </c>
      <c r="AN24" s="155">
        <v>1</v>
      </c>
    </row>
    <row r="25" spans="1:40" ht="21" customHeight="1" x14ac:dyDescent="0.15">
      <c r="A25" s="15" t="str">
        <f t="shared" ref="A25:A27" si="30">B25&amp;"_"&amp;C25&amp;"-"&amp;G25&amp;"/"&amp;L25&amp;"&lt;lv"&amp;R25&amp;"&gt;s"&amp;AA25</f>
        <v>15028_2-3/36&lt;lv60&gt;s7</v>
      </c>
      <c r="B25" s="107">
        <v>15028</v>
      </c>
      <c r="C25" s="115">
        <v>2</v>
      </c>
      <c r="D25" s="2" t="str">
        <f t="shared" ref="D25:D27" si="31">B25&amp;"_"&amp;C25</f>
        <v>15028_2</v>
      </c>
      <c r="E25" s="4" t="str">
        <f ca="1">VLOOKUP($B25,OFFSET([2]quests!$A$1,0,0,COUNTA([2]quests!$A:$A),MATCH(E$1,[2]quests!$1:$1,0)-MATCH($B$1,[2]quests!$1:$1,0)+1),MATCH(E$1,[2]quests!$1:$1,0)-MATCH($B$1,[2]quests!$1:$1,0)+1,FALSE)</f>
        <v>28. 暴風と灼熱の罪浄</v>
      </c>
      <c r="F25" s="4" t="str">
        <f ca="1">VLOOKUP($D25,OFFSET([2]stages!$A$1,0,0,COUNTA([2]stages!$A:$A),MATCH(F$1,[2]stages!$2:$2,0)-MATCH($D$1,[2]stages!$2:$2,0)+1),MATCH(F$1,[2]stages!$2:$2,0)-MATCH($D$1,[2]stages!$2:$2,0)+1,FALSE)</f>
        <v>28-2. 空の寝殿</v>
      </c>
      <c r="G25" s="119">
        <v>3</v>
      </c>
      <c r="H25" s="14" t="str">
        <f t="shared" ref="H25:H27" si="32">B25&amp;"_"&amp;C25&amp;"-"&amp;G25</f>
        <v>15028_2-3</v>
      </c>
      <c r="I25" s="4">
        <f ca="1">VLOOKUP($H25,OFFSET(floors!$A$1,0,0,COUNTA(floors!$A:$A),MATCH(I$1,floors!$1:$1,0)-MATCH($H$1,floors!$1:$1,0)+1),MATCH(I$1,floors!$1:$1,0)-MATCH($H$1,floors!$1:$1,0)+1,FALSE)</f>
        <v>49</v>
      </c>
      <c r="J25" s="4">
        <f ca="1">VLOOKUP($H25,OFFSET(floors!$A$1,0,0,COUNTA(floors!$A:$A),MATCH(J$1,floors!$1:$1,0)-MATCH($H$1,floors!$1:$1,0)+1),MATCH(J$1,floors!$1:$1,0)-MATCH($H$1,floors!$1:$1,0)+1,FALSE)</f>
        <v>50</v>
      </c>
      <c r="K25" s="103" t="s">
        <v>53</v>
      </c>
      <c r="L25" s="130">
        <v>36</v>
      </c>
      <c r="M25" s="16" t="str">
        <f ca="1">VLOOKUP($L25,OFFSET([3]enemies!$A$1,0,0,COUNTA([3]enemies!$A:$A),MATCH(M$1,[3]enemies!$1:$1,0)-MATCH($L$1,[3]enemies!$1:$1,0)+1),MATCH(M$1,[3]enemies!$1:$1,0)-MATCH($L$1,[3]enemies!$1:$1,0)+1,FALSE)</f>
        <v>オフィス追尾型移動地雷F3</v>
      </c>
      <c r="N25" s="16" t="str">
        <f ca="1">VLOOKUP($L25,OFFSET([3]enemies!$A$1,0,0,COUNTA([3]enemies!$A:$A),MATCH(N$1,[3]enemies!$1:$1,0)-MATCH($L$1,[3]enemies!$1:$1,0)+1),MATCH(N$1,[3]enemies!$1:$1,0)-MATCH($L$1,[3]enemies!$1:$1,0)+1,FALSE)</f>
        <v>green</v>
      </c>
      <c r="O25" s="16" t="str">
        <f ca="1">VLOOKUP($L25,OFFSET([4]characters!$A$1,0,0,COUNTA([4]characters!$A:$A),MATCH(O$1,[4]characters!$1:$1,0)-MATCH($L$1,[4]characters!$1:$1,0)+1),MATCH(O$1,[4]characters!$1:$1,0)-MATCH($L$1,[4]characters!$1:$1,0)+1,FALSE)</f>
        <v>Drop1S</v>
      </c>
      <c r="P25" s="16" t="str">
        <f ca="1">VLOOKUP($L25,OFFSET([3]enemies!$A$1,0,0,COUNTA([3]enemies!$A:$A),MATCH(P$1,[3]enemies!$1:$1,0)-MATCH($L$1,[3]enemies!$1:$1,0)+1),MATCH(P$1,[3]enemies!$1:$1,0)-MATCH($L$1,[3]enemies!$1:$1,0)+1,FALSE)</f>
        <v>machine</v>
      </c>
      <c r="Q25" s="16">
        <f ca="1">VLOOKUP($L25,OFFSET([3]enemies!$A$1,0,0,COUNTA([3]enemies!$A:$A),MATCH(Q$1,[3]enemies!$1:$1,0)-MATCH($L$1,[3]enemies!$1:$1,0)+1),MATCH(Q$1,[3]enemies!$1:$1,0)-MATCH($L$1,[3]enemies!$1:$1,0)+1,FALSE)</f>
        <v>20</v>
      </c>
      <c r="R25" s="5">
        <v>60</v>
      </c>
      <c r="S25" s="163">
        <v>3.7</v>
      </c>
      <c r="T25" s="163">
        <v>1.5</v>
      </c>
      <c r="U25" s="137">
        <v>0</v>
      </c>
      <c r="V25" s="4" t="str">
        <f ca="1">VLOOKUP($W25,OFFSET(enemy_skill_sets!$B$1,0,0,COUNTA(enemy_skill_sets!$B:$B),MATCH(M$1,enemy_skill_sets!$1:$1,0)-MATCH($W$1,enemy_skill_sets!$1:$1,0)+2),MATCH(M$1,enemy_skill_sets!$1:$1,0)-MATCH($W$1,enemy_skill_sets!$1:$1,0)+2,FALSE)</f>
        <v>地雷を持って突進してきている！</v>
      </c>
      <c r="W25" s="160">
        <v>15028015</v>
      </c>
      <c r="X25" s="172">
        <v>1</v>
      </c>
      <c r="Y25" s="172">
        <v>100</v>
      </c>
      <c r="Z25" s="172">
        <v>0</v>
      </c>
      <c r="AA25" s="161">
        <v>7</v>
      </c>
      <c r="AB25" s="20">
        <f t="shared" ref="AB25:AB27" si="33">L25</f>
        <v>36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3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Drop1S</v>
      </c>
      <c r="AF25" s="147">
        <v>1</v>
      </c>
      <c r="AG25" s="20">
        <f t="shared" ref="AG25:AG27" ca="1" si="34">AD25</f>
        <v>3</v>
      </c>
      <c r="AH25" s="175">
        <v>20</v>
      </c>
      <c r="AI25" s="147">
        <v>0</v>
      </c>
      <c r="AJ25" s="147">
        <v>0</v>
      </c>
      <c r="AK25" s="147">
        <v>0</v>
      </c>
      <c r="AL25" s="147">
        <v>0</v>
      </c>
      <c r="AM25" s="147">
        <v>1</v>
      </c>
      <c r="AN25" s="155">
        <v>1</v>
      </c>
    </row>
    <row r="26" spans="1:40" ht="21" customHeight="1" x14ac:dyDescent="0.15">
      <c r="A26" s="15" t="str">
        <f t="shared" si="30"/>
        <v>15028_2-3/348&lt;lv58&gt;s1</v>
      </c>
      <c r="B26" s="107">
        <v>15028</v>
      </c>
      <c r="C26" s="114">
        <v>2</v>
      </c>
      <c r="D26" s="2" t="str">
        <f t="shared" si="31"/>
        <v>15028_2</v>
      </c>
      <c r="E26" s="4" t="str">
        <f ca="1">VLOOKUP($B26,OFFSET([2]quests!$A$1,0,0,COUNTA([2]quests!$A:$A),MATCH(E$1,[2]quests!$1:$1,0)-MATCH($B$1,[2]quests!$1:$1,0)+1),MATCH(E$1,[2]quests!$1:$1,0)-MATCH($B$1,[2]quests!$1:$1,0)+1,FALSE)</f>
        <v>28. 暴風と灼熱の罪浄</v>
      </c>
      <c r="F26" s="4" t="str">
        <f ca="1">VLOOKUP($D26,OFFSET([2]stages!$A$1,0,0,COUNTA([2]stages!$A:$A),MATCH(F$1,[2]stages!$2:$2,0)-MATCH($D$1,[2]stages!$2:$2,0)+1),MATCH(F$1,[2]stages!$2:$2,0)-MATCH($D$1,[2]stages!$2:$2,0)+1,FALSE)</f>
        <v>28-2. 空の寝殿</v>
      </c>
      <c r="G26" s="119">
        <v>3</v>
      </c>
      <c r="H26" s="14" t="str">
        <f t="shared" si="32"/>
        <v>15028_2-3</v>
      </c>
      <c r="I26" s="4">
        <f ca="1">VLOOKUP($H26,OFFSET(floors!$A$1,0,0,COUNTA(floors!$A:$A),MATCH(I$1,floors!$1:$1,0)-MATCH($H$1,floors!$1:$1,0)+1),MATCH(I$1,floors!$1:$1,0)-MATCH($H$1,floors!$1:$1,0)+1,FALSE)</f>
        <v>49</v>
      </c>
      <c r="J26" s="4">
        <f ca="1">VLOOKUP($H26,OFFSET(floors!$A$1,0,0,COUNTA(floors!$A:$A),MATCH(J$1,floors!$1:$1,0)-MATCH($H$1,floors!$1:$1,0)+1),MATCH(J$1,floors!$1:$1,0)-MATCH($H$1,floors!$1:$1,0)+1,FALSE)</f>
        <v>50</v>
      </c>
      <c r="K26" s="34" t="s">
        <v>53</v>
      </c>
      <c r="L26" s="126">
        <v>348</v>
      </c>
      <c r="M26" s="16" t="str">
        <f ca="1">VLOOKUP($L26,OFFSET([3]enemies!$A$1,0,0,COUNTA([3]enemies!$A:$A),MATCH(M$1,[3]enemies!$1:$1,0)-MATCH($L$1,[3]enemies!$1:$1,0)+1),MATCH(M$1,[3]enemies!$1:$1,0)-MATCH($L$1,[3]enemies!$1:$1,0)+1,FALSE)</f>
        <v>炎のケロケロ</v>
      </c>
      <c r="N26" s="16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16" t="str">
        <f ca="1">VLOOKUP($L26,OFFSET([4]characters!$A$1,0,0,COUNTA([4]characters!$A:$A),MATCH(O$1,[4]characters!$1:$1,0)-MATCH($L$1,[4]characters!$1:$1,0)+1),MATCH(O$1,[4]characters!$1:$1,0)-MATCH($L$1,[4]characters!$1:$1,0)+1,FALSE)</f>
        <v>Material</v>
      </c>
      <c r="P26" s="16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16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58</v>
      </c>
      <c r="S26" s="162">
        <v>1.7</v>
      </c>
      <c r="T26" s="162">
        <v>1.8</v>
      </c>
      <c r="U26" s="5">
        <v>0</v>
      </c>
      <c r="V26" s="4" t="e">
        <f ca="1">VLOOKUP($W26,OFFSET(enemy_skill_sets!$B$1,0,0,COUNTA(enemy_skill_sets!$B:$B),MATCH(M$1,enemy_skill_sets!$1:$1,0)-MATCH($W$1,enemy_skill_sets!$1:$1,0)+2),MATCH(M$1,enemy_skill_sets!$1:$1,0)-MATCH($W$1,enemy_skill_sets!$1:$1,0)+2,FALSE)</f>
        <v>#N/A</v>
      </c>
      <c r="W26" s="4">
        <f ca="1">VLOOKUP($L26,OFFSET([3]enemies!$A$1,0,0,COUNTA([3]enemies!$A:$A),MATCH(W$1,[3]enemies!$1:$1,0)-MATCH($L$1,[3]enemies!$1:$1,0)+1),MATCH(W$1,[3]enemies!$1:$1,0)-MATCH($L$1,[3]enemies!$1:$1,0)+1,FALSE)</f>
        <v>0</v>
      </c>
      <c r="X26" s="164">
        <v>0</v>
      </c>
      <c r="Y26" s="164">
        <v>10</v>
      </c>
      <c r="Z26" s="164">
        <v>1</v>
      </c>
      <c r="AA26" s="161">
        <v>1</v>
      </c>
      <c r="AB26" s="20">
        <f t="shared" si="33"/>
        <v>348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2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6" s="144">
        <v>10</v>
      </c>
      <c r="AG26" s="20">
        <f t="shared" ca="1" si="34"/>
        <v>2</v>
      </c>
      <c r="AH26" s="174">
        <v>100</v>
      </c>
      <c r="AI26" s="144">
        <v>0</v>
      </c>
      <c r="AJ26" s="144">
        <v>0</v>
      </c>
      <c r="AK26" s="144">
        <v>0</v>
      </c>
      <c r="AL26" s="144">
        <v>0</v>
      </c>
      <c r="AM26" s="144">
        <v>1</v>
      </c>
      <c r="AN26" s="65">
        <v>1</v>
      </c>
    </row>
    <row r="27" spans="1:40" ht="21" customHeight="1" x14ac:dyDescent="0.15">
      <c r="A27" s="15" t="str">
        <f t="shared" si="30"/>
        <v>15028_2-3/350&lt;lv62&gt;s1</v>
      </c>
      <c r="B27" s="107">
        <v>15028</v>
      </c>
      <c r="C27" s="114">
        <v>2</v>
      </c>
      <c r="D27" s="2" t="str">
        <f t="shared" si="31"/>
        <v>15028_2</v>
      </c>
      <c r="E27" s="4" t="str">
        <f ca="1">VLOOKUP($B27,OFFSET([2]quests!$A$1,0,0,COUNTA([2]quests!$A:$A),MATCH(E$1,[2]quests!$1:$1,0)-MATCH($B$1,[2]quests!$1:$1,0)+1),MATCH(E$1,[2]quests!$1:$1,0)-MATCH($B$1,[2]quests!$1:$1,0)+1,FALSE)</f>
        <v>28. 暴風と灼熱の罪浄</v>
      </c>
      <c r="F27" s="4" t="str">
        <f ca="1">VLOOKUP($D27,OFFSET([2]stages!$A$1,0,0,COUNTA([2]stages!$A:$A),MATCH(F$1,[2]stages!$2:$2,0)-MATCH($D$1,[2]stages!$2:$2,0)+1),MATCH(F$1,[2]stages!$2:$2,0)-MATCH($D$1,[2]stages!$2:$2,0)+1,FALSE)</f>
        <v>28-2. 空の寝殿</v>
      </c>
      <c r="G27" s="119">
        <v>3</v>
      </c>
      <c r="H27" s="14" t="str">
        <f t="shared" si="32"/>
        <v>15028_2-3</v>
      </c>
      <c r="I27" s="4">
        <f ca="1">VLOOKUP($H27,OFFSET(floors!$A$1,0,0,COUNTA(floors!$A:$A),MATCH(I$1,floors!$1:$1,0)-MATCH($H$1,floors!$1:$1,0)+1),MATCH(I$1,floors!$1:$1,0)-MATCH($H$1,floors!$1:$1,0)+1,FALSE)</f>
        <v>49</v>
      </c>
      <c r="J27" s="4">
        <f ca="1">VLOOKUP($H27,OFFSET(floors!$A$1,0,0,COUNTA(floors!$A:$A),MATCH(J$1,floors!$1:$1,0)-MATCH($H$1,floors!$1:$1,0)+1),MATCH(J$1,floors!$1:$1,0)-MATCH($H$1,floors!$1:$1,0)+1,FALSE)</f>
        <v>50</v>
      </c>
      <c r="K27" s="34" t="s">
        <v>53</v>
      </c>
      <c r="L27" s="126">
        <v>350</v>
      </c>
      <c r="M27" s="16" t="str">
        <f ca="1">VLOOKUP($L27,OFFSET([3]enemies!$A$1,0,0,COUNTA([3]enemies!$A:$A),MATCH(M$1,[3]enemies!$1:$1,0)-MATCH($L$1,[3]enemies!$1:$1,0)+1),MATCH(M$1,[3]enemies!$1:$1,0)-MATCH($L$1,[3]enemies!$1:$1,0)+1,FALSE)</f>
        <v>森のケロケロ</v>
      </c>
      <c r="N27" s="16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16" t="str">
        <f ca="1">VLOOKUP($L27,OFFSET([4]characters!$A$1,0,0,COUNTA([4]characters!$A:$A),MATCH(O$1,[4]characters!$1:$1,0)-MATCH($L$1,[4]characters!$1:$1,0)+1),MATCH(O$1,[4]characters!$1:$1,0)-MATCH($L$1,[4]characters!$1:$1,0)+1,FALSE)</f>
        <v>Material</v>
      </c>
      <c r="P27" s="16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16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62</v>
      </c>
      <c r="S27" s="162">
        <v>1.7</v>
      </c>
      <c r="T27" s="162">
        <v>1.8</v>
      </c>
      <c r="U27" s="5">
        <v>0</v>
      </c>
      <c r="V27" s="4" t="e">
        <f ca="1">VLOOKUP($W27,OFFSET(enemy_skill_sets!$B$1,0,0,COUNTA(enemy_skill_sets!$B:$B),MATCH(M$1,enemy_skill_sets!$1:$1,0)-MATCH($W$1,enemy_skill_sets!$1:$1,0)+2),MATCH(M$1,enemy_skill_sets!$1:$1,0)-MATCH($W$1,enemy_skill_sets!$1:$1,0)+2,FALSE)</f>
        <v>#N/A</v>
      </c>
      <c r="W27" s="4">
        <f ca="1">VLOOKUP($L27,OFFSET([3]enemies!$A$1,0,0,COUNTA([3]enemies!$A:$A),MATCH(W$1,[3]enemies!$1:$1,0)-MATCH($L$1,[3]enemies!$1:$1,0)+1),MATCH(W$1,[3]enemies!$1:$1,0)-MATCH($L$1,[3]enemies!$1:$1,0)+1,FALSE)</f>
        <v>0</v>
      </c>
      <c r="X27" s="164">
        <v>0</v>
      </c>
      <c r="Y27" s="164">
        <v>10</v>
      </c>
      <c r="Z27" s="164">
        <v>1</v>
      </c>
      <c r="AA27" s="161">
        <v>1</v>
      </c>
      <c r="AB27" s="20">
        <f t="shared" si="33"/>
        <v>350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2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7" s="144">
        <v>10</v>
      </c>
      <c r="AG27" s="20">
        <f t="shared" ca="1" si="34"/>
        <v>2</v>
      </c>
      <c r="AH27" s="174">
        <v>100</v>
      </c>
      <c r="AI27" s="144">
        <v>0</v>
      </c>
      <c r="AJ27" s="144">
        <v>0</v>
      </c>
      <c r="AK27" s="144">
        <v>0</v>
      </c>
      <c r="AL27" s="144">
        <v>0</v>
      </c>
      <c r="AM27" s="144">
        <v>1</v>
      </c>
      <c r="AN27" s="65">
        <v>1</v>
      </c>
    </row>
    <row r="28" spans="1:40" ht="21" customHeight="1" x14ac:dyDescent="0.15">
      <c r="A28" s="15" t="str">
        <f t="shared" si="10"/>
        <v>15028_2-4/254&lt;lv65&gt;s1</v>
      </c>
      <c r="B28" s="107">
        <v>15028</v>
      </c>
      <c r="C28" s="114">
        <v>2</v>
      </c>
      <c r="D28" s="2" t="str">
        <f t="shared" si="11"/>
        <v>15028_2</v>
      </c>
      <c r="E28" s="4" t="str">
        <f ca="1">VLOOKUP($B28,OFFSET([2]quests!$A$1,0,0,COUNTA([2]quests!$A:$A),MATCH(E$1,[2]quests!$1:$1,0)-MATCH($B$1,[2]quests!$1:$1,0)+1),MATCH(E$1,[2]quests!$1:$1,0)-MATCH($B$1,[2]quests!$1:$1,0)+1,FALSE)</f>
        <v>28. 暴風と灼熱の罪浄</v>
      </c>
      <c r="F28" s="4" t="str">
        <f ca="1">VLOOKUP($D28,OFFSET([2]stages!$A$1,0,0,COUNTA([2]stages!$A:$A),MATCH(F$1,[2]stages!$2:$2,0)-MATCH($D$1,[2]stages!$2:$2,0)+1),MATCH(F$1,[2]stages!$2:$2,0)-MATCH($D$1,[2]stages!$2:$2,0)+1,FALSE)</f>
        <v>28-2. 空の寝殿</v>
      </c>
      <c r="G28" s="178">
        <v>4</v>
      </c>
      <c r="H28" s="14" t="str">
        <f t="shared" si="12"/>
        <v>15028_2-4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4">
        <v>1</v>
      </c>
      <c r="L28" s="126">
        <v>254</v>
      </c>
      <c r="M28" s="16" t="str">
        <f ca="1">VLOOKUP($L28,OFFSET([3]enemies!$A$1,0,0,COUNTA([3]enemies!$A:$A),MATCH(M$1,[3]enemies!$1:$1,0)-MATCH($L$1,[3]enemies!$1:$1,0)+1),MATCH(M$1,[3]enemies!$1:$1,0)-MATCH($L$1,[3]enemies!$1:$1,0)+1,FALSE)</f>
        <v>怠惰 ベルフェゴール</v>
      </c>
      <c r="N28" s="16" t="str">
        <f ca="1">VLOOKUP($L28,OFFSET([3]enemies!$A$1,0,0,COUNTA([3]enemies!$A:$A),MATCH(N$1,[3]enemies!$1:$1,0)-MATCH($L$1,[3]enemies!$1:$1,0)+1),MATCH(N$1,[3]enemies!$1:$1,0)-MATCH($L$1,[3]enemies!$1:$1,0)+1,FALSE)</f>
        <v>green</v>
      </c>
      <c r="O28" s="16" t="str">
        <f ca="1">VLOOKUP($L28,OFFSET([4]characters!$A$1,0,0,COUNTA([4]characters!$A:$A),MATCH(O$1,[4]characters!$1:$1,0)-MATCH($L$1,[4]characters!$1:$1,0)+1),MATCH(O$1,[4]characters!$1:$1,0)-MATCH($L$1,[4]characters!$1:$1,0)+1,FALSE)</f>
        <v>PremiumS</v>
      </c>
      <c r="P28" s="16" t="str">
        <f ca="1">VLOOKUP($L28,OFFSET([3]enemies!$A$1,0,0,COUNTA([3]enemies!$A:$A),MATCH(P$1,[3]enemies!$1:$1,0)-MATCH($L$1,[3]enemies!$1:$1,0)+1),MATCH(P$1,[3]enemies!$1:$1,0)-MATCH($L$1,[3]enemies!$1:$1,0)+1,FALSE)</f>
        <v>god</v>
      </c>
      <c r="Q28" s="16">
        <f ca="1">VLOOKUP($L28,OFFSET([3]enemies!$A$1,0,0,COUNTA([3]enemies!$A:$A),MATCH(Q$1,[3]enemies!$1:$1,0)-MATCH($L$1,[3]enemies!$1:$1,0)+1),MATCH(Q$1,[3]enemies!$1:$1,0)-MATCH($L$1,[3]enemies!$1:$1,0)+1,FALSE)</f>
        <v>30</v>
      </c>
      <c r="R28" s="5">
        <v>65</v>
      </c>
      <c r="S28" s="162">
        <v>0.8</v>
      </c>
      <c r="T28" s="162">
        <v>2</v>
      </c>
      <c r="U28" s="5">
        <v>0</v>
      </c>
      <c r="V28" s="4" t="str">
        <f ca="1">VLOOKUP($W28,OFFSET(enemy_skill_sets!$B$1,0,0,COUNTA(enemy_skill_sets!$B:$B),MATCH(M$1,enemy_skill_sets!$1:$1,0)-MATCH($W$1,enemy_skill_sets!$1:$1,0)+2),MATCH(M$1,enemy_skill_sets!$1:$1,0)-MATCH($W$1,enemy_skill_sets!$1:$1,0)+2,FALSE)</f>
        <v>規則ただしい寝息を立て始めた_x000D_　眠りはじめたようだ・・・</v>
      </c>
      <c r="W28" s="160">
        <v>15028016</v>
      </c>
      <c r="X28" s="164">
        <v>1</v>
      </c>
      <c r="Y28" s="164">
        <v>100</v>
      </c>
      <c r="Z28" s="164">
        <v>0</v>
      </c>
      <c r="AA28" s="161">
        <v>1</v>
      </c>
      <c r="AB28" s="20">
        <f t="shared" si="13"/>
        <v>254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怠惰 ベルフェゴール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4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8" s="144">
        <v>1</v>
      </c>
      <c r="AG28" s="20">
        <f t="shared" ca="1" si="14"/>
        <v>4</v>
      </c>
      <c r="AH28" s="8">
        <v>0</v>
      </c>
      <c r="AI28" s="144">
        <v>0</v>
      </c>
      <c r="AJ28" s="144">
        <v>0</v>
      </c>
      <c r="AK28" s="144">
        <v>0</v>
      </c>
      <c r="AL28" s="144">
        <v>0</v>
      </c>
      <c r="AM28" s="144">
        <v>1</v>
      </c>
      <c r="AN28" s="65">
        <v>1</v>
      </c>
    </row>
    <row r="29" spans="1:40" ht="21" customHeight="1" thickBot="1" x14ac:dyDescent="0.2">
      <c r="A29" s="15" t="str">
        <f t="shared" si="10"/>
        <v>15028_2-4/390&lt;lv65&gt;s2</v>
      </c>
      <c r="B29" s="116">
        <v>15028</v>
      </c>
      <c r="C29" s="117">
        <v>2</v>
      </c>
      <c r="D29" s="2" t="str">
        <f t="shared" si="11"/>
        <v>15028_2</v>
      </c>
      <c r="E29" s="4" t="str">
        <f ca="1">VLOOKUP($B29,OFFSET([2]quests!$A$1,0,0,COUNTA([2]quests!$A:$A),MATCH(E$1,[2]quests!$1:$1,0)-MATCH($B$1,[2]quests!$1:$1,0)+1),MATCH(E$1,[2]quests!$1:$1,0)-MATCH($B$1,[2]quests!$1:$1,0)+1,FALSE)</f>
        <v>28. 暴風と灼熱の罪浄</v>
      </c>
      <c r="F29" s="4" t="str">
        <f ca="1">VLOOKUP($D29,OFFSET([2]stages!$A$1,0,0,COUNTA([2]stages!$A:$A),MATCH(F$1,[2]stages!$2:$2,0)-MATCH($D$1,[2]stages!$2:$2,0)+1),MATCH(F$1,[2]stages!$2:$2,0)-MATCH($D$1,[2]stages!$2:$2,0)+1,FALSE)</f>
        <v>28-2. 空の寝殿</v>
      </c>
      <c r="G29" s="179">
        <v>4</v>
      </c>
      <c r="H29" s="14" t="str">
        <f t="shared" si="12"/>
        <v>15028_2-4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101">
        <v>2</v>
      </c>
      <c r="L29" s="131">
        <v>390</v>
      </c>
      <c r="M29" s="16" t="str">
        <f ca="1">VLOOKUP($L29,OFFSET([3]enemies!$A$1,0,0,COUNTA([3]enemies!$A:$A),MATCH(M$1,[3]enemies!$1:$1,0)-MATCH($L$1,[3]enemies!$1:$1,0)+1),MATCH(M$1,[3]enemies!$1:$1,0)-MATCH($L$1,[3]enemies!$1:$1,0)+1,FALSE)</f>
        <v>華環の旅客 親指姫</v>
      </c>
      <c r="N29" s="16" t="str">
        <f ca="1">VLOOKUP($L29,OFFSET([3]enemies!$A$1,0,0,COUNTA([3]enemies!$A:$A),MATCH(N$1,[3]enemies!$1:$1,0)-MATCH($L$1,[3]enemies!$1:$1,0)+1),MATCH(N$1,[3]enemies!$1:$1,0)-MATCH($L$1,[3]enemies!$1:$1,0)+1,FALSE)</f>
        <v>red</v>
      </c>
      <c r="O29" s="16" t="str">
        <f ca="1">VLOOKUP($L29,OFFSET([4]characters!$A$1,0,0,COUNTA([4]characters!$A:$A),MATCH(O$1,[4]characters!$1:$1,0)-MATCH($L$1,[4]characters!$1:$1,0)+1),MATCH(O$1,[4]characters!$1:$1,0)-MATCH($L$1,[4]characters!$1:$1,0)+1,FALSE)</f>
        <v>PremiumSS</v>
      </c>
      <c r="P29" s="16" t="str">
        <f ca="1">VLOOKUP($L29,OFFSET([3]enemies!$A$1,0,0,COUNTA([3]enemies!$A:$A),MATCH(P$1,[3]enemies!$1:$1,0)-MATCH($L$1,[3]enemies!$1:$1,0)+1),MATCH(P$1,[3]enemies!$1:$1,0)-MATCH($L$1,[3]enemies!$1:$1,0)+1,FALSE)</f>
        <v>human</v>
      </c>
      <c r="Q29" s="16">
        <f ca="1">VLOOKUP($L29,OFFSET([3]enemies!$A$1,0,0,COUNTA([3]enemies!$A:$A),MATCH(Q$1,[3]enemies!$1:$1,0)-MATCH($L$1,[3]enemies!$1:$1,0)+1),MATCH(Q$1,[3]enemies!$1:$1,0)-MATCH($L$1,[3]enemies!$1:$1,0)+1,FALSE)</f>
        <v>30</v>
      </c>
      <c r="R29" s="5">
        <v>65</v>
      </c>
      <c r="S29" s="168">
        <v>4.5999999999999996</v>
      </c>
      <c r="T29" s="168">
        <v>1</v>
      </c>
      <c r="U29" s="139">
        <v>100000</v>
      </c>
      <c r="V29" s="4" t="str">
        <f ca="1">VLOOKUP($W29,OFFSET(enemy_skill_sets!$B$1,0,0,COUNTA(enemy_skill_sets!$B:$B),MATCH(M$1,enemy_skill_sets!$1:$1,0)-MATCH($W$1,enemy_skill_sets!$1:$1,0)+2),MATCH(M$1,enemy_skill_sets!$1:$1,0)-MATCH($W$1,enemy_skill_sets!$1:$1,0)+2,FALSE)</f>
        <v>解除されるまで防御力究極UP</v>
      </c>
      <c r="W29" s="160">
        <v>15028018</v>
      </c>
      <c r="X29" s="173">
        <v>1</v>
      </c>
      <c r="Y29" s="173">
        <v>100</v>
      </c>
      <c r="Z29" s="173">
        <v>1</v>
      </c>
      <c r="AA29" s="161">
        <v>2</v>
      </c>
      <c r="AB29" s="20">
        <f t="shared" si="13"/>
        <v>390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華環の旅客 親指姫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4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29" s="148">
        <v>1</v>
      </c>
      <c r="AG29" s="20">
        <f t="shared" ca="1" si="14"/>
        <v>4</v>
      </c>
      <c r="AH29" s="156">
        <v>0</v>
      </c>
      <c r="AI29" s="148">
        <v>0</v>
      </c>
      <c r="AJ29" s="148">
        <v>0</v>
      </c>
      <c r="AK29" s="148">
        <v>0</v>
      </c>
      <c r="AL29" s="148">
        <v>0</v>
      </c>
      <c r="AM29" s="148">
        <v>1</v>
      </c>
      <c r="AN29" s="157">
        <v>1</v>
      </c>
    </row>
    <row r="30" spans="1:40" ht="21" customHeight="1" x14ac:dyDescent="0.15">
      <c r="A30" s="15" t="str">
        <f t="shared" si="10"/>
        <v>15028_3-1/2&lt;lv62&gt;s3</v>
      </c>
      <c r="B30" s="107">
        <v>15028</v>
      </c>
      <c r="C30" s="118">
        <v>3</v>
      </c>
      <c r="D30" s="2" t="str">
        <f t="shared" si="11"/>
        <v>15028_3</v>
      </c>
      <c r="E30" s="4" t="str">
        <f ca="1">VLOOKUP($B30,OFFSET([2]quests!$A$1,0,0,COUNTA([2]quests!$A:$A),MATCH(E$1,[2]quests!$1:$1,0)-MATCH($B$1,[2]quests!$1:$1,0)+1),MATCH(E$1,[2]quests!$1:$1,0)-MATCH($B$1,[2]quests!$1:$1,0)+1,FALSE)</f>
        <v>28. 暴風と灼熱の罪浄</v>
      </c>
      <c r="F30" s="4" t="str">
        <f ca="1">VLOOKUP($D30,OFFSET([2]stages!$A$1,0,0,COUNTA([2]stages!$A:$A),MATCH(F$1,[2]stages!$2:$2,0)-MATCH($D$1,[2]stages!$2:$2,0)+1),MATCH(F$1,[2]stages!$2:$2,0)-MATCH($D$1,[2]stages!$2:$2,0)+1,FALSE)</f>
        <v>28-3. 縛風の洞窟</v>
      </c>
      <c r="G30" s="123">
        <v>1</v>
      </c>
      <c r="H30" s="14" t="str">
        <f t="shared" si="12"/>
        <v>15028_3-1</v>
      </c>
      <c r="I30" s="4">
        <f ca="1">VLOOKUP($H30,OFFSET(floors!$A$1,0,0,COUNTA(floors!$A:$A),MATCH(I$1,floors!$1:$1,0)-MATCH($H$1,floors!$1:$1,0)+1),MATCH(I$1,floors!$1:$1,0)-MATCH($H$1,floors!$1:$1,0)+1,FALSE)</f>
        <v>59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103" t="s">
        <v>53</v>
      </c>
      <c r="L30" s="130">
        <v>2</v>
      </c>
      <c r="M30" s="16" t="str">
        <f ca="1">VLOOKUP($L30,OFFSET([3]enemies!$A$1,0,0,COUNTA([3]enemies!$A:$A),MATCH(M$1,[3]enemies!$1:$1,0)-MATCH($L$1,[3]enemies!$1:$1,0)+1),MATCH(M$1,[3]enemies!$1:$1,0)-MATCH($L$1,[3]enemies!$1:$1,0)+1,FALSE)</f>
        <v>イレギュラー・ジェリー</v>
      </c>
      <c r="N30" s="16" t="str">
        <f ca="1">VLOOKUP($L30,OFFSET([3]enemies!$A$1,0,0,COUNTA([3]enemies!$A:$A),MATCH(N$1,[3]enemies!$1:$1,0)-MATCH($L$1,[3]enemies!$1:$1,0)+1),MATCH(N$1,[3]enemies!$1:$1,0)-MATCH($L$1,[3]enemies!$1:$1,0)+1,FALSE)</f>
        <v>red</v>
      </c>
      <c r="O30" s="16" t="str">
        <f ca="1">VLOOKUP($L30,OFFSET([4]characters!$A$1,0,0,COUNTA([4]characters!$A:$A),MATCH(O$1,[4]characters!$1:$1,0)-MATCH($L$1,[4]characters!$1:$1,0)+1),MATCH(O$1,[4]characters!$1:$1,0)-MATCH($L$1,[4]characters!$1:$1,0)+1,FALSE)</f>
        <v>Drop1T</v>
      </c>
      <c r="P30" s="16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16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62</v>
      </c>
      <c r="S30" s="163">
        <v>1.6</v>
      </c>
      <c r="T30" s="163">
        <v>1.3</v>
      </c>
      <c r="U30" s="137">
        <v>0</v>
      </c>
      <c r="V30" s="4" t="str">
        <f ca="1">VLOOKUP($W30,OFFSET(enemy_skill_sets!$B$1,0,0,COUNTA(enemy_skill_sets!$B:$B),MATCH(M$1,enemy_skill_sets!$1:$1,0)-MATCH($W$1,enemy_skill_sets!$1:$1,0)+2),MATCH(M$1,enemy_skill_sets!$1:$1,0)-MATCH($W$1,enemy_skill_sets!$1:$1,0)+2,FALSE)</f>
        <v>攻撃力×1.5倍の攻撃</v>
      </c>
      <c r="W30" s="160">
        <v>15028020</v>
      </c>
      <c r="X30" s="172">
        <v>1</v>
      </c>
      <c r="Y30" s="172">
        <v>100</v>
      </c>
      <c r="Z30" s="172">
        <v>0</v>
      </c>
      <c r="AA30" s="161">
        <v>3</v>
      </c>
      <c r="AB30" s="20">
        <f t="shared" si="13"/>
        <v>2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2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Drop1T</v>
      </c>
      <c r="AF30" s="147">
        <v>1</v>
      </c>
      <c r="AG30" s="20">
        <f t="shared" ca="1" si="14"/>
        <v>2</v>
      </c>
      <c r="AH30" s="154">
        <v>20</v>
      </c>
      <c r="AI30" s="147">
        <v>0</v>
      </c>
      <c r="AJ30" s="147">
        <v>0</v>
      </c>
      <c r="AK30" s="147">
        <v>0</v>
      </c>
      <c r="AL30" s="147">
        <v>0</v>
      </c>
      <c r="AM30" s="147">
        <v>1</v>
      </c>
      <c r="AN30" s="155">
        <v>1</v>
      </c>
    </row>
    <row r="31" spans="1:40" ht="21" customHeight="1" x14ac:dyDescent="0.15">
      <c r="A31" s="15" t="str">
        <f t="shared" si="10"/>
        <v>15028_3-1/12&lt;lv62&gt;s2</v>
      </c>
      <c r="B31" s="107">
        <v>15028</v>
      </c>
      <c r="C31" s="119">
        <v>3</v>
      </c>
      <c r="D31" s="2" t="str">
        <f t="shared" si="11"/>
        <v>15028_3</v>
      </c>
      <c r="E31" s="4" t="str">
        <f ca="1">VLOOKUP($B31,OFFSET([2]quests!$A$1,0,0,COUNTA([2]quests!$A:$A),MATCH(E$1,[2]quests!$1:$1,0)-MATCH($B$1,[2]quests!$1:$1,0)+1),MATCH(E$1,[2]quests!$1:$1,0)-MATCH($B$1,[2]quests!$1:$1,0)+1,FALSE)</f>
        <v>28. 暴風と灼熱の罪浄</v>
      </c>
      <c r="F31" s="4" t="str">
        <f ca="1">VLOOKUP($D31,OFFSET([2]stages!$A$1,0,0,COUNTA([2]stages!$A:$A),MATCH(F$1,[2]stages!$2:$2,0)-MATCH($D$1,[2]stages!$2:$2,0)+1),MATCH(F$1,[2]stages!$2:$2,0)-MATCH($D$1,[2]stages!$2:$2,0)+1,FALSE)</f>
        <v>28-3. 縛風の洞窟</v>
      </c>
      <c r="G31" s="123">
        <v>1</v>
      </c>
      <c r="H31" s="14" t="str">
        <f t="shared" si="12"/>
        <v>15028_3-1</v>
      </c>
      <c r="I31" s="4">
        <f ca="1">VLOOKUP($H31,OFFSET(floors!$A$1,0,0,COUNTA(floors!$A:$A),MATCH(I$1,floors!$1:$1,0)-MATCH($H$1,floors!$1:$1,0)+1),MATCH(I$1,floors!$1:$1,0)-MATCH($H$1,floors!$1:$1,0)+1,FALSE)</f>
        <v>59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4" t="s">
        <v>53</v>
      </c>
      <c r="L31" s="126">
        <v>12</v>
      </c>
      <c r="M31" s="16" t="str">
        <f ca="1">VLOOKUP($L31,OFFSET([3]enemies!$A$1,0,0,COUNTA([3]enemies!$A:$A),MATCH(M$1,[3]enemies!$1:$1,0)-MATCH($L$1,[3]enemies!$1:$1,0)+1),MATCH(M$1,[3]enemies!$1:$1,0)-MATCH($L$1,[3]enemies!$1:$1,0)+1,FALSE)</f>
        <v>癒しのグラフィティ マグリット</v>
      </c>
      <c r="N31" s="16" t="str">
        <f ca="1">VLOOKUP($L31,OFFSET([3]enemies!$A$1,0,0,COUNTA([3]enemies!$A:$A),MATCH(N$1,[3]enemies!$1:$1,0)-MATCH($L$1,[3]enemies!$1:$1,0)+1),MATCH(N$1,[3]enemies!$1:$1,0)-MATCH($L$1,[3]enemies!$1:$1,0)+1,FALSE)</f>
        <v>green</v>
      </c>
      <c r="O31" s="16" t="str">
        <f ca="1">VLOOKUP($L31,OFFSET([4]characters!$A$1,0,0,COUNTA([4]characters!$A:$A),MATCH(O$1,[4]characters!$1:$1,0)-MATCH($L$1,[4]characters!$1:$1,0)+1),MATCH(O$1,[4]characters!$1:$1,0)-MATCH($L$1,[4]characters!$1:$1,0)+1,FALSE)</f>
        <v>Drop1W</v>
      </c>
      <c r="P31" s="16" t="str">
        <f ca="1">VLOOKUP($L31,OFFSET([3]enemies!$A$1,0,0,COUNTA([3]enemies!$A:$A),MATCH(P$1,[3]enemies!$1:$1,0)-MATCH($L$1,[3]enemies!$1:$1,0)+1),MATCH(P$1,[3]enemies!$1:$1,0)-MATCH($L$1,[3]enemies!$1:$1,0)+1,FALSE)</f>
        <v>animal</v>
      </c>
      <c r="Q31" s="16">
        <f ca="1">VLOOKUP($L31,OFFSET([3]enemies!$A$1,0,0,COUNTA([3]enemies!$A:$A),MATCH(Q$1,[3]enemies!$1:$1,0)-MATCH($L$1,[3]enemies!$1:$1,0)+1),MATCH(Q$1,[3]enemies!$1:$1,0)-MATCH($L$1,[3]enemies!$1:$1,0)+1,FALSE)</f>
        <v>15</v>
      </c>
      <c r="R31" s="5">
        <v>62</v>
      </c>
      <c r="S31" s="162">
        <v>2.4</v>
      </c>
      <c r="T31" s="162">
        <v>0.9</v>
      </c>
      <c r="U31" s="5">
        <v>0</v>
      </c>
      <c r="V31" s="4" t="str">
        <f ca="1">VLOOKUP($W31,OFFSET(enemy_skill_sets!$B$1,0,0,COUNTA(enemy_skill_sets!$B:$B),MATCH(M$1,enemy_skill_sets!$1:$1,0)-MATCH($W$1,enemy_skill_sets!$1:$1,0)+2),MATCH(M$1,enemy_skill_sets!$1:$1,0)-MATCH($W$1,enemy_skill_sets!$1:$1,0)+2,FALSE)</f>
        <v>全体回復+1ターン防御力UP</v>
      </c>
      <c r="W31" s="160">
        <v>15028021</v>
      </c>
      <c r="X31" s="164">
        <v>1</v>
      </c>
      <c r="Y31" s="164">
        <v>100</v>
      </c>
      <c r="Z31" s="164">
        <v>0</v>
      </c>
      <c r="AA31" s="161">
        <v>2</v>
      </c>
      <c r="AB31" s="20">
        <f t="shared" si="13"/>
        <v>12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癒しのグラフィティ マグリット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2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Drop1W</v>
      </c>
      <c r="AF31" s="144">
        <v>1</v>
      </c>
      <c r="AG31" s="20">
        <f t="shared" ca="1" si="14"/>
        <v>2</v>
      </c>
      <c r="AH31" s="8">
        <v>20</v>
      </c>
      <c r="AI31" s="144">
        <v>0</v>
      </c>
      <c r="AJ31" s="144">
        <v>0</v>
      </c>
      <c r="AK31" s="144">
        <v>0</v>
      </c>
      <c r="AL31" s="144">
        <v>0</v>
      </c>
      <c r="AM31" s="144">
        <v>1</v>
      </c>
      <c r="AN31" s="65">
        <v>1</v>
      </c>
    </row>
    <row r="32" spans="1:40" ht="21" customHeight="1" x14ac:dyDescent="0.15">
      <c r="A32" s="15" t="str">
        <f t="shared" si="10"/>
        <v>15028_3-1/16&lt;lv62&gt;s2</v>
      </c>
      <c r="B32" s="107">
        <v>15028</v>
      </c>
      <c r="C32" s="119">
        <v>3</v>
      </c>
      <c r="D32" s="2" t="str">
        <f t="shared" si="11"/>
        <v>15028_3</v>
      </c>
      <c r="E32" s="4" t="str">
        <f ca="1">VLOOKUP($B32,OFFSET([2]quests!$A$1,0,0,COUNTA([2]quests!$A:$A),MATCH(E$1,[2]quests!$1:$1,0)-MATCH($B$1,[2]quests!$1:$1,0)+1),MATCH(E$1,[2]quests!$1:$1,0)-MATCH($B$1,[2]quests!$1:$1,0)+1,FALSE)</f>
        <v>28. 暴風と灼熱の罪浄</v>
      </c>
      <c r="F32" s="4" t="str">
        <f ca="1">VLOOKUP($D32,OFFSET([2]stages!$A$1,0,0,COUNTA([2]stages!$A:$A),MATCH(F$1,[2]stages!$2:$2,0)-MATCH($D$1,[2]stages!$2:$2,0)+1),MATCH(F$1,[2]stages!$2:$2,0)-MATCH($D$1,[2]stages!$2:$2,0)+1,FALSE)</f>
        <v>28-3. 縛風の洞窟</v>
      </c>
      <c r="G32" s="123">
        <v>1</v>
      </c>
      <c r="H32" s="14" t="str">
        <f t="shared" si="12"/>
        <v>15028_3-1</v>
      </c>
      <c r="I32" s="4">
        <f ca="1">VLOOKUP($H32,OFFSET(floors!$A$1,0,0,COUNTA(floors!$A:$A),MATCH(I$1,floors!$1:$1,0)-MATCH($H$1,floors!$1:$1,0)+1),MATCH(I$1,floors!$1:$1,0)-MATCH($H$1,floors!$1:$1,0)+1,FALSE)</f>
        <v>59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4" t="s">
        <v>53</v>
      </c>
      <c r="L32" s="126">
        <v>16</v>
      </c>
      <c r="M32" s="16" t="str">
        <f ca="1">VLOOKUP($L32,OFFSET([3]enemies!$A$1,0,0,COUNTA([3]enemies!$A:$A),MATCH(M$1,[3]enemies!$1:$1,0)-MATCH($L$1,[3]enemies!$1:$1,0)+1),MATCH(M$1,[3]enemies!$1:$1,0)-MATCH($L$1,[3]enemies!$1:$1,0)+1,FALSE)</f>
        <v>炎戦少女 アカネ</v>
      </c>
      <c r="N32" s="16" t="str">
        <f ca="1">VLOOKUP($L32,OFFSET([3]enemies!$A$1,0,0,COUNTA([3]enemies!$A:$A),MATCH(N$1,[3]enemies!$1:$1,0)-MATCH($L$1,[3]enemies!$1:$1,0)+1),MATCH(N$1,[3]enemies!$1:$1,0)-MATCH($L$1,[3]enemies!$1:$1,0)+1,FALSE)</f>
        <v>red</v>
      </c>
      <c r="O32" s="16" t="str">
        <f ca="1">VLOOKUP($L32,OFFSET([4]characters!$A$1,0,0,COUNTA([4]characters!$A:$A),MATCH(O$1,[4]characters!$1:$1,0)-MATCH($L$1,[4]characters!$1:$1,0)+1),MATCH(O$1,[4]characters!$1:$1,0)-MATCH($L$1,[4]characters!$1:$1,0)+1,FALSE)</f>
        <v>Drop1W</v>
      </c>
      <c r="P32" s="16" t="str">
        <f ca="1">VLOOKUP($L32,OFFSET([3]enemies!$A$1,0,0,COUNTA([3]enemies!$A:$A),MATCH(P$1,[3]enemies!$1:$1,0)-MATCH($L$1,[3]enemies!$1:$1,0)+1),MATCH(P$1,[3]enemies!$1:$1,0)-MATCH($L$1,[3]enemies!$1:$1,0)+1,FALSE)</f>
        <v>human</v>
      </c>
      <c r="Q32" s="16">
        <f ca="1">VLOOKUP($L32,OFFSET([3]enemies!$A$1,0,0,COUNTA([3]enemies!$A:$A),MATCH(Q$1,[3]enemies!$1:$1,0)-MATCH($L$1,[3]enemies!$1:$1,0)+1),MATCH(Q$1,[3]enemies!$1:$1,0)-MATCH($L$1,[3]enemies!$1:$1,0)+1,FALSE)</f>
        <v>15</v>
      </c>
      <c r="R32" s="5">
        <v>62</v>
      </c>
      <c r="S32" s="162">
        <v>2.1</v>
      </c>
      <c r="T32" s="162">
        <v>0.8</v>
      </c>
      <c r="U32" s="5">
        <v>0</v>
      </c>
      <c r="V32" s="4" t="str">
        <f ca="1">VLOOKUP($W32,OFFSET(enemy_skill_sets!$B$1,0,0,COUNTA(enemy_skill_sets!$B:$B),MATCH(M$1,enemy_skill_sets!$1:$1,0)-MATCH($W$1,enemy_skill_sets!$1:$1,0)+2),MATCH(M$1,enemy_skill_sets!$1:$1,0)-MATCH($W$1,enemy_skill_sets!$1:$1,0)+2,FALSE)</f>
        <v>全体の行動頻度UP&amp;1ターン攻撃力UP</v>
      </c>
      <c r="W32" s="160">
        <v>15028022</v>
      </c>
      <c r="X32" s="164">
        <v>1</v>
      </c>
      <c r="Y32" s="164">
        <v>100</v>
      </c>
      <c r="Z32" s="164">
        <v>0</v>
      </c>
      <c r="AA32" s="161">
        <v>2</v>
      </c>
      <c r="AB32" s="20">
        <f t="shared" si="13"/>
        <v>16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炎戦少女 アカネ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2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Drop1W</v>
      </c>
      <c r="AF32" s="144">
        <v>1</v>
      </c>
      <c r="AG32" s="20">
        <f t="shared" ca="1" si="14"/>
        <v>2</v>
      </c>
      <c r="AH32" s="8">
        <v>20</v>
      </c>
      <c r="AI32" s="144">
        <v>0</v>
      </c>
      <c r="AJ32" s="144">
        <v>0</v>
      </c>
      <c r="AK32" s="144">
        <v>0</v>
      </c>
      <c r="AL32" s="144">
        <v>0</v>
      </c>
      <c r="AM32" s="144">
        <v>1</v>
      </c>
      <c r="AN32" s="65">
        <v>1</v>
      </c>
    </row>
    <row r="33" spans="1:40" ht="21" customHeight="1" x14ac:dyDescent="0.15">
      <c r="A33" s="15" t="str">
        <f t="shared" si="10"/>
        <v>15028_3-1/348&lt;lv58&gt;s1</v>
      </c>
      <c r="B33" s="107">
        <v>15028</v>
      </c>
      <c r="C33" s="119">
        <v>3</v>
      </c>
      <c r="D33" s="2" t="str">
        <f t="shared" si="11"/>
        <v>15028_3</v>
      </c>
      <c r="E33" s="4" t="str">
        <f ca="1">VLOOKUP($B33,OFFSET([2]quests!$A$1,0,0,COUNTA([2]quests!$A:$A),MATCH(E$1,[2]quests!$1:$1,0)-MATCH($B$1,[2]quests!$1:$1,0)+1),MATCH(E$1,[2]quests!$1:$1,0)-MATCH($B$1,[2]quests!$1:$1,0)+1,FALSE)</f>
        <v>28. 暴風と灼熱の罪浄</v>
      </c>
      <c r="F33" s="4" t="str">
        <f ca="1">VLOOKUP($D33,OFFSET([2]stages!$A$1,0,0,COUNTA([2]stages!$A:$A),MATCH(F$1,[2]stages!$2:$2,0)-MATCH($D$1,[2]stages!$2:$2,0)+1),MATCH(F$1,[2]stages!$2:$2,0)-MATCH($D$1,[2]stages!$2:$2,0)+1,FALSE)</f>
        <v>28-3. 縛風の洞窟</v>
      </c>
      <c r="G33" s="123">
        <v>1</v>
      </c>
      <c r="H33" s="14" t="str">
        <f t="shared" si="12"/>
        <v>15028_3-1</v>
      </c>
      <c r="I33" s="4">
        <f ca="1">VLOOKUP($H33,OFFSET(floors!$A$1,0,0,COUNTA(floors!$A:$A),MATCH(I$1,floors!$1:$1,0)-MATCH($H$1,floors!$1:$1,0)+1),MATCH(I$1,floors!$1:$1,0)-MATCH($H$1,floors!$1:$1,0)+1,FALSE)</f>
        <v>59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34" t="s">
        <v>53</v>
      </c>
      <c r="L33" s="126">
        <v>348</v>
      </c>
      <c r="M33" s="16" t="str">
        <f ca="1">VLOOKUP($L33,OFFSET([3]enemies!$A$1,0,0,COUNTA([3]enemies!$A:$A),MATCH(M$1,[3]enemies!$1:$1,0)-MATCH($L$1,[3]enemies!$1:$1,0)+1),MATCH(M$1,[3]enemies!$1:$1,0)-MATCH($L$1,[3]enemies!$1:$1,0)+1,FALSE)</f>
        <v>炎のケロケロ</v>
      </c>
      <c r="N33" s="16" t="str">
        <f ca="1">VLOOKUP($L33,OFFSET([3]enemies!$A$1,0,0,COUNTA([3]enemies!$A:$A),MATCH(N$1,[3]enemies!$1:$1,0)-MATCH($L$1,[3]enemies!$1:$1,0)+1),MATCH(N$1,[3]enemies!$1:$1,0)-MATCH($L$1,[3]enemies!$1:$1,0)+1,FALSE)</f>
        <v>red</v>
      </c>
      <c r="O33" s="16" t="str">
        <f ca="1">VLOOKUP($L33,OFFSET([4]characters!$A$1,0,0,COUNTA([4]characters!$A:$A),MATCH(O$1,[4]characters!$1:$1,0)-MATCH($L$1,[4]characters!$1:$1,0)+1),MATCH(O$1,[4]characters!$1:$1,0)-MATCH($L$1,[4]characters!$1:$1,0)+1,FALSE)</f>
        <v>Material</v>
      </c>
      <c r="P33" s="16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16">
        <f ca="1">VLOOKUP($L33,OFFSET([3]enemies!$A$1,0,0,COUNTA([3]enemies!$A:$A),MATCH(Q$1,[3]enemies!$1:$1,0)-MATCH($L$1,[3]enemies!$1:$1,0)+1),MATCH(Q$1,[3]enemies!$1:$1,0)-MATCH($L$1,[3]enemies!$1:$1,0)+1,FALSE)</f>
        <v>15</v>
      </c>
      <c r="R33" s="5">
        <v>58</v>
      </c>
      <c r="S33" s="162">
        <v>1.7</v>
      </c>
      <c r="T33" s="162">
        <v>1.8</v>
      </c>
      <c r="U33" s="5">
        <v>0</v>
      </c>
      <c r="V33" s="4" t="e">
        <f ca="1">VLOOKUP($W33,OFFSET(enemy_skill_sets!$B$1,0,0,COUNTA(enemy_skill_sets!$B:$B),MATCH(M$1,enemy_skill_sets!$1:$1,0)-MATCH($W$1,enemy_skill_sets!$1:$1,0)+2),MATCH(M$1,enemy_skill_sets!$1:$1,0)-MATCH($W$1,enemy_skill_sets!$1:$1,0)+2,FALSE)</f>
        <v>#N/A</v>
      </c>
      <c r="W33" s="4">
        <f ca="1">VLOOKUP($L33,OFFSET([3]enemies!$A$1,0,0,COUNTA([3]enemies!$A:$A),MATCH(W$1,[3]enemies!$1:$1,0)-MATCH($L$1,[3]enemies!$1:$1,0)+1),MATCH(W$1,[3]enemies!$1:$1,0)-MATCH($L$1,[3]enemies!$1:$1,0)+1,FALSE)</f>
        <v>0</v>
      </c>
      <c r="X33" s="164">
        <v>0</v>
      </c>
      <c r="Y33" s="164">
        <v>10</v>
      </c>
      <c r="Z33" s="164">
        <v>1</v>
      </c>
      <c r="AA33" s="161">
        <v>1</v>
      </c>
      <c r="AB33" s="20">
        <f t="shared" si="13"/>
        <v>348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2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3" s="144">
        <v>10</v>
      </c>
      <c r="AG33" s="20">
        <f t="shared" ca="1" si="14"/>
        <v>2</v>
      </c>
      <c r="AH33" s="174">
        <v>100</v>
      </c>
      <c r="AI33" s="144">
        <v>0</v>
      </c>
      <c r="AJ33" s="144">
        <v>0</v>
      </c>
      <c r="AK33" s="144">
        <v>0</v>
      </c>
      <c r="AL33" s="144">
        <v>0</v>
      </c>
      <c r="AM33" s="144">
        <v>1</v>
      </c>
      <c r="AN33" s="65">
        <v>1</v>
      </c>
    </row>
    <row r="34" spans="1:40" ht="21" customHeight="1" x14ac:dyDescent="0.15">
      <c r="A34" s="15" t="str">
        <f t="shared" si="10"/>
        <v>15028_3-1/350&lt;lv62&gt;s1</v>
      </c>
      <c r="B34" s="107">
        <v>15028</v>
      </c>
      <c r="C34" s="119">
        <v>3</v>
      </c>
      <c r="D34" s="2" t="str">
        <f t="shared" si="11"/>
        <v>15028_3</v>
      </c>
      <c r="E34" s="4" t="str">
        <f ca="1">VLOOKUP($B34,OFFSET([2]quests!$A$1,0,0,COUNTA([2]quests!$A:$A),MATCH(E$1,[2]quests!$1:$1,0)-MATCH($B$1,[2]quests!$1:$1,0)+1),MATCH(E$1,[2]quests!$1:$1,0)-MATCH($B$1,[2]quests!$1:$1,0)+1,FALSE)</f>
        <v>28. 暴風と灼熱の罪浄</v>
      </c>
      <c r="F34" s="4" t="str">
        <f ca="1">VLOOKUP($D34,OFFSET([2]stages!$A$1,0,0,COUNTA([2]stages!$A:$A),MATCH(F$1,[2]stages!$2:$2,0)-MATCH($D$1,[2]stages!$2:$2,0)+1),MATCH(F$1,[2]stages!$2:$2,0)-MATCH($D$1,[2]stages!$2:$2,0)+1,FALSE)</f>
        <v>28-3. 縛風の洞窟</v>
      </c>
      <c r="G34" s="123">
        <v>1</v>
      </c>
      <c r="H34" s="14" t="str">
        <f t="shared" si="12"/>
        <v>15028_3-1</v>
      </c>
      <c r="I34" s="4">
        <f ca="1">VLOOKUP($H34,OFFSET(floors!$A$1,0,0,COUNTA(floors!$A:$A),MATCH(I$1,floors!$1:$1,0)-MATCH($H$1,floors!$1:$1,0)+1),MATCH(I$1,floors!$1:$1,0)-MATCH($H$1,floors!$1:$1,0)+1,FALSE)</f>
        <v>59</v>
      </c>
      <c r="J34" s="4">
        <f ca="1">VLOOKUP($H34,OFFSET(floors!$A$1,0,0,COUNTA(floors!$A:$A),MATCH(J$1,floors!$1:$1,0)-MATCH($H$1,floors!$1:$1,0)+1),MATCH(J$1,floors!$1:$1,0)-MATCH($H$1,floors!$1:$1,0)+1,FALSE)</f>
        <v>60</v>
      </c>
      <c r="K34" s="34" t="s">
        <v>53</v>
      </c>
      <c r="L34" s="126">
        <v>350</v>
      </c>
      <c r="M34" s="16" t="str">
        <f ca="1">VLOOKUP($L34,OFFSET([3]enemies!$A$1,0,0,COUNTA([3]enemies!$A:$A),MATCH(M$1,[3]enemies!$1:$1,0)-MATCH($L$1,[3]enemies!$1:$1,0)+1),MATCH(M$1,[3]enemies!$1:$1,0)-MATCH($L$1,[3]enemies!$1:$1,0)+1,FALSE)</f>
        <v>森のケロケロ</v>
      </c>
      <c r="N34" s="16" t="str">
        <f ca="1">VLOOKUP($L34,OFFSET([3]enemies!$A$1,0,0,COUNTA([3]enemies!$A:$A),MATCH(N$1,[3]enemies!$1:$1,0)-MATCH($L$1,[3]enemies!$1:$1,0)+1),MATCH(N$1,[3]enemies!$1:$1,0)-MATCH($L$1,[3]enemies!$1:$1,0)+1,FALSE)</f>
        <v>green</v>
      </c>
      <c r="O34" s="16" t="str">
        <f ca="1">VLOOKUP($L34,OFFSET([4]characters!$A$1,0,0,COUNTA([4]characters!$A:$A),MATCH(O$1,[4]characters!$1:$1,0)-MATCH($L$1,[4]characters!$1:$1,0)+1),MATCH(O$1,[4]characters!$1:$1,0)-MATCH($L$1,[4]characters!$1:$1,0)+1,FALSE)</f>
        <v>Material</v>
      </c>
      <c r="P34" s="16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16">
        <f ca="1">VLOOKUP($L34,OFFSET([3]enemies!$A$1,0,0,COUNTA([3]enemies!$A:$A),MATCH(Q$1,[3]enemies!$1:$1,0)-MATCH($L$1,[3]enemies!$1:$1,0)+1),MATCH(Q$1,[3]enemies!$1:$1,0)-MATCH($L$1,[3]enemies!$1:$1,0)+1,FALSE)</f>
        <v>15</v>
      </c>
      <c r="R34" s="5">
        <v>62</v>
      </c>
      <c r="S34" s="162">
        <v>1.7</v>
      </c>
      <c r="T34" s="162">
        <v>1.8</v>
      </c>
      <c r="U34" s="5">
        <v>0</v>
      </c>
      <c r="V34" s="4" t="e">
        <f ca="1">VLOOKUP($W34,OFFSET(enemy_skill_sets!$B$1,0,0,COUNTA(enemy_skill_sets!$B:$B),MATCH(M$1,enemy_skill_sets!$1:$1,0)-MATCH($W$1,enemy_skill_sets!$1:$1,0)+2),MATCH(M$1,enemy_skill_sets!$1:$1,0)-MATCH($W$1,enemy_skill_sets!$1:$1,0)+2,FALSE)</f>
        <v>#N/A</v>
      </c>
      <c r="W34" s="4">
        <f ca="1">VLOOKUP($L34,OFFSET([3]enemies!$A$1,0,0,COUNTA([3]enemies!$A:$A),MATCH(W$1,[3]enemies!$1:$1,0)-MATCH($L$1,[3]enemies!$1:$1,0)+1),MATCH(W$1,[3]enemies!$1:$1,0)-MATCH($L$1,[3]enemies!$1:$1,0)+1,FALSE)</f>
        <v>0</v>
      </c>
      <c r="X34" s="164">
        <v>0</v>
      </c>
      <c r="Y34" s="164">
        <v>10</v>
      </c>
      <c r="Z34" s="164">
        <v>1</v>
      </c>
      <c r="AA34" s="161">
        <v>1</v>
      </c>
      <c r="AB34" s="20">
        <f t="shared" si="13"/>
        <v>350</v>
      </c>
      <c r="AC34" s="4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34" s="4">
        <f ca="1">VLOOKUP($AB34,OFFSET([4]characters!$A$1,0,0,COUNTA([4]characters!$A:$A),MATCH(AD$1,[4]characters!$1:$1,0)-MATCH("character_id",[4]characters!$1:$1,0)+1),MATCH(AD$1,[4]characters!$1:$1,0)-MATCH("character_id",[4]characters!$1:$1,0)+1,FALSE)</f>
        <v>2</v>
      </c>
      <c r="AE34" s="4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4" s="144">
        <v>10</v>
      </c>
      <c r="AG34" s="20">
        <f t="shared" ca="1" si="14"/>
        <v>2</v>
      </c>
      <c r="AH34" s="174">
        <v>100</v>
      </c>
      <c r="AI34" s="144">
        <v>0</v>
      </c>
      <c r="AJ34" s="144">
        <v>0</v>
      </c>
      <c r="AK34" s="144">
        <v>0</v>
      </c>
      <c r="AL34" s="144">
        <v>0</v>
      </c>
      <c r="AM34" s="144">
        <v>1</v>
      </c>
      <c r="AN34" s="65">
        <v>1</v>
      </c>
    </row>
    <row r="35" spans="1:40" ht="21" customHeight="1" x14ac:dyDescent="0.15">
      <c r="A35" s="15" t="str">
        <f t="shared" ca="1" si="10"/>
        <v>15028_3-2/158&lt;lv62&gt;s2</v>
      </c>
      <c r="B35" s="109">
        <v>15028</v>
      </c>
      <c r="C35" s="120">
        <v>3</v>
      </c>
      <c r="D35" s="2" t="str">
        <f t="shared" si="11"/>
        <v>15028_3</v>
      </c>
      <c r="E35" s="4" t="str">
        <f ca="1">VLOOKUP($B35,OFFSET([2]quests!$A$1,0,0,COUNTA([2]quests!$A:$A),MATCH(E$1,[2]quests!$1:$1,0)-MATCH($B$1,[2]quests!$1:$1,0)+1),MATCH(E$1,[2]quests!$1:$1,0)-MATCH($B$1,[2]quests!$1:$1,0)+1,FALSE)</f>
        <v>28. 暴風と灼熱の罪浄</v>
      </c>
      <c r="F35" s="4" t="str">
        <f ca="1">VLOOKUP($D35,OFFSET([2]stages!$A$1,0,0,COUNTA([2]stages!$A:$A),MATCH(F$1,[2]stages!$2:$2,0)-MATCH($D$1,[2]stages!$2:$2,0)+1),MATCH(F$1,[2]stages!$2:$2,0)-MATCH($D$1,[2]stages!$2:$2,0)+1,FALSE)</f>
        <v>28-3. 縛風の洞窟</v>
      </c>
      <c r="G35" s="124">
        <v>2</v>
      </c>
      <c r="H35" s="14" t="str">
        <f t="shared" si="12"/>
        <v>15028_3-2</v>
      </c>
      <c r="I35" s="4">
        <f ca="1">VLOOKUP($H35,OFFSET(floors!$A$1,0,0,COUNTA(floors!$A:$A),MATCH(I$1,floors!$1:$1,0)-MATCH($H$1,floors!$1:$1,0)+1),MATCH(I$1,floors!$1:$1,0)-MATCH($H$1,floors!$1:$1,0)+1,FALSE)</f>
        <v>40</v>
      </c>
      <c r="J35" s="4">
        <f ca="1">VLOOKUP($H35,OFFSET(floors!$A$1,0,0,COUNTA(floors!$A:$A),MATCH(J$1,floors!$1:$1,0)-MATCH($H$1,floors!$1:$1,0)+1),MATCH(J$1,floors!$1:$1,0)-MATCH($H$1,floors!$1:$1,0)+1,FALSE)</f>
        <v>40</v>
      </c>
      <c r="K35" s="105" t="s">
        <v>53</v>
      </c>
      <c r="L35" s="127">
        <v>158</v>
      </c>
      <c r="M35" s="16" t="str">
        <f ca="1">VLOOKUP($L35,OFFSET([3]enemies!$A$1,0,0,COUNTA([3]enemies!$A:$A),MATCH(M$1,[3]enemies!$1:$1,0)-MATCH($L$1,[3]enemies!$1:$1,0)+1),MATCH(M$1,[3]enemies!$1:$1,0)-MATCH($L$1,[3]enemies!$1:$1,0)+1,FALSE)</f>
        <v>シスター シャルロッテ</v>
      </c>
      <c r="N35" s="16" t="str">
        <f ca="1">VLOOKUP($L35,OFFSET([3]enemies!$A$1,0,0,COUNTA([3]enemies!$A:$A),MATCH(N$1,[3]enemies!$1:$1,0)-MATCH($L$1,[3]enemies!$1:$1,0)+1),MATCH(N$1,[3]enemies!$1:$1,0)-MATCH($L$1,[3]enemies!$1:$1,0)+1,FALSE)</f>
        <v>red</v>
      </c>
      <c r="O35" s="16" t="str">
        <f ca="1">VLOOKUP($L35,OFFSET([4]characters!$A$1,0,0,COUNTA([4]characters!$A:$A),MATCH(O$1,[4]characters!$1:$1,0)-MATCH($L$1,[4]characters!$1:$1,0)+1),MATCH(O$1,[4]characters!$1:$1,0)-MATCH($L$1,[4]characters!$1:$1,0)+1,FALSE)</f>
        <v>PremiumW</v>
      </c>
      <c r="P35" s="16" t="str">
        <f ca="1">VLOOKUP($L35,OFFSET([3]enemies!$A$1,0,0,COUNTA([3]enemies!$A:$A),MATCH(P$1,[3]enemies!$1:$1,0)-MATCH($L$1,[3]enemies!$1:$1,0)+1),MATCH(P$1,[3]enemies!$1:$1,0)-MATCH($L$1,[3]enemies!$1:$1,0)+1,FALSE)</f>
        <v>human</v>
      </c>
      <c r="Q35" s="16">
        <f ca="1">VLOOKUP($L35,OFFSET([3]enemies!$A$1,0,0,COUNTA([3]enemies!$A:$A),MATCH(Q$1,[3]enemies!$1:$1,0)-MATCH($L$1,[3]enemies!$1:$1,0)+1),MATCH(Q$1,[3]enemies!$1:$1,0)-MATCH($L$1,[3]enemies!$1:$1,0)+1,FALSE)</f>
        <v>20</v>
      </c>
      <c r="R35" s="5">
        <v>62</v>
      </c>
      <c r="S35" s="166">
        <v>1</v>
      </c>
      <c r="T35" s="166">
        <v>1</v>
      </c>
      <c r="U35" s="134">
        <v>0</v>
      </c>
      <c r="V35" s="4" t="str">
        <f ca="1">VLOOKUP($W35,OFFSET(enemy_skill_sets!$B$1,0,0,COUNTA(enemy_skill_sets!$B:$B),MATCH(M$1,enemy_skill_sets!$1:$1,0)-MATCH($W$1,enemy_skill_sets!$1:$1,0)+2),MATCH(M$1,enemy_skill_sets!$1:$1,0)-MATCH($W$1,enemy_skill_sets!$1:$1,0)+2,FALSE)</f>
        <v>ハートパネルを吸収して回復</v>
      </c>
      <c r="W35" s="160">
        <v>15028023</v>
      </c>
      <c r="X35" s="169">
        <v>1</v>
      </c>
      <c r="Y35" s="169">
        <v>100</v>
      </c>
      <c r="Z35" s="169">
        <v>0</v>
      </c>
      <c r="AA35" s="16">
        <f ca="1">VLOOKUP($L35,OFFSET([3]enemies!$A$1,0,0,COUNTA([3]enemies!$A:$A),MATCH(AA$1,[3]enemies!$1:$1,0)-MATCH($L$1,[3]enemies!$1:$1,0)+1),MATCH(AA$1,[3]enemies!$1:$1,0)-MATCH($L$1,[3]enemies!$1:$1,0)+1,FALSE)</f>
        <v>2</v>
      </c>
      <c r="AB35" s="20">
        <f t="shared" si="13"/>
        <v>158</v>
      </c>
      <c r="AC35" s="4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シスター シャルロッテ</v>
      </c>
      <c r="AD35" s="4">
        <f ca="1">VLOOKUP($AB35,OFFSET([4]characters!$A$1,0,0,COUNTA([4]characters!$A:$A),MATCH(AD$1,[4]characters!$1:$1,0)-MATCH("character_id",[4]characters!$1:$1,0)+1),MATCH(AD$1,[4]characters!$1:$1,0)-MATCH("character_id",[4]characters!$1:$1,0)+1,FALSE)</f>
        <v>3</v>
      </c>
      <c r="AE35" s="4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35" s="145">
        <v>1</v>
      </c>
      <c r="AG35" s="20">
        <f t="shared" ca="1" si="14"/>
        <v>3</v>
      </c>
      <c r="AH35" s="150">
        <v>0</v>
      </c>
      <c r="AI35" s="145">
        <v>0</v>
      </c>
      <c r="AJ35" s="145">
        <v>0</v>
      </c>
      <c r="AK35" s="145">
        <v>0</v>
      </c>
      <c r="AL35" s="145">
        <v>0</v>
      </c>
      <c r="AM35" s="145">
        <v>1</v>
      </c>
      <c r="AN35" s="151">
        <v>1</v>
      </c>
    </row>
    <row r="36" spans="1:40" ht="21" customHeight="1" x14ac:dyDescent="0.15">
      <c r="A36" s="15" t="str">
        <f t="shared" ca="1" si="10"/>
        <v>15028_3-2/169&lt;lv62&gt;s2</v>
      </c>
      <c r="B36" s="113">
        <v>15028</v>
      </c>
      <c r="C36" s="119">
        <v>3</v>
      </c>
      <c r="D36" s="2" t="str">
        <f t="shared" si="11"/>
        <v>15028_3</v>
      </c>
      <c r="E36" s="4" t="str">
        <f ca="1">VLOOKUP($B36,OFFSET([2]quests!$A$1,0,0,COUNTA([2]quests!$A:$A),MATCH(E$1,[2]quests!$1:$1,0)-MATCH($B$1,[2]quests!$1:$1,0)+1),MATCH(E$1,[2]quests!$1:$1,0)-MATCH($B$1,[2]quests!$1:$1,0)+1,FALSE)</f>
        <v>28. 暴風と灼熱の罪浄</v>
      </c>
      <c r="F36" s="4" t="str">
        <f ca="1">VLOOKUP($D36,OFFSET([2]stages!$A$1,0,0,COUNTA([2]stages!$A:$A),MATCH(F$1,[2]stages!$2:$2,0)-MATCH($D$1,[2]stages!$2:$2,0)+1),MATCH(F$1,[2]stages!$2:$2,0)-MATCH($D$1,[2]stages!$2:$2,0)+1,FALSE)</f>
        <v>28-3. 縛風の洞窟</v>
      </c>
      <c r="G36" s="114">
        <v>2</v>
      </c>
      <c r="H36" s="14" t="str">
        <f t="shared" si="12"/>
        <v>15028_3-2</v>
      </c>
      <c r="I36" s="4">
        <f ca="1">VLOOKUP($H36,OFFSET(floors!$A$1,0,0,COUNTA(floors!$A:$A),MATCH(I$1,floors!$1:$1,0)-MATCH($H$1,floors!$1:$1,0)+1),MATCH(I$1,floors!$1:$1,0)-MATCH($H$1,floors!$1:$1,0)+1,FALSE)</f>
        <v>40</v>
      </c>
      <c r="J36" s="4">
        <f ca="1">VLOOKUP($H36,OFFSET(floors!$A$1,0,0,COUNTA(floors!$A:$A),MATCH(J$1,floors!$1:$1,0)-MATCH($H$1,floors!$1:$1,0)+1),MATCH(J$1,floors!$1:$1,0)-MATCH($H$1,floors!$1:$1,0)+1,FALSE)</f>
        <v>40</v>
      </c>
      <c r="K36" s="34" t="s">
        <v>53</v>
      </c>
      <c r="L36" s="126">
        <v>169</v>
      </c>
      <c r="M36" s="16" t="str">
        <f ca="1">VLOOKUP($L36,OFFSET([3]enemies!$A$1,0,0,COUNTA([3]enemies!$A:$A),MATCH(M$1,[3]enemies!$1:$1,0)-MATCH($L$1,[3]enemies!$1:$1,0)+1),MATCH(M$1,[3]enemies!$1:$1,0)-MATCH($L$1,[3]enemies!$1:$1,0)+1,FALSE)</f>
        <v>オセ</v>
      </c>
      <c r="N36" s="16" t="str">
        <f ca="1">VLOOKUP($L36,OFFSET([3]enemies!$A$1,0,0,COUNTA([3]enemies!$A:$A),MATCH(N$1,[3]enemies!$1:$1,0)-MATCH($L$1,[3]enemies!$1:$1,0)+1),MATCH(N$1,[3]enemies!$1:$1,0)-MATCH($L$1,[3]enemies!$1:$1,0)+1,FALSE)</f>
        <v>green</v>
      </c>
      <c r="O36" s="16" t="str">
        <f ca="1">VLOOKUP($L36,OFFSET([4]characters!$A$1,0,0,COUNTA([4]characters!$A:$A),MATCH(O$1,[4]characters!$1:$1,0)-MATCH($L$1,[4]characters!$1:$1,0)+1),MATCH(O$1,[4]characters!$1:$1,0)-MATCH($L$1,[4]characters!$1:$1,0)+1,FALSE)</f>
        <v>PremiumN</v>
      </c>
      <c r="P36" s="16" t="str">
        <f ca="1">VLOOKUP($L36,OFFSET([3]enemies!$A$1,0,0,COUNTA([3]enemies!$A:$A),MATCH(P$1,[3]enemies!$1:$1,0)-MATCH($L$1,[3]enemies!$1:$1,0)+1),MATCH(P$1,[3]enemies!$1:$1,0)-MATCH($L$1,[3]enemies!$1:$1,0)+1,FALSE)</f>
        <v>god</v>
      </c>
      <c r="Q36" s="16">
        <f ca="1">VLOOKUP($L36,OFFSET([3]enemies!$A$1,0,0,COUNTA([3]enemies!$A:$A),MATCH(Q$1,[3]enemies!$1:$1,0)-MATCH($L$1,[3]enemies!$1:$1,0)+1),MATCH(Q$1,[3]enemies!$1:$1,0)-MATCH($L$1,[3]enemies!$1:$1,0)+1,FALSE)</f>
        <v>20</v>
      </c>
      <c r="R36" s="5">
        <v>62</v>
      </c>
      <c r="S36" s="176">
        <v>1</v>
      </c>
      <c r="T36" s="176">
        <v>1</v>
      </c>
      <c r="U36" s="136">
        <v>0</v>
      </c>
      <c r="V36" s="4" t="str">
        <f ca="1">VLOOKUP($W36,OFFSET(enemy_skill_sets!$B$1,0,0,COUNTA(enemy_skill_sets!$B:$B),MATCH(M$1,enemy_skill_sets!$1:$1,0)-MATCH($W$1,enemy_skill_sets!$1:$1,0)+2),MATCH(M$1,enemy_skill_sets!$1:$1,0)-MATCH($W$1,enemy_skill_sets!$1:$1,0)+2,FALSE)</f>
        <v>2回連続の全体攻撃</v>
      </c>
      <c r="W36" s="160">
        <v>15028024</v>
      </c>
      <c r="X36" s="171">
        <v>1</v>
      </c>
      <c r="Y36" s="171">
        <v>100</v>
      </c>
      <c r="Z36" s="171">
        <v>0</v>
      </c>
      <c r="AA36" s="16">
        <f ca="1">VLOOKUP($L36,OFFSET([3]enemies!$A$1,0,0,COUNTA([3]enemies!$A:$A),MATCH(AA$1,[3]enemies!$1:$1,0)-MATCH($L$1,[3]enemies!$1:$1,0)+1),MATCH(AA$1,[3]enemies!$1:$1,0)-MATCH($L$1,[3]enemies!$1:$1,0)+1,FALSE)</f>
        <v>2</v>
      </c>
      <c r="AB36" s="20">
        <f t="shared" si="13"/>
        <v>169</v>
      </c>
      <c r="AC36" s="4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オセ</v>
      </c>
      <c r="AD36" s="4">
        <f ca="1">VLOOKUP($AB36,OFFSET([4]characters!$A$1,0,0,COUNTA([4]characters!$A:$A),MATCH(AD$1,[4]characters!$1:$1,0)-MATCH("character_id",[4]characters!$1:$1,0)+1),MATCH(AD$1,[4]characters!$1:$1,0)-MATCH("character_id",[4]characters!$1:$1,0)+1,FALSE)</f>
        <v>3</v>
      </c>
      <c r="AE36" s="4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36" s="144">
        <v>1</v>
      </c>
      <c r="AG36" s="20">
        <f t="shared" ca="1" si="14"/>
        <v>3</v>
      </c>
      <c r="AH36" s="65">
        <v>0</v>
      </c>
      <c r="AI36" s="144">
        <v>0</v>
      </c>
      <c r="AJ36" s="144">
        <v>0</v>
      </c>
      <c r="AK36" s="144">
        <v>0</v>
      </c>
      <c r="AL36" s="144">
        <v>0</v>
      </c>
      <c r="AM36" s="144">
        <v>1</v>
      </c>
      <c r="AN36" s="65">
        <v>1</v>
      </c>
    </row>
    <row r="37" spans="1:40" ht="21" customHeight="1" x14ac:dyDescent="0.15">
      <c r="A37" s="15" t="str">
        <f t="shared" si="10"/>
        <v>15028_3-3/370&lt;lv62&gt;s1</v>
      </c>
      <c r="B37" s="107">
        <v>15028</v>
      </c>
      <c r="C37" s="118">
        <v>3</v>
      </c>
      <c r="D37" s="2" t="str">
        <f t="shared" si="11"/>
        <v>15028_3</v>
      </c>
      <c r="E37" s="4" t="str">
        <f ca="1">VLOOKUP($B37,OFFSET([2]quests!$A$1,0,0,COUNTA([2]quests!$A:$A),MATCH(E$1,[2]quests!$1:$1,0)-MATCH($B$1,[2]quests!$1:$1,0)+1),MATCH(E$1,[2]quests!$1:$1,0)-MATCH($B$1,[2]quests!$1:$1,0)+1,FALSE)</f>
        <v>28. 暴風と灼熱の罪浄</v>
      </c>
      <c r="F37" s="4" t="str">
        <f ca="1">VLOOKUP($D37,OFFSET([2]stages!$A$1,0,0,COUNTA([2]stages!$A:$A),MATCH(F$1,[2]stages!$2:$2,0)-MATCH($D$1,[2]stages!$2:$2,0)+1),MATCH(F$1,[2]stages!$2:$2,0)-MATCH($D$1,[2]stages!$2:$2,0)+1,FALSE)</f>
        <v>28-3. 縛風の洞窟</v>
      </c>
      <c r="G37" s="118">
        <v>3</v>
      </c>
      <c r="H37" s="14" t="str">
        <f t="shared" si="12"/>
        <v>15028_3-3</v>
      </c>
      <c r="I37" s="4">
        <f ca="1">VLOOKUP($H37,OFFSET(floors!$A$1,0,0,COUNTA(floors!$A:$A),MATCH(I$1,floors!$1:$1,0)-MATCH($H$1,floors!$1:$1,0)+1),MATCH(I$1,floors!$1:$1,0)-MATCH($H$1,floors!$1:$1,0)+1,FALSE)</f>
        <v>60</v>
      </c>
      <c r="J37" s="4">
        <f ca="1">VLOOKUP($H37,OFFSET(floors!$A$1,0,0,COUNTA(floors!$A:$A),MATCH(J$1,floors!$1:$1,0)-MATCH($H$1,floors!$1:$1,0)+1),MATCH(J$1,floors!$1:$1,0)-MATCH($H$1,floors!$1:$1,0)+1,FALSE)</f>
        <v>60</v>
      </c>
      <c r="K37" s="103" t="s">
        <v>53</v>
      </c>
      <c r="L37" s="130">
        <v>370</v>
      </c>
      <c r="M37" s="16" t="str">
        <f ca="1">VLOOKUP($L37,OFFSET([3]enemies!$A$1,0,0,COUNTA([3]enemies!$A:$A),MATCH(M$1,[3]enemies!$1:$1,0)-MATCH($L$1,[3]enemies!$1:$1,0)+1),MATCH(M$1,[3]enemies!$1:$1,0)-MATCH($L$1,[3]enemies!$1:$1,0)+1,FALSE)</f>
        <v>タイチ</v>
      </c>
      <c r="N37" s="16" t="str">
        <f ca="1">VLOOKUP($L37,OFFSET([3]enemies!$A$1,0,0,COUNTA([3]enemies!$A:$A),MATCH(N$1,[3]enemies!$1:$1,0)-MATCH($L$1,[3]enemies!$1:$1,0)+1),MATCH(N$1,[3]enemies!$1:$1,0)-MATCH($L$1,[3]enemies!$1:$1,0)+1,FALSE)</f>
        <v>red</v>
      </c>
      <c r="O37" s="16" t="str">
        <f ca="1">VLOOKUP($L37,OFFSET([4]characters!$A$1,0,0,COUNTA([4]characters!$A:$A),MATCH(O$1,[4]characters!$1:$1,0)-MATCH($L$1,[4]characters!$1:$1,0)+1),MATCH(O$1,[4]characters!$1:$1,0)-MATCH($L$1,[4]characters!$1:$1,0)+1,FALSE)</f>
        <v>Drop1S</v>
      </c>
      <c r="P37" s="16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16">
        <f ca="1">VLOOKUP($L37,OFFSET([3]enemies!$A$1,0,0,COUNTA([3]enemies!$A:$A),MATCH(Q$1,[3]enemies!$1:$1,0)-MATCH($L$1,[3]enemies!$1:$1,0)+1),MATCH(Q$1,[3]enemies!$1:$1,0)-MATCH($L$1,[3]enemies!$1:$1,0)+1,FALSE)</f>
        <v>15</v>
      </c>
      <c r="R37" s="5">
        <v>62</v>
      </c>
      <c r="S37" s="162">
        <v>1.7</v>
      </c>
      <c r="T37" s="162">
        <v>1.3</v>
      </c>
      <c r="U37" s="137">
        <v>0</v>
      </c>
      <c r="V37" s="4" t="str">
        <f ca="1">VLOOKUP($W37,OFFSET(enemy_skill_sets!$B$1,0,0,COUNTA(enemy_skill_sets!$B:$B),MATCH(M$1,enemy_skill_sets!$1:$1,0)-MATCH($W$1,enemy_skill_sets!$1:$1,0)+2),MATCH(M$1,enemy_skill_sets!$1:$1,0)-MATCH($W$1,enemy_skill_sets!$1:$1,0)+2,FALSE)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37" s="160">
        <v>15028002</v>
      </c>
      <c r="X37" s="172">
        <v>1</v>
      </c>
      <c r="Y37" s="172">
        <v>100</v>
      </c>
      <c r="Z37" s="172">
        <v>2</v>
      </c>
      <c r="AA37" s="161">
        <v>1</v>
      </c>
      <c r="AB37" s="20">
        <f t="shared" si="13"/>
        <v>370</v>
      </c>
      <c r="AC37" s="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37" s="4">
        <f ca="1">VLOOKUP($AB37,OFFSET([4]characters!$A$1,0,0,COUNTA([4]characters!$A:$A),MATCH(AD$1,[4]characters!$1:$1,0)-MATCH("character_id",[4]characters!$1:$1,0)+1),MATCH(AD$1,[4]characters!$1:$1,0)-MATCH("character_id",[4]characters!$1:$1,0)+1,FALSE)</f>
        <v>2</v>
      </c>
      <c r="AE37" s="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Drop1S</v>
      </c>
      <c r="AF37" s="147">
        <v>1</v>
      </c>
      <c r="AG37" s="20">
        <f t="shared" ca="1" si="14"/>
        <v>2</v>
      </c>
      <c r="AH37" s="154">
        <v>0</v>
      </c>
      <c r="AI37" s="147">
        <v>0</v>
      </c>
      <c r="AJ37" s="147">
        <v>0</v>
      </c>
      <c r="AK37" s="147">
        <v>0</v>
      </c>
      <c r="AL37" s="147">
        <v>0</v>
      </c>
      <c r="AM37" s="147">
        <v>1</v>
      </c>
      <c r="AN37" s="155">
        <v>1</v>
      </c>
    </row>
    <row r="38" spans="1:40" ht="21" customHeight="1" x14ac:dyDescent="0.15">
      <c r="A38" s="15" t="str">
        <f t="shared" ca="1" si="10"/>
        <v>15028_3-3/4&lt;lv62&gt;s2</v>
      </c>
      <c r="B38" s="107">
        <v>15028</v>
      </c>
      <c r="C38" s="119">
        <v>3</v>
      </c>
      <c r="D38" s="2" t="str">
        <f t="shared" si="11"/>
        <v>15028_3</v>
      </c>
      <c r="E38" s="4" t="str">
        <f ca="1">VLOOKUP($B38,OFFSET([2]quests!$A$1,0,0,COUNTA([2]quests!$A:$A),MATCH(E$1,[2]quests!$1:$1,0)-MATCH($B$1,[2]quests!$1:$1,0)+1),MATCH(E$1,[2]quests!$1:$1,0)-MATCH($B$1,[2]quests!$1:$1,0)+1,FALSE)</f>
        <v>28. 暴風と灼熱の罪浄</v>
      </c>
      <c r="F38" s="4" t="str">
        <f ca="1">VLOOKUP($D38,OFFSET([2]stages!$A$1,0,0,COUNTA([2]stages!$A:$A),MATCH(F$1,[2]stages!$2:$2,0)-MATCH($D$1,[2]stages!$2:$2,0)+1),MATCH(F$1,[2]stages!$2:$2,0)-MATCH($D$1,[2]stages!$2:$2,0)+1,FALSE)</f>
        <v>28-3. 縛風の洞窟</v>
      </c>
      <c r="G38" s="119">
        <v>3</v>
      </c>
      <c r="H38" s="14" t="str">
        <f t="shared" si="12"/>
        <v>15028_3-3</v>
      </c>
      <c r="I38" s="4">
        <f ca="1">VLOOKUP($H38,OFFSET(floors!$A$1,0,0,COUNTA(floors!$A:$A),MATCH(I$1,floors!$1:$1,0)-MATCH($H$1,floors!$1:$1,0)+1),MATCH(I$1,floors!$1:$1,0)-MATCH($H$1,floors!$1:$1,0)+1,FALSE)</f>
        <v>60</v>
      </c>
      <c r="J38" s="4">
        <f ca="1">VLOOKUP($H38,OFFSET(floors!$A$1,0,0,COUNTA(floors!$A:$A),MATCH(J$1,floors!$1:$1,0)-MATCH($H$1,floors!$1:$1,0)+1),MATCH(J$1,floors!$1:$1,0)-MATCH($H$1,floors!$1:$1,0)+1,FALSE)</f>
        <v>60</v>
      </c>
      <c r="K38" s="34" t="s">
        <v>53</v>
      </c>
      <c r="L38" s="126">
        <v>4</v>
      </c>
      <c r="M38" s="16" t="str">
        <f ca="1">VLOOKUP($L38,OFFSET([3]enemies!$A$1,0,0,COUNTA([3]enemies!$A:$A),MATCH(M$1,[3]enemies!$1:$1,0)-MATCH($L$1,[3]enemies!$1:$1,0)+1),MATCH(M$1,[3]enemies!$1:$1,0)-MATCH($L$1,[3]enemies!$1:$1,0)+1,FALSE)</f>
        <v>エースエージェント ジョー</v>
      </c>
      <c r="N38" s="16" t="str">
        <f ca="1">VLOOKUP($L38,OFFSET([3]enemies!$A$1,0,0,COUNTA([3]enemies!$A:$A),MATCH(N$1,[3]enemies!$1:$1,0)-MATCH($L$1,[3]enemies!$1:$1,0)+1),MATCH(N$1,[3]enemies!$1:$1,0)-MATCH($L$1,[3]enemies!$1:$1,0)+1,FALSE)</f>
        <v>green</v>
      </c>
      <c r="O38" s="16" t="str">
        <f ca="1">VLOOKUP($L38,OFFSET([4]characters!$A$1,0,0,COUNTA([4]characters!$A:$A),MATCH(O$1,[4]characters!$1:$1,0)-MATCH($L$1,[4]characters!$1:$1,0)+1),MATCH(O$1,[4]characters!$1:$1,0)-MATCH($L$1,[4]characters!$1:$1,0)+1,FALSE)</f>
        <v>Drop1T</v>
      </c>
      <c r="P38" s="16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16">
        <f ca="1">VLOOKUP($L38,OFFSET([3]enemies!$A$1,0,0,COUNTA([3]enemies!$A:$A),MATCH(Q$1,[3]enemies!$1:$1,0)-MATCH($L$1,[3]enemies!$1:$1,0)+1),MATCH(Q$1,[3]enemies!$1:$1,0)-MATCH($L$1,[3]enemies!$1:$1,0)+1,FALSE)</f>
        <v>15</v>
      </c>
      <c r="R38" s="5">
        <v>62</v>
      </c>
      <c r="S38" s="162">
        <v>2.2999999999999998</v>
      </c>
      <c r="T38" s="162">
        <v>1.5</v>
      </c>
      <c r="U38" s="5">
        <v>0</v>
      </c>
      <c r="V38" s="4" t="str">
        <f ca="1">VLOOKUP($W38,OFFSET(enemy_skill_sets!$B$1,0,0,COUNTA(enemy_skill_sets!$B:$B),MATCH(M$1,enemy_skill_sets!$1:$1,0)-MATCH($W$1,enemy_skill_sets!$1:$1,0)+2),MATCH(M$1,enemy_skill_sets!$1:$1,0)-MATCH($W$1,enemy_skill_sets!$1:$1,0)+2,FALSE)</f>
        <v>ハートパネルを14個お邪魔パネルに変える！</v>
      </c>
      <c r="W38" s="160">
        <v>15028025</v>
      </c>
      <c r="X38" s="164">
        <v>1</v>
      </c>
      <c r="Y38" s="164">
        <v>100</v>
      </c>
      <c r="Z38" s="164">
        <v>0</v>
      </c>
      <c r="AA38" s="16">
        <f ca="1">VLOOKUP($L38,OFFSET([3]enemies!$A$1,0,0,COUNTA([3]enemies!$A:$A),MATCH(AA$1,[3]enemies!$1:$1,0)-MATCH($L$1,[3]enemies!$1:$1,0)+1),MATCH(AA$1,[3]enemies!$1:$1,0)-MATCH($L$1,[3]enemies!$1:$1,0)+1,FALSE)</f>
        <v>2</v>
      </c>
      <c r="AB38" s="20">
        <f t="shared" si="13"/>
        <v>4</v>
      </c>
      <c r="AC38" s="4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エースエージェント ジョー</v>
      </c>
      <c r="AD38" s="4">
        <f ca="1">VLOOKUP($AB38,OFFSET([4]characters!$A$1,0,0,COUNTA([4]characters!$A:$A),MATCH(AD$1,[4]characters!$1:$1,0)-MATCH("character_id",[4]characters!$1:$1,0)+1),MATCH(AD$1,[4]characters!$1:$1,0)-MATCH("character_id",[4]characters!$1:$1,0)+1,FALSE)</f>
        <v>2</v>
      </c>
      <c r="AE38" s="4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Drop1T</v>
      </c>
      <c r="AF38" s="144">
        <v>1</v>
      </c>
      <c r="AG38" s="20">
        <f t="shared" ca="1" si="14"/>
        <v>2</v>
      </c>
      <c r="AH38" s="8">
        <v>0</v>
      </c>
      <c r="AI38" s="144">
        <v>0</v>
      </c>
      <c r="AJ38" s="144">
        <v>0</v>
      </c>
      <c r="AK38" s="144">
        <v>0</v>
      </c>
      <c r="AL38" s="144">
        <v>0</v>
      </c>
      <c r="AM38" s="144">
        <v>1</v>
      </c>
      <c r="AN38" s="65">
        <v>1</v>
      </c>
    </row>
    <row r="39" spans="1:40" ht="21" customHeight="1" x14ac:dyDescent="0.15">
      <c r="A39" s="15" t="str">
        <f t="shared" ref="A39" si="35">B39&amp;"_"&amp;C39&amp;"-"&amp;G39&amp;"/"&amp;L39&amp;"&lt;lv"&amp;R39&amp;"&gt;s"&amp;AA39</f>
        <v>15028_3-3/350&lt;lv62&gt;s1</v>
      </c>
      <c r="B39" s="107">
        <v>15028</v>
      </c>
      <c r="C39" s="119">
        <v>3</v>
      </c>
      <c r="D39" s="2" t="str">
        <f t="shared" ref="D39" si="36">B39&amp;"_"&amp;C39</f>
        <v>15028_3</v>
      </c>
      <c r="E39" s="4" t="str">
        <f ca="1">VLOOKUP($B39,OFFSET([2]quests!$A$1,0,0,COUNTA([2]quests!$A:$A),MATCH(E$1,[2]quests!$1:$1,0)-MATCH($B$1,[2]quests!$1:$1,0)+1),MATCH(E$1,[2]quests!$1:$1,0)-MATCH($B$1,[2]quests!$1:$1,0)+1,FALSE)</f>
        <v>28. 暴風と灼熱の罪浄</v>
      </c>
      <c r="F39" s="4" t="str">
        <f ca="1">VLOOKUP($D39,OFFSET([2]stages!$A$1,0,0,COUNTA([2]stages!$A:$A),MATCH(F$1,[2]stages!$2:$2,0)-MATCH($D$1,[2]stages!$2:$2,0)+1),MATCH(F$1,[2]stages!$2:$2,0)-MATCH($D$1,[2]stages!$2:$2,0)+1,FALSE)</f>
        <v>28-3. 縛風の洞窟</v>
      </c>
      <c r="G39" s="119">
        <v>3</v>
      </c>
      <c r="H39" s="14" t="str">
        <f t="shared" ref="H39" si="37">B39&amp;"_"&amp;C39&amp;"-"&amp;G39</f>
        <v>15028_3-3</v>
      </c>
      <c r="I39" s="4">
        <f ca="1">VLOOKUP($H39,OFFSET(floors!$A$1,0,0,COUNTA(floors!$A:$A),MATCH(I$1,floors!$1:$1,0)-MATCH($H$1,floors!$1:$1,0)+1),MATCH(I$1,floors!$1:$1,0)-MATCH($H$1,floors!$1:$1,0)+1,FALSE)</f>
        <v>60</v>
      </c>
      <c r="J39" s="4">
        <f ca="1">VLOOKUP($H39,OFFSET(floors!$A$1,0,0,COUNTA(floors!$A:$A),MATCH(J$1,floors!$1:$1,0)-MATCH($H$1,floors!$1:$1,0)+1),MATCH(J$1,floors!$1:$1,0)-MATCH($H$1,floors!$1:$1,0)+1,FALSE)</f>
        <v>60</v>
      </c>
      <c r="K39" s="34" t="s">
        <v>53</v>
      </c>
      <c r="L39" s="126">
        <v>350</v>
      </c>
      <c r="M39" s="16" t="str">
        <f ca="1">VLOOKUP($L39,OFFSET([3]enemies!$A$1,0,0,COUNTA([3]enemies!$A:$A),MATCH(M$1,[3]enemies!$1:$1,0)-MATCH($L$1,[3]enemies!$1:$1,0)+1),MATCH(M$1,[3]enemies!$1:$1,0)-MATCH($L$1,[3]enemies!$1:$1,0)+1,FALSE)</f>
        <v>森のケロケロ</v>
      </c>
      <c r="N39" s="16" t="str">
        <f ca="1">VLOOKUP($L39,OFFSET([3]enemies!$A$1,0,0,COUNTA([3]enemies!$A:$A),MATCH(N$1,[3]enemies!$1:$1,0)-MATCH($L$1,[3]enemies!$1:$1,0)+1),MATCH(N$1,[3]enemies!$1:$1,0)-MATCH($L$1,[3]enemies!$1:$1,0)+1,FALSE)</f>
        <v>green</v>
      </c>
      <c r="O39" s="16" t="str">
        <f ca="1">VLOOKUP($L39,OFFSET([4]characters!$A$1,0,0,COUNTA([4]characters!$A:$A),MATCH(O$1,[4]characters!$1:$1,0)-MATCH($L$1,[4]characters!$1:$1,0)+1),MATCH(O$1,[4]characters!$1:$1,0)-MATCH($L$1,[4]characters!$1:$1,0)+1,FALSE)</f>
        <v>Material</v>
      </c>
      <c r="P39" s="16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16">
        <f ca="1">VLOOKUP($L39,OFFSET([3]enemies!$A$1,0,0,COUNTA([3]enemies!$A:$A),MATCH(Q$1,[3]enemies!$1:$1,0)-MATCH($L$1,[3]enemies!$1:$1,0)+1),MATCH(Q$1,[3]enemies!$1:$1,0)-MATCH($L$1,[3]enemies!$1:$1,0)+1,FALSE)</f>
        <v>15</v>
      </c>
      <c r="R39" s="5">
        <v>62</v>
      </c>
      <c r="S39" s="162">
        <v>1.7</v>
      </c>
      <c r="T39" s="162">
        <v>1.8</v>
      </c>
      <c r="U39" s="5">
        <v>0</v>
      </c>
      <c r="V39" s="4" t="e">
        <f ca="1">VLOOKUP($W39,OFFSET(enemy_skill_sets!$B$1,0,0,COUNTA(enemy_skill_sets!$B:$B),MATCH(M$1,enemy_skill_sets!$1:$1,0)-MATCH($W$1,enemy_skill_sets!$1:$1,0)+2),MATCH(M$1,enemy_skill_sets!$1:$1,0)-MATCH($W$1,enemy_skill_sets!$1:$1,0)+2,FALSE)</f>
        <v>#N/A</v>
      </c>
      <c r="W39" s="4">
        <f ca="1">VLOOKUP($L39,OFFSET([3]enemies!$A$1,0,0,COUNTA([3]enemies!$A:$A),MATCH(W$1,[3]enemies!$1:$1,0)-MATCH($L$1,[3]enemies!$1:$1,0)+1),MATCH(W$1,[3]enemies!$1:$1,0)-MATCH($L$1,[3]enemies!$1:$1,0)+1,FALSE)</f>
        <v>0</v>
      </c>
      <c r="X39" s="164">
        <v>1</v>
      </c>
      <c r="Y39" s="164">
        <v>100</v>
      </c>
      <c r="Z39" s="164">
        <v>1</v>
      </c>
      <c r="AA39" s="161">
        <v>1</v>
      </c>
      <c r="AB39" s="20">
        <f t="shared" ref="AB39" si="38">L39</f>
        <v>350</v>
      </c>
      <c r="AC39" s="4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39" s="4">
        <f ca="1">VLOOKUP($AB39,OFFSET([4]characters!$A$1,0,0,COUNTA([4]characters!$A:$A),MATCH(AD$1,[4]characters!$1:$1,0)-MATCH("character_id",[4]characters!$1:$1,0)+1),MATCH(AD$1,[4]characters!$1:$1,0)-MATCH("character_id",[4]characters!$1:$1,0)+1,FALSE)</f>
        <v>2</v>
      </c>
      <c r="AE39" s="4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9" s="144">
        <v>10</v>
      </c>
      <c r="AG39" s="20">
        <f t="shared" ref="AG39" ca="1" si="39">AD39</f>
        <v>2</v>
      </c>
      <c r="AH39" s="174">
        <v>100</v>
      </c>
      <c r="AI39" s="144">
        <v>0</v>
      </c>
      <c r="AJ39" s="144">
        <v>0</v>
      </c>
      <c r="AK39" s="144">
        <v>0</v>
      </c>
      <c r="AL39" s="144">
        <v>0</v>
      </c>
      <c r="AM39" s="144">
        <v>1</v>
      </c>
      <c r="AN39" s="65">
        <v>1</v>
      </c>
    </row>
    <row r="40" spans="1:40" ht="21" customHeight="1" thickBot="1" x14ac:dyDescent="0.2">
      <c r="A40" s="15" t="str">
        <f t="shared" si="10"/>
        <v>15028_3-4/495&lt;lv67&gt;s2</v>
      </c>
      <c r="B40" s="109">
        <v>15028</v>
      </c>
      <c r="C40" s="120">
        <v>3</v>
      </c>
      <c r="D40" s="2" t="str">
        <f t="shared" si="11"/>
        <v>15028_3</v>
      </c>
      <c r="E40" s="4" t="str">
        <f ca="1">VLOOKUP($B40,OFFSET([2]quests!$A$1,0,0,COUNTA([2]quests!$A:$A),MATCH(E$1,[2]quests!$1:$1,0)-MATCH($B$1,[2]quests!$1:$1,0)+1),MATCH(E$1,[2]quests!$1:$1,0)-MATCH($B$1,[2]quests!$1:$1,0)+1,FALSE)</f>
        <v>28. 暴風と灼熱の罪浄</v>
      </c>
      <c r="F40" s="4" t="str">
        <f ca="1">VLOOKUP($D40,OFFSET([2]stages!$A$1,0,0,COUNTA([2]stages!$A:$A),MATCH(F$1,[2]stages!$2:$2,0)-MATCH($D$1,[2]stages!$2:$2,0)+1),MATCH(F$1,[2]stages!$2:$2,0)-MATCH($D$1,[2]stages!$2:$2,0)+1,FALSE)</f>
        <v>28-3. 縛風の洞窟</v>
      </c>
      <c r="G40" s="125">
        <v>4</v>
      </c>
      <c r="H40" s="14" t="str">
        <f t="shared" si="12"/>
        <v>15028_3-4</v>
      </c>
      <c r="I40" s="4">
        <f ca="1">VLOOKUP($H40,OFFSET(floors!$A$1,0,0,COUNTA(floors!$A:$A),MATCH(I$1,floors!$1:$1,0)-MATCH($H$1,floors!$1:$1,0)+1),MATCH(I$1,floors!$1:$1,0)-MATCH($H$1,floors!$1:$1,0)+1,FALSE)</f>
        <v>60</v>
      </c>
      <c r="J40" s="4">
        <f ca="1">VLOOKUP($H40,OFFSET(floors!$A$1,0,0,COUNTA(floors!$A:$A),MATCH(J$1,floors!$1:$1,0)-MATCH($H$1,floors!$1:$1,0)+1),MATCH(J$1,floors!$1:$1,0)-MATCH($H$1,floors!$1:$1,0)+1,FALSE)</f>
        <v>60</v>
      </c>
      <c r="K40" s="105">
        <v>3</v>
      </c>
      <c r="L40" s="127">
        <v>495</v>
      </c>
      <c r="M40" s="16" t="str">
        <f ca="1">VLOOKUP($L40,OFFSET([3]enemies!$A$1,0,0,COUNTA([3]enemies!$A:$A),MATCH(M$1,[3]enemies!$1:$1,0)-MATCH($L$1,[3]enemies!$1:$1,0)+1),MATCH(M$1,[3]enemies!$1:$1,0)-MATCH($L$1,[3]enemies!$1:$1,0)+1,FALSE)</f>
        <v>鼠災呼ぶ笛音 ハーメルン</v>
      </c>
      <c r="N40" s="16" t="str">
        <f ca="1">VLOOKUP($L40,OFFSET([3]enemies!$A$1,0,0,COUNTA([3]enemies!$A:$A),MATCH(N$1,[3]enemies!$1:$1,0)-MATCH($L$1,[3]enemies!$1:$1,0)+1),MATCH(N$1,[3]enemies!$1:$1,0)-MATCH($L$1,[3]enemies!$1:$1,0)+1,FALSE)</f>
        <v>green</v>
      </c>
      <c r="O40" s="16" t="str">
        <f ca="1">VLOOKUP($L40,OFFSET([4]characters!$A$1,0,0,COUNTA([4]characters!$A:$A),MATCH(O$1,[4]characters!$1:$1,0)-MATCH($L$1,[4]characters!$1:$1,0)+1),MATCH(O$1,[4]characters!$1:$1,0)-MATCH($L$1,[4]characters!$1:$1,0)+1,FALSE)</f>
        <v>PremiumSS</v>
      </c>
      <c r="P40" s="16" t="str">
        <f ca="1">VLOOKUP($L40,OFFSET([3]enemies!$A$1,0,0,COUNTA([3]enemies!$A:$A),MATCH(P$1,[3]enemies!$1:$1,0)-MATCH($L$1,[3]enemies!$1:$1,0)+1),MATCH(P$1,[3]enemies!$1:$1,0)-MATCH($L$1,[3]enemies!$1:$1,0)+1,FALSE)</f>
        <v>human</v>
      </c>
      <c r="Q40" s="16">
        <f ca="1">VLOOKUP($L40,OFFSET([3]enemies!$A$1,0,0,COUNTA([3]enemies!$A:$A),MATCH(Q$1,[3]enemies!$1:$1,0)-MATCH($L$1,[3]enemies!$1:$1,0)+1),MATCH(Q$1,[3]enemies!$1:$1,0)-MATCH($L$1,[3]enemies!$1:$1,0)+1,FALSE)</f>
        <v>60</v>
      </c>
      <c r="R40" s="5">
        <v>67</v>
      </c>
      <c r="S40" s="133">
        <v>2</v>
      </c>
      <c r="T40" s="133">
        <v>1</v>
      </c>
      <c r="U40" s="134">
        <v>0</v>
      </c>
      <c r="V40" s="4" t="str">
        <f ca="1">VLOOKUP($W40,OFFSET(enemy_skill_sets!$B$1,0,0,COUNTA(enemy_skill_sets!$B:$B),MATCH(M$1,enemy_skill_sets!$1:$1,0)-MATCH($W$1,enemy_skill_sets!$1:$1,0)+2),MATCH(M$1,enemy_skill_sets!$1:$1,0)-MATCH($W$1,enemy_skill_sets!$1:$1,0)+2,FALSE)</f>
        <v>4ターンパネル変換が行えない！</v>
      </c>
      <c r="W40" s="160">
        <v>15028026</v>
      </c>
      <c r="X40" s="169">
        <v>1</v>
      </c>
      <c r="Y40" s="169">
        <v>100</v>
      </c>
      <c r="Z40" s="169">
        <v>1</v>
      </c>
      <c r="AA40" s="161">
        <v>2</v>
      </c>
      <c r="AB40" s="20">
        <f t="shared" si="13"/>
        <v>495</v>
      </c>
      <c r="AC40" s="4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鼠災呼ぶ笛音 ハーメルン</v>
      </c>
      <c r="AD40" s="4">
        <f ca="1">VLOOKUP($AB40,OFFSET([4]characters!$A$1,0,0,COUNTA([4]characters!$A:$A),MATCH(AD$1,[4]characters!$1:$1,0)-MATCH("character_id",[4]characters!$1:$1,0)+1),MATCH(AD$1,[4]characters!$1:$1,0)-MATCH("character_id",[4]characters!$1:$1,0)+1,FALSE)</f>
        <v>5</v>
      </c>
      <c r="AE40" s="4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40" s="145">
        <v>1</v>
      </c>
      <c r="AG40" s="20">
        <f t="shared" ca="1" si="14"/>
        <v>5</v>
      </c>
      <c r="AH40" s="150">
        <v>0</v>
      </c>
      <c r="AI40" s="145">
        <v>0</v>
      </c>
      <c r="AJ40" s="145">
        <v>0</v>
      </c>
      <c r="AK40" s="145">
        <v>0</v>
      </c>
      <c r="AL40" s="145">
        <v>0</v>
      </c>
      <c r="AM40" s="145">
        <v>1</v>
      </c>
      <c r="AN40" s="151">
        <v>1</v>
      </c>
    </row>
    <row r="41" spans="1:40" ht="21" customHeight="1" x14ac:dyDescent="0.15">
      <c r="A41" s="15" t="str">
        <f t="shared" ca="1" si="10"/>
        <v>15028_4-1/338&lt;lv1&gt;s3</v>
      </c>
      <c r="B41" s="121">
        <v>15028</v>
      </c>
      <c r="C41" s="93">
        <v>4</v>
      </c>
      <c r="D41" s="2" t="str">
        <f t="shared" si="11"/>
        <v>15028_4</v>
      </c>
      <c r="E41" s="4" t="str">
        <f ca="1">VLOOKUP($B41,OFFSET([2]quests!$A$1,0,0,COUNTA([2]quests!$A:$A),MATCH(E$1,[2]quests!$1:$1,0)-MATCH($B$1,[2]quests!$1:$1,0)+1),MATCH(E$1,[2]quests!$1:$1,0)-MATCH($B$1,[2]quests!$1:$1,0)+1,FALSE)</f>
        <v>28. 暴風と灼熱の罪浄</v>
      </c>
      <c r="F41" s="4" t="str">
        <f ca="1">VLOOKUP($D41,OFFSET([2]stages!$A$1,0,0,COUNTA([2]stages!$A:$A),MATCH(F$1,[2]stages!$2:$2,0)-MATCH($D$1,[2]stages!$2:$2,0)+1),MATCH(F$1,[2]stages!$2:$2,0)-MATCH($D$1,[2]stages!$2:$2,0)+1,FALSE)</f>
        <v>28-4. 【1回のみ】ボーナスステージ</v>
      </c>
      <c r="G41" s="93">
        <v>1</v>
      </c>
      <c r="H41" s="14" t="str">
        <f t="shared" si="12"/>
        <v>15028_4-1</v>
      </c>
      <c r="I41" s="4">
        <f ca="1">VLOOKUP($H41,OFFSET(floors!$A$1,0,0,COUNTA(floors!$A:$A),MATCH(I$1,floors!$1:$1,0)-MATCH($H$1,floors!$1:$1,0)+1),MATCH(I$1,floors!$1:$1,0)-MATCH($H$1,floors!$1:$1,0)+1,FALSE)</f>
        <v>40</v>
      </c>
      <c r="J41" s="4">
        <f ca="1">VLOOKUP($H41,OFFSET(floors!$A$1,0,0,COUNTA(floors!$A:$A),MATCH(J$1,floors!$1:$1,0)-MATCH($H$1,floors!$1:$1,0)+1),MATCH(J$1,floors!$1:$1,0)-MATCH($H$1,floors!$1:$1,0)+1,FALSE)</f>
        <v>40</v>
      </c>
      <c r="K41" s="98" t="s">
        <v>53</v>
      </c>
      <c r="L41" s="132">
        <v>338</v>
      </c>
      <c r="M41" s="16" t="str">
        <f ca="1">VLOOKUP($L41,OFFSET([3]enemies!$A$1,0,0,COUNTA([3]enemies!$A:$A),MATCH(M$1,[3]enemies!$1:$1,0)-MATCH($L$1,[3]enemies!$1:$1,0)+1),MATCH(M$1,[3]enemies!$1:$1,0)-MATCH($L$1,[3]enemies!$1:$1,0)+1,FALSE)</f>
        <v>森のメタルダック</v>
      </c>
      <c r="N41" s="16" t="str">
        <f ca="1">VLOOKUP($L41,OFFSET([3]enemies!$A$1,0,0,COUNTA([3]enemies!$A:$A),MATCH(N$1,[3]enemies!$1:$1,0)-MATCH($L$1,[3]enemies!$1:$1,0)+1),MATCH(N$1,[3]enemies!$1:$1,0)-MATCH($L$1,[3]enemies!$1:$1,0)+1,FALSE)</f>
        <v>green</v>
      </c>
      <c r="O41" s="16" t="str">
        <f ca="1">VLOOKUP($L41,OFFSET([4]characters!$A$1,0,0,COUNTA([4]characters!$A:$A),MATCH(O$1,[4]characters!$1:$1,0)-MATCH($L$1,[4]characters!$1:$1,0)+1),MATCH(O$1,[4]characters!$1:$1,0)-MATCH($L$1,[4]characters!$1:$1,0)+1,FALSE)</f>
        <v>Material</v>
      </c>
      <c r="P41" s="16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6">
        <f ca="1">VLOOKUP($L41,OFFSET([3]enemies!$A$1,0,0,COUNTA([3]enemies!$A:$A),MATCH(Q$1,[3]enemies!$1:$1,0)-MATCH($L$1,[3]enemies!$1:$1,0)+1),MATCH(Q$1,[3]enemies!$1:$1,0)-MATCH($L$1,[3]enemies!$1:$1,0)+1,FALSE)</f>
        <v>20</v>
      </c>
      <c r="R41" s="5">
        <v>1</v>
      </c>
      <c r="S41" s="140">
        <v>1</v>
      </c>
      <c r="T41" s="140">
        <v>1</v>
      </c>
      <c r="U41" s="141">
        <v>0</v>
      </c>
      <c r="V41" s="4" t="e">
        <f ca="1">VLOOKUP($W41,OFFSET(enemy_skill_sets!$B$1,0,0,COUNTA(enemy_skill_sets!$B:$B),MATCH(M$1,enemy_skill_sets!$1:$1,0)-MATCH($W$1,enemy_skill_sets!$1:$1,0)+2),MATCH(M$1,enemy_skill_sets!$1:$1,0)-MATCH($W$1,enemy_skill_sets!$1:$1,0)+2,FALSE)</f>
        <v>#N/A</v>
      </c>
      <c r="W41" s="4">
        <f ca="1">VLOOKUP($L41,OFFSET([3]enemies!$A$1,0,0,COUNTA([3]enemies!$A:$A),MATCH(W$1,[3]enemies!$1:$1,0)-MATCH($L$1,[3]enemies!$1:$1,0)+1),MATCH(W$1,[3]enemies!$1:$1,0)-MATCH($L$1,[3]enemies!$1:$1,0)+1,FALSE)</f>
        <v>0</v>
      </c>
      <c r="X41" s="143">
        <v>1</v>
      </c>
      <c r="Y41" s="143">
        <v>100</v>
      </c>
      <c r="Z41" s="143">
        <v>1</v>
      </c>
      <c r="AA41" s="16">
        <f ca="1">VLOOKUP($L41,OFFSET([3]enemies!$A$1,0,0,COUNTA([3]enemies!$A:$A),MATCH(AA$1,[3]enemies!$1:$1,0)-MATCH($L$1,[3]enemies!$1:$1,0)+1),MATCH(AA$1,[3]enemies!$1:$1,0)-MATCH($L$1,[3]enemies!$1:$1,0)+1,FALSE)</f>
        <v>3</v>
      </c>
      <c r="AB41" s="20">
        <f t="shared" si="13"/>
        <v>338</v>
      </c>
      <c r="AC41" s="4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41" s="4">
        <f ca="1">VLOOKUP($AB41,OFFSET([4]characters!$A$1,0,0,COUNTA([4]characters!$A:$A),MATCH(AD$1,[4]characters!$1:$1,0)-MATCH("character_id",[4]characters!$1:$1,0)+1),MATCH(AD$1,[4]characters!$1:$1,0)-MATCH("character_id",[4]characters!$1:$1,0)+1,FALSE)</f>
        <v>5</v>
      </c>
      <c r="AE41" s="4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1" s="149">
        <v>1</v>
      </c>
      <c r="AG41" s="20">
        <f t="shared" ca="1" si="14"/>
        <v>5</v>
      </c>
      <c r="AH41" s="158">
        <v>100</v>
      </c>
      <c r="AI41" s="149">
        <v>0</v>
      </c>
      <c r="AJ41" s="149">
        <v>0</v>
      </c>
      <c r="AK41" s="149">
        <v>0</v>
      </c>
      <c r="AL41" s="149">
        <v>0</v>
      </c>
      <c r="AM41" s="149">
        <v>1</v>
      </c>
      <c r="AN41" s="159">
        <v>1</v>
      </c>
    </row>
    <row r="42" spans="1:40" ht="21" customHeight="1" x14ac:dyDescent="0.15">
      <c r="A42" s="15" t="str">
        <f t="shared" ca="1" si="10"/>
        <v>15028_4-1/334&lt;lv1&gt;s3</v>
      </c>
      <c r="B42" s="107">
        <v>15028</v>
      </c>
      <c r="C42" s="94">
        <v>4</v>
      </c>
      <c r="D42" s="2" t="str">
        <f t="shared" si="11"/>
        <v>15028_4</v>
      </c>
      <c r="E42" s="4" t="str">
        <f ca="1">VLOOKUP($B42,OFFSET([2]quests!$A$1,0,0,COUNTA([2]quests!$A:$A),MATCH(E$1,[2]quests!$1:$1,0)-MATCH($B$1,[2]quests!$1:$1,0)+1),MATCH(E$1,[2]quests!$1:$1,0)-MATCH($B$1,[2]quests!$1:$1,0)+1,FALSE)</f>
        <v>28. 暴風と灼熱の罪浄</v>
      </c>
      <c r="F42" s="4" t="str">
        <f ca="1">VLOOKUP($D42,OFFSET([2]stages!$A$1,0,0,COUNTA([2]stages!$A:$A),MATCH(F$1,[2]stages!$2:$2,0)-MATCH($D$1,[2]stages!$2:$2,0)+1),MATCH(F$1,[2]stages!$2:$2,0)-MATCH($D$1,[2]stages!$2:$2,0)+1,FALSE)</f>
        <v>28-4. 【1回のみ】ボーナスステージ</v>
      </c>
      <c r="G42" s="94">
        <v>1</v>
      </c>
      <c r="H42" s="14" t="str">
        <f t="shared" si="12"/>
        <v>15028_4-1</v>
      </c>
      <c r="I42" s="4">
        <f ca="1">VLOOKUP($H42,OFFSET(floors!$A$1,0,0,COUNTA(floors!$A:$A),MATCH(I$1,floors!$1:$1,0)-MATCH($H$1,floors!$1:$1,0)+1),MATCH(I$1,floors!$1:$1,0)-MATCH($H$1,floors!$1:$1,0)+1,FALSE)</f>
        <v>40</v>
      </c>
      <c r="J42" s="4">
        <f ca="1">VLOOKUP($H42,OFFSET(floors!$A$1,0,0,COUNTA(floors!$A:$A),MATCH(J$1,floors!$1:$1,0)-MATCH($H$1,floors!$1:$1,0)+1),MATCH(J$1,floors!$1:$1,0)-MATCH($H$1,floors!$1:$1,0)+1,FALSE)</f>
        <v>40</v>
      </c>
      <c r="K42" s="34" t="s">
        <v>53</v>
      </c>
      <c r="L42" s="126">
        <v>334</v>
      </c>
      <c r="M42" s="16" t="str">
        <f ca="1">VLOOKUP($L42,OFFSET([3]enemies!$A$1,0,0,COUNTA([3]enemies!$A:$A),MATCH(M$1,[3]enemies!$1:$1,0)-MATCH($L$1,[3]enemies!$1:$1,0)+1),MATCH(M$1,[3]enemies!$1:$1,0)-MATCH($L$1,[3]enemies!$1:$1,0)+1,FALSE)</f>
        <v>炎のメタルダック</v>
      </c>
      <c r="N42" s="16" t="str">
        <f ca="1">VLOOKUP($L42,OFFSET([3]enemies!$A$1,0,0,COUNTA([3]enemies!$A:$A),MATCH(N$1,[3]enemies!$1:$1,0)-MATCH($L$1,[3]enemies!$1:$1,0)+1),MATCH(N$1,[3]enemies!$1:$1,0)-MATCH($L$1,[3]enemies!$1:$1,0)+1,FALSE)</f>
        <v>red</v>
      </c>
      <c r="O42" s="16" t="str">
        <f ca="1">VLOOKUP($L42,OFFSET([4]characters!$A$1,0,0,COUNTA([4]characters!$A:$A),MATCH(O$1,[4]characters!$1:$1,0)-MATCH($L$1,[4]characters!$1:$1,0)+1),MATCH(O$1,[4]characters!$1:$1,0)-MATCH($L$1,[4]characters!$1:$1,0)+1,FALSE)</f>
        <v>Material</v>
      </c>
      <c r="P42" s="16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16">
        <f ca="1">VLOOKUP($L42,OFFSET([3]enemies!$A$1,0,0,COUNTA([3]enemies!$A:$A),MATCH(Q$1,[3]enemies!$1:$1,0)-MATCH($L$1,[3]enemies!$1:$1,0)+1),MATCH(Q$1,[3]enemies!$1:$1,0)-MATCH($L$1,[3]enemies!$1:$1,0)+1,FALSE)</f>
        <v>20</v>
      </c>
      <c r="R42" s="5">
        <v>1</v>
      </c>
      <c r="S42" s="21">
        <v>1</v>
      </c>
      <c r="T42" s="21">
        <v>1</v>
      </c>
      <c r="U42" s="5">
        <v>0</v>
      </c>
      <c r="V42" s="4" t="e">
        <f ca="1">VLOOKUP($W42,OFFSET(enemy_skill_sets!$B$1,0,0,COUNTA(enemy_skill_sets!$B:$B),MATCH(M$1,enemy_skill_sets!$1:$1,0)-MATCH($W$1,enemy_skill_sets!$1:$1,0)+2),MATCH(M$1,enemy_skill_sets!$1:$1,0)-MATCH($W$1,enemy_skill_sets!$1:$1,0)+2,FALSE)</f>
        <v>#N/A</v>
      </c>
      <c r="W42" s="4">
        <f ca="1">VLOOKUP($L42,OFFSET([3]enemies!$A$1,0,0,COUNTA([3]enemies!$A:$A),MATCH(W$1,[3]enemies!$1:$1,0)-MATCH($L$1,[3]enemies!$1:$1,0)+1),MATCH(W$1,[3]enemies!$1:$1,0)-MATCH($L$1,[3]enemies!$1:$1,0)+1,FALSE)</f>
        <v>0</v>
      </c>
      <c r="X42" s="6">
        <v>0</v>
      </c>
      <c r="Y42" s="6">
        <v>100</v>
      </c>
      <c r="Z42" s="6">
        <v>0</v>
      </c>
      <c r="AA42" s="16">
        <f ca="1">VLOOKUP($L42,OFFSET([3]enemies!$A$1,0,0,COUNTA([3]enemies!$A:$A),MATCH(AA$1,[3]enemies!$1:$1,0)-MATCH($L$1,[3]enemies!$1:$1,0)+1),MATCH(AA$1,[3]enemies!$1:$1,0)-MATCH($L$1,[3]enemies!$1:$1,0)+1,FALSE)</f>
        <v>3</v>
      </c>
      <c r="AB42" s="20">
        <f t="shared" si="13"/>
        <v>334</v>
      </c>
      <c r="AC42" s="4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42" s="4">
        <f ca="1">VLOOKUP($AB42,OFFSET([4]characters!$A$1,0,0,COUNTA([4]characters!$A:$A),MATCH(AD$1,[4]characters!$1:$1,0)-MATCH("character_id",[4]characters!$1:$1,0)+1),MATCH(AD$1,[4]characters!$1:$1,0)-MATCH("character_id",[4]characters!$1:$1,0)+1,FALSE)</f>
        <v>5</v>
      </c>
      <c r="AE42" s="4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2" s="144">
        <v>1</v>
      </c>
      <c r="AG42" s="20">
        <f t="shared" ca="1" si="14"/>
        <v>5</v>
      </c>
      <c r="AH42" s="8">
        <v>0</v>
      </c>
      <c r="AI42" s="144">
        <v>0</v>
      </c>
      <c r="AJ42" s="144">
        <v>0</v>
      </c>
      <c r="AK42" s="144">
        <v>0</v>
      </c>
      <c r="AL42" s="144">
        <v>0</v>
      </c>
      <c r="AM42" s="144">
        <v>1</v>
      </c>
      <c r="AN42" s="65">
        <v>1</v>
      </c>
    </row>
    <row r="43" spans="1:40" ht="21" customHeight="1" x14ac:dyDescent="0.15">
      <c r="A43" s="15" t="str">
        <f t="shared" ref="A43" ca="1" si="40">B43&amp;"_"&amp;C43&amp;"-"&amp;G43&amp;"/"&amp;L43&amp;"&lt;lv"&amp;R43&amp;"&gt;s"&amp;AA43</f>
        <v>15028_4-2/339&lt;lv1&gt;s4</v>
      </c>
      <c r="B43" s="107">
        <v>15028</v>
      </c>
      <c r="C43" s="94">
        <v>4</v>
      </c>
      <c r="D43" s="2" t="str">
        <f t="shared" ref="D43" si="41">B43&amp;"_"&amp;C43</f>
        <v>15028_4</v>
      </c>
      <c r="E43" s="4" t="str">
        <f ca="1">VLOOKUP($B43,OFFSET([2]quests!$A$1,0,0,COUNTA([2]quests!$A:$A),MATCH(E$1,[2]quests!$1:$1,0)-MATCH($B$1,[2]quests!$1:$1,0)+1),MATCH(E$1,[2]quests!$1:$1,0)-MATCH($B$1,[2]quests!$1:$1,0)+1,FALSE)</f>
        <v>28. 暴風と灼熱の罪浄</v>
      </c>
      <c r="F43" s="4" t="str">
        <f ca="1">VLOOKUP($D43,OFFSET([2]stages!$A$1,0,0,COUNTA([2]stages!$A:$A),MATCH(F$1,[2]stages!$2:$2,0)-MATCH($D$1,[2]stages!$2:$2,0)+1),MATCH(F$1,[2]stages!$2:$2,0)-MATCH($D$1,[2]stages!$2:$2,0)+1,FALSE)</f>
        <v>28-4. 【1回のみ】ボーナスステージ</v>
      </c>
      <c r="G43" s="94">
        <v>2</v>
      </c>
      <c r="H43" s="14" t="str">
        <f t="shared" ref="H43" si="42">B43&amp;"_"&amp;C43&amp;"-"&amp;G43</f>
        <v>15028_4-2</v>
      </c>
      <c r="I43" s="4">
        <f ca="1">VLOOKUP($H43,OFFSET(floors!$A$1,0,0,COUNTA(floors!$A:$A),MATCH(I$1,floors!$1:$1,0)-MATCH($H$1,floors!$1:$1,0)+1),MATCH(I$1,floors!$1:$1,0)-MATCH($H$1,floors!$1:$1,0)+1,FALSE)</f>
        <v>40</v>
      </c>
      <c r="J43" s="4">
        <f ca="1">VLOOKUP($H43,OFFSET(floors!$A$1,0,0,COUNTA(floors!$A:$A),MATCH(J$1,floors!$1:$1,0)-MATCH($H$1,floors!$1:$1,0)+1),MATCH(J$1,floors!$1:$1,0)-MATCH($H$1,floors!$1:$1,0)+1,FALSE)</f>
        <v>40</v>
      </c>
      <c r="K43" s="34" t="s">
        <v>53</v>
      </c>
      <c r="L43" s="126">
        <v>339</v>
      </c>
      <c r="M43" s="16" t="str">
        <f ca="1">VLOOKUP($L43,OFFSET([3]enemies!$A$1,0,0,COUNTA([3]enemies!$A:$A),MATCH(M$1,[3]enemies!$1:$1,0)-MATCH($L$1,[3]enemies!$1:$1,0)+1),MATCH(M$1,[3]enemies!$1:$1,0)-MATCH($L$1,[3]enemies!$1:$1,0)+1,FALSE)</f>
        <v>森のメタルジェントル</v>
      </c>
      <c r="N43" s="16" t="str">
        <f ca="1">VLOOKUP($L43,OFFSET([3]enemies!$A$1,0,0,COUNTA([3]enemies!$A:$A),MATCH(N$1,[3]enemies!$1:$1,0)-MATCH($L$1,[3]enemies!$1:$1,0)+1),MATCH(N$1,[3]enemies!$1:$1,0)-MATCH($L$1,[3]enemies!$1:$1,0)+1,FALSE)</f>
        <v>green</v>
      </c>
      <c r="O43" s="16" t="str">
        <f ca="1">VLOOKUP($L43,OFFSET([4]characters!$A$1,0,0,COUNTA([4]characters!$A:$A),MATCH(O$1,[4]characters!$1:$1,0)-MATCH($L$1,[4]characters!$1:$1,0)+1),MATCH(O$1,[4]characters!$1:$1,0)-MATCH($L$1,[4]characters!$1:$1,0)+1,FALSE)</f>
        <v>Material</v>
      </c>
      <c r="P43" s="16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16">
        <f ca="1">VLOOKUP($L43,OFFSET([3]enemies!$A$1,0,0,COUNTA([3]enemies!$A:$A),MATCH(Q$1,[3]enemies!$1:$1,0)-MATCH($L$1,[3]enemies!$1:$1,0)+1),MATCH(Q$1,[3]enemies!$1:$1,0)-MATCH($L$1,[3]enemies!$1:$1,0)+1,FALSE)</f>
        <v>20</v>
      </c>
      <c r="R43" s="5">
        <v>1</v>
      </c>
      <c r="S43" s="21">
        <v>1</v>
      </c>
      <c r="T43" s="21">
        <v>1</v>
      </c>
      <c r="U43" s="5">
        <v>0</v>
      </c>
      <c r="V43" s="4" t="e">
        <f ca="1">VLOOKUP($W43,OFFSET(enemy_skill_sets!$B$1,0,0,COUNTA(enemy_skill_sets!$B:$B),MATCH(M$1,enemy_skill_sets!$1:$1,0)-MATCH($W$1,enemy_skill_sets!$1:$1,0)+2),MATCH(M$1,enemy_skill_sets!$1:$1,0)-MATCH($W$1,enemy_skill_sets!$1:$1,0)+2,FALSE)</f>
        <v>#N/A</v>
      </c>
      <c r="W43" s="4">
        <f ca="1">VLOOKUP($L43,OFFSET([3]enemies!$A$1,0,0,COUNTA([3]enemies!$A:$A),MATCH(W$1,[3]enemies!$1:$1,0)-MATCH($L$1,[3]enemies!$1:$1,0)+1),MATCH(W$1,[3]enemies!$1:$1,0)-MATCH($L$1,[3]enemies!$1:$1,0)+1,FALSE)</f>
        <v>0</v>
      </c>
      <c r="X43" s="6">
        <v>1</v>
      </c>
      <c r="Y43" s="6">
        <v>100</v>
      </c>
      <c r="Z43" s="6">
        <v>1</v>
      </c>
      <c r="AA43" s="16">
        <f ca="1">VLOOKUP($L43,OFFSET([3]enemies!$A$1,0,0,COUNTA([3]enemies!$A:$A),MATCH(AA$1,[3]enemies!$1:$1,0)-MATCH($L$1,[3]enemies!$1:$1,0)+1),MATCH(AA$1,[3]enemies!$1:$1,0)-MATCH($L$1,[3]enemies!$1:$1,0)+1,FALSE)</f>
        <v>4</v>
      </c>
      <c r="AB43" s="20">
        <f t="shared" ref="AB43" si="43">L43</f>
        <v>339</v>
      </c>
      <c r="AC43" s="4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43" s="4">
        <f ca="1">VLOOKUP($AB43,OFFSET([4]characters!$A$1,0,0,COUNTA([4]characters!$A:$A),MATCH(AD$1,[4]characters!$1:$1,0)-MATCH("character_id",[4]characters!$1:$1,0)+1),MATCH(AD$1,[4]characters!$1:$1,0)-MATCH("character_id",[4]characters!$1:$1,0)+1,FALSE)</f>
        <v>6</v>
      </c>
      <c r="AE43" s="4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3" s="144">
        <v>1</v>
      </c>
      <c r="AG43" s="20">
        <f t="shared" ref="AG43" ca="1" si="44">AD43</f>
        <v>6</v>
      </c>
      <c r="AH43" s="8">
        <v>100</v>
      </c>
      <c r="AI43" s="144">
        <v>0</v>
      </c>
      <c r="AJ43" s="144">
        <v>0</v>
      </c>
      <c r="AK43" s="144">
        <v>0</v>
      </c>
      <c r="AL43" s="144">
        <v>0</v>
      </c>
      <c r="AM43" s="144">
        <v>1</v>
      </c>
      <c r="AN43" s="65">
        <v>1</v>
      </c>
    </row>
    <row r="44" spans="1:40" ht="21" customHeight="1" x14ac:dyDescent="0.15">
      <c r="A44" s="15" t="str">
        <f t="shared" ca="1" si="10"/>
        <v>15028_4-2/335&lt;lv1&gt;s4</v>
      </c>
      <c r="B44" s="107">
        <v>15028</v>
      </c>
      <c r="C44" s="94">
        <v>4</v>
      </c>
      <c r="D44" s="2" t="str">
        <f t="shared" si="11"/>
        <v>15028_4</v>
      </c>
      <c r="E44" s="4" t="str">
        <f ca="1">VLOOKUP($B44,OFFSET([2]quests!$A$1,0,0,COUNTA([2]quests!$A:$A),MATCH(E$1,[2]quests!$1:$1,0)-MATCH($B$1,[2]quests!$1:$1,0)+1),MATCH(E$1,[2]quests!$1:$1,0)-MATCH($B$1,[2]quests!$1:$1,0)+1,FALSE)</f>
        <v>28. 暴風と灼熱の罪浄</v>
      </c>
      <c r="F44" s="4" t="str">
        <f ca="1">VLOOKUP($D44,OFFSET([2]stages!$A$1,0,0,COUNTA([2]stages!$A:$A),MATCH(F$1,[2]stages!$2:$2,0)-MATCH($D$1,[2]stages!$2:$2,0)+1),MATCH(F$1,[2]stages!$2:$2,0)-MATCH($D$1,[2]stages!$2:$2,0)+1,FALSE)</f>
        <v>28-4. 【1回のみ】ボーナスステージ</v>
      </c>
      <c r="G44" s="94">
        <v>2</v>
      </c>
      <c r="H44" s="14" t="str">
        <f t="shared" si="12"/>
        <v>15028_4-2</v>
      </c>
      <c r="I44" s="4">
        <f ca="1">VLOOKUP($H44,OFFSET(floors!$A$1,0,0,COUNTA(floors!$A:$A),MATCH(I$1,floors!$1:$1,0)-MATCH($H$1,floors!$1:$1,0)+1),MATCH(I$1,floors!$1:$1,0)-MATCH($H$1,floors!$1:$1,0)+1,FALSE)</f>
        <v>40</v>
      </c>
      <c r="J44" s="4">
        <f ca="1">VLOOKUP($H44,OFFSET(floors!$A$1,0,0,COUNTA(floors!$A:$A),MATCH(J$1,floors!$1:$1,0)-MATCH($H$1,floors!$1:$1,0)+1),MATCH(J$1,floors!$1:$1,0)-MATCH($H$1,floors!$1:$1,0)+1,FALSE)</f>
        <v>40</v>
      </c>
      <c r="K44" s="34" t="s">
        <v>53</v>
      </c>
      <c r="L44" s="126">
        <v>335</v>
      </c>
      <c r="M44" s="16" t="str">
        <f ca="1">VLOOKUP($L44,OFFSET([3]enemies!$A$1,0,0,COUNTA([3]enemies!$A:$A),MATCH(M$1,[3]enemies!$1:$1,0)-MATCH($L$1,[3]enemies!$1:$1,0)+1),MATCH(M$1,[3]enemies!$1:$1,0)-MATCH($L$1,[3]enemies!$1:$1,0)+1,FALSE)</f>
        <v>炎のメタルジェントル</v>
      </c>
      <c r="N44" s="16" t="str">
        <f ca="1">VLOOKUP($L44,OFFSET([3]enemies!$A$1,0,0,COUNTA([3]enemies!$A:$A),MATCH(N$1,[3]enemies!$1:$1,0)-MATCH($L$1,[3]enemies!$1:$1,0)+1),MATCH(N$1,[3]enemies!$1:$1,0)-MATCH($L$1,[3]enemies!$1:$1,0)+1,FALSE)</f>
        <v>red</v>
      </c>
      <c r="O44" s="16" t="str">
        <f ca="1">VLOOKUP($L44,OFFSET([4]characters!$A$1,0,0,COUNTA([4]characters!$A:$A),MATCH(O$1,[4]characters!$1:$1,0)-MATCH($L$1,[4]characters!$1:$1,0)+1),MATCH(O$1,[4]characters!$1:$1,0)-MATCH($L$1,[4]characters!$1:$1,0)+1,FALSE)</f>
        <v>Material</v>
      </c>
      <c r="P44" s="16" t="str">
        <f ca="1">VLOOKUP($L44,OFFSET([3]enemies!$A$1,0,0,COUNTA([3]enemies!$A:$A),MATCH(P$1,[3]enemies!$1:$1,0)-MATCH($L$1,[3]enemies!$1:$1,0)+1),MATCH(P$1,[3]enemies!$1:$1,0)-MATCH($L$1,[3]enemies!$1:$1,0)+1,FALSE)</f>
        <v>unknown</v>
      </c>
      <c r="Q44" s="16">
        <f ca="1">VLOOKUP($L44,OFFSET([3]enemies!$A$1,0,0,COUNTA([3]enemies!$A:$A),MATCH(Q$1,[3]enemies!$1:$1,0)-MATCH($L$1,[3]enemies!$1:$1,0)+1),MATCH(Q$1,[3]enemies!$1:$1,0)-MATCH($L$1,[3]enemies!$1:$1,0)+1,FALSE)</f>
        <v>20</v>
      </c>
      <c r="R44" s="5">
        <v>1</v>
      </c>
      <c r="S44" s="21">
        <v>1</v>
      </c>
      <c r="T44" s="21">
        <v>1</v>
      </c>
      <c r="U44" s="5">
        <v>0</v>
      </c>
      <c r="V44" s="4" t="e">
        <f ca="1">VLOOKUP($W44,OFFSET(enemy_skill_sets!$B$1,0,0,COUNTA(enemy_skill_sets!$B:$B),MATCH(M$1,enemy_skill_sets!$1:$1,0)-MATCH($W$1,enemy_skill_sets!$1:$1,0)+2),MATCH(M$1,enemy_skill_sets!$1:$1,0)-MATCH($W$1,enemy_skill_sets!$1:$1,0)+2,FALSE)</f>
        <v>#N/A</v>
      </c>
      <c r="W44" s="4">
        <f ca="1">VLOOKUP($L44,OFFSET([3]enemies!$A$1,0,0,COUNTA([3]enemies!$A:$A),MATCH(W$1,[3]enemies!$1:$1,0)-MATCH($L$1,[3]enemies!$1:$1,0)+1),MATCH(W$1,[3]enemies!$1:$1,0)-MATCH($L$1,[3]enemies!$1:$1,0)+1,FALSE)</f>
        <v>0</v>
      </c>
      <c r="X44" s="6">
        <v>0</v>
      </c>
      <c r="Y44" s="6">
        <v>100</v>
      </c>
      <c r="Z44" s="6">
        <v>0</v>
      </c>
      <c r="AA44" s="16">
        <f ca="1">VLOOKUP($L44,OFFSET([3]enemies!$A$1,0,0,COUNTA([3]enemies!$A:$A),MATCH(AA$1,[3]enemies!$1:$1,0)-MATCH($L$1,[3]enemies!$1:$1,0)+1),MATCH(AA$1,[3]enemies!$1:$1,0)-MATCH($L$1,[3]enemies!$1:$1,0)+1,FALSE)</f>
        <v>4</v>
      </c>
      <c r="AB44" s="20">
        <f t="shared" si="13"/>
        <v>335</v>
      </c>
      <c r="AC44" s="4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44" s="4">
        <f ca="1">VLOOKUP($AB44,OFFSET([4]characters!$A$1,0,0,COUNTA([4]characters!$A:$A),MATCH(AD$1,[4]characters!$1:$1,0)-MATCH("character_id",[4]characters!$1:$1,0)+1),MATCH(AD$1,[4]characters!$1:$1,0)-MATCH("character_id",[4]characters!$1:$1,0)+1,FALSE)</f>
        <v>6</v>
      </c>
      <c r="AE44" s="4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4" s="144">
        <v>1</v>
      </c>
      <c r="AG44" s="20">
        <f t="shared" ca="1" si="14"/>
        <v>6</v>
      </c>
      <c r="AH44" s="8">
        <v>0</v>
      </c>
      <c r="AI44" s="144">
        <v>0</v>
      </c>
      <c r="AJ44" s="144">
        <v>0</v>
      </c>
      <c r="AK44" s="144">
        <v>0</v>
      </c>
      <c r="AL44" s="144">
        <v>0</v>
      </c>
      <c r="AM44" s="144">
        <v>1</v>
      </c>
      <c r="AN44" s="65">
        <v>1</v>
      </c>
    </row>
    <row r="45" spans="1:40" ht="21" customHeight="1" x14ac:dyDescent="0.15">
      <c r="A45" s="15" t="str">
        <f t="shared" ref="A45" ca="1" si="45">B45&amp;"_"&amp;C45&amp;"-"&amp;G45&amp;"/"&amp;L45&amp;"&lt;lv"&amp;R45&amp;"&gt;s"&amp;AA45</f>
        <v>15028_4-3/120&lt;lv1&gt;s4</v>
      </c>
      <c r="B45" s="107">
        <v>15028</v>
      </c>
      <c r="C45" s="94">
        <v>4</v>
      </c>
      <c r="D45" s="2" t="str">
        <f t="shared" ref="D45" si="46">B45&amp;"_"&amp;C45</f>
        <v>15028_4</v>
      </c>
      <c r="E45" s="4" t="str">
        <f ca="1">VLOOKUP($B45,OFFSET([2]quests!$A$1,0,0,COUNTA([2]quests!$A:$A),MATCH(E$1,[2]quests!$1:$1,0)-MATCH($B$1,[2]quests!$1:$1,0)+1),MATCH(E$1,[2]quests!$1:$1,0)-MATCH($B$1,[2]quests!$1:$1,0)+1,FALSE)</f>
        <v>28. 暴風と灼熱の罪浄</v>
      </c>
      <c r="F45" s="4" t="str">
        <f ca="1">VLOOKUP($D45,OFFSET([2]stages!$A$1,0,0,COUNTA([2]stages!$A:$A),MATCH(F$1,[2]stages!$2:$2,0)-MATCH($D$1,[2]stages!$2:$2,0)+1),MATCH(F$1,[2]stages!$2:$2,0)-MATCH($D$1,[2]stages!$2:$2,0)+1,FALSE)</f>
        <v>28-4. 【1回のみ】ボーナスステージ</v>
      </c>
      <c r="G45" s="94">
        <v>3</v>
      </c>
      <c r="H45" s="14" t="str">
        <f t="shared" ref="H45" si="47">B45&amp;"_"&amp;C45&amp;"-"&amp;G45</f>
        <v>15028_4-3</v>
      </c>
      <c r="I45" s="4">
        <f ca="1">VLOOKUP($H45,OFFSET(floors!$A$1,0,0,COUNTA(floors!$A:$A),MATCH(I$1,floors!$1:$1,0)-MATCH($H$1,floors!$1:$1,0)+1),MATCH(I$1,floors!$1:$1,0)-MATCH($H$1,floors!$1:$1,0)+1,FALSE)</f>
        <v>40</v>
      </c>
      <c r="J45" s="4">
        <f ca="1">VLOOKUP($H45,OFFSET(floors!$A$1,0,0,COUNTA(floors!$A:$A),MATCH(J$1,floors!$1:$1,0)-MATCH($H$1,floors!$1:$1,0)+1),MATCH(J$1,floors!$1:$1,0)-MATCH($H$1,floors!$1:$1,0)+1,FALSE)</f>
        <v>40</v>
      </c>
      <c r="K45" s="34" t="s">
        <v>53</v>
      </c>
      <c r="L45" s="126">
        <v>120</v>
      </c>
      <c r="M45" s="16" t="str">
        <f ca="1">VLOOKUP($L45,OFFSET([3]enemies!$A$1,0,0,COUNTA([3]enemies!$A:$A),MATCH(M$1,[3]enemies!$1:$1,0)-MATCH($L$1,[3]enemies!$1:$1,0)+1),MATCH(M$1,[3]enemies!$1:$1,0)-MATCH($L$1,[3]enemies!$1:$1,0)+1,FALSE)</f>
        <v>ゴールドキング</v>
      </c>
      <c r="N45" s="16" t="str">
        <f ca="1">VLOOKUP($L45,OFFSET([3]enemies!$A$1,0,0,COUNTA([3]enemies!$A:$A),MATCH(N$1,[3]enemies!$1:$1,0)-MATCH($L$1,[3]enemies!$1:$1,0)+1),MATCH(N$1,[3]enemies!$1:$1,0)-MATCH($L$1,[3]enemies!$1:$1,0)+1,FALSE)</f>
        <v>yellow</v>
      </c>
      <c r="O45" s="16" t="str">
        <f ca="1">VLOOKUP($L45,OFFSET([4]characters!$A$1,0,0,COUNTA([4]characters!$A:$A),MATCH(O$1,[4]characters!$1:$1,0)-MATCH($L$1,[4]characters!$1:$1,0)+1),MATCH(O$1,[4]characters!$1:$1,0)-MATCH($L$1,[4]characters!$1:$1,0)+1,FALSE)</f>
        <v>Material</v>
      </c>
      <c r="P45" s="16" t="str">
        <f ca="1">VLOOKUP($L45,OFFSET([3]enemies!$A$1,0,0,COUNTA([3]enemies!$A:$A),MATCH(P$1,[3]enemies!$1:$1,0)-MATCH($L$1,[3]enemies!$1:$1,0)+1),MATCH(P$1,[3]enemies!$1:$1,0)-MATCH($L$1,[3]enemies!$1:$1,0)+1,FALSE)</f>
        <v>unknown</v>
      </c>
      <c r="Q45" s="16">
        <f ca="1">VLOOKUP($L45,OFFSET([3]enemies!$A$1,0,0,COUNTA([3]enemies!$A:$A),MATCH(Q$1,[3]enemies!$1:$1,0)-MATCH($L$1,[3]enemies!$1:$1,0)+1),MATCH(Q$1,[3]enemies!$1:$1,0)-MATCH($L$1,[3]enemies!$1:$1,0)+1,FALSE)</f>
        <v>20</v>
      </c>
      <c r="R45" s="5">
        <v>1</v>
      </c>
      <c r="S45" s="21">
        <v>1</v>
      </c>
      <c r="T45" s="21">
        <v>1</v>
      </c>
      <c r="U45" s="5">
        <v>0</v>
      </c>
      <c r="V45" s="4" t="e">
        <f ca="1">VLOOKUP($W45,OFFSET(enemy_skill_sets!$B$1,0,0,COUNTA(enemy_skill_sets!$B:$B),MATCH(M$1,enemy_skill_sets!$1:$1,0)-MATCH($W$1,enemy_skill_sets!$1:$1,0)+2),MATCH(M$1,enemy_skill_sets!$1:$1,0)-MATCH($W$1,enemy_skill_sets!$1:$1,0)+2,FALSE)</f>
        <v>#N/A</v>
      </c>
      <c r="W45" s="4">
        <f ca="1">VLOOKUP($L45,OFFSET([3]enemies!$A$1,0,0,COUNTA([3]enemies!$A:$A),MATCH(W$1,[3]enemies!$1:$1,0)-MATCH($L$1,[3]enemies!$1:$1,0)+1),MATCH(W$1,[3]enemies!$1:$1,0)-MATCH($L$1,[3]enemies!$1:$1,0)+1,FALSE)</f>
        <v>0</v>
      </c>
      <c r="X45" s="6">
        <v>0</v>
      </c>
      <c r="Y45" s="6">
        <v>100</v>
      </c>
      <c r="Z45" s="6">
        <v>0</v>
      </c>
      <c r="AA45" s="16">
        <f ca="1">VLOOKUP($L45,OFFSET([3]enemies!$A$1,0,0,COUNTA([3]enemies!$A:$A),MATCH(AA$1,[3]enemies!$1:$1,0)-MATCH($L$1,[3]enemies!$1:$1,0)+1),MATCH(AA$1,[3]enemies!$1:$1,0)-MATCH($L$1,[3]enemies!$1:$1,0)+1,FALSE)</f>
        <v>4</v>
      </c>
      <c r="AB45" s="20">
        <f t="shared" ref="AB45" si="48">L45</f>
        <v>120</v>
      </c>
      <c r="AC45" s="4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45" s="4">
        <f ca="1">VLOOKUP($AB45,OFFSET([4]characters!$A$1,0,0,COUNTA([4]characters!$A:$A),MATCH(AD$1,[4]characters!$1:$1,0)-MATCH("character_id",[4]characters!$1:$1,0)+1),MATCH(AD$1,[4]characters!$1:$1,0)-MATCH("character_id",[4]characters!$1:$1,0)+1,FALSE)</f>
        <v>6</v>
      </c>
      <c r="AE45" s="4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5" s="144">
        <v>1</v>
      </c>
      <c r="AG45" s="20">
        <f t="shared" ref="AG45" ca="1" si="49">AD45</f>
        <v>6</v>
      </c>
      <c r="AH45" s="8">
        <v>100</v>
      </c>
      <c r="AI45" s="144">
        <v>0</v>
      </c>
      <c r="AJ45" s="144">
        <v>0</v>
      </c>
      <c r="AK45" s="144">
        <v>0</v>
      </c>
      <c r="AL45" s="144">
        <v>0</v>
      </c>
      <c r="AM45" s="144">
        <v>1</v>
      </c>
      <c r="AN45" s="65">
        <v>1</v>
      </c>
    </row>
    <row r="46" spans="1:40" ht="21" customHeight="1" x14ac:dyDescent="0.15">
      <c r="A46" s="15" t="str">
        <f t="shared" ca="1" si="10"/>
        <v>15028_4-4/339&lt;lv1&gt;s4</v>
      </c>
      <c r="B46" s="107">
        <v>15028</v>
      </c>
      <c r="C46" s="94">
        <v>4</v>
      </c>
      <c r="D46" s="2" t="str">
        <f t="shared" si="11"/>
        <v>15028_4</v>
      </c>
      <c r="E46" s="4" t="str">
        <f ca="1">VLOOKUP($B46,OFFSET([2]quests!$A$1,0,0,COUNTA([2]quests!$A:$A),MATCH(E$1,[2]quests!$1:$1,0)-MATCH($B$1,[2]quests!$1:$1,0)+1),MATCH(E$1,[2]quests!$1:$1,0)-MATCH($B$1,[2]quests!$1:$1,0)+1,FALSE)</f>
        <v>28. 暴風と灼熱の罪浄</v>
      </c>
      <c r="F46" s="4" t="str">
        <f ca="1">VLOOKUP($D46,OFFSET([2]stages!$A$1,0,0,COUNTA([2]stages!$A:$A),MATCH(F$1,[2]stages!$2:$2,0)-MATCH($D$1,[2]stages!$2:$2,0)+1),MATCH(F$1,[2]stages!$2:$2,0)-MATCH($D$1,[2]stages!$2:$2,0)+1,FALSE)</f>
        <v>28-4. 【1回のみ】ボーナスステージ</v>
      </c>
      <c r="G46" s="94">
        <v>4</v>
      </c>
      <c r="H46" s="14" t="str">
        <f t="shared" si="12"/>
        <v>15028_4-4</v>
      </c>
      <c r="I46" s="4">
        <f ca="1">VLOOKUP($H46,OFFSET(floors!$A$1,0,0,COUNTA(floors!$A:$A),MATCH(I$1,floors!$1:$1,0)-MATCH($H$1,floors!$1:$1,0)+1),MATCH(I$1,floors!$1:$1,0)-MATCH($H$1,floors!$1:$1,0)+1,FALSE)</f>
        <v>40</v>
      </c>
      <c r="J46" s="4">
        <f ca="1">VLOOKUP($H46,OFFSET(floors!$A$1,0,0,COUNTA(floors!$A:$A),MATCH(J$1,floors!$1:$1,0)-MATCH($H$1,floors!$1:$1,0)+1),MATCH(J$1,floors!$1:$1,0)-MATCH($H$1,floors!$1:$1,0)+1,FALSE)</f>
        <v>40</v>
      </c>
      <c r="K46" s="34" t="s">
        <v>53</v>
      </c>
      <c r="L46" s="126">
        <v>339</v>
      </c>
      <c r="M46" s="16" t="str">
        <f ca="1">VLOOKUP($L46,OFFSET([3]enemies!$A$1,0,0,COUNTA([3]enemies!$A:$A),MATCH(M$1,[3]enemies!$1:$1,0)-MATCH($L$1,[3]enemies!$1:$1,0)+1),MATCH(M$1,[3]enemies!$1:$1,0)-MATCH($L$1,[3]enemies!$1:$1,0)+1,FALSE)</f>
        <v>森のメタルジェントル</v>
      </c>
      <c r="N46" s="16" t="str">
        <f ca="1">VLOOKUP($L46,OFFSET([3]enemies!$A$1,0,0,COUNTA([3]enemies!$A:$A),MATCH(N$1,[3]enemies!$1:$1,0)-MATCH($L$1,[3]enemies!$1:$1,0)+1),MATCH(N$1,[3]enemies!$1:$1,0)-MATCH($L$1,[3]enemies!$1:$1,0)+1,FALSE)</f>
        <v>green</v>
      </c>
      <c r="O46" s="16" t="str">
        <f ca="1">VLOOKUP($L46,OFFSET([4]characters!$A$1,0,0,COUNTA([4]characters!$A:$A),MATCH(O$1,[4]characters!$1:$1,0)-MATCH($L$1,[4]characters!$1:$1,0)+1),MATCH(O$1,[4]characters!$1:$1,0)-MATCH($L$1,[4]characters!$1:$1,0)+1,FALSE)</f>
        <v>Material</v>
      </c>
      <c r="P46" s="16" t="str">
        <f ca="1">VLOOKUP($L46,OFFSET([3]enemies!$A$1,0,0,COUNTA([3]enemies!$A:$A),MATCH(P$1,[3]enemies!$1:$1,0)-MATCH($L$1,[3]enemies!$1:$1,0)+1),MATCH(P$1,[3]enemies!$1:$1,0)-MATCH($L$1,[3]enemies!$1:$1,0)+1,FALSE)</f>
        <v>unknown</v>
      </c>
      <c r="Q46" s="16">
        <f ca="1">VLOOKUP($L46,OFFSET([3]enemies!$A$1,0,0,COUNTA([3]enemies!$A:$A),MATCH(Q$1,[3]enemies!$1:$1,0)-MATCH($L$1,[3]enemies!$1:$1,0)+1),MATCH(Q$1,[3]enemies!$1:$1,0)-MATCH($L$1,[3]enemies!$1:$1,0)+1,FALSE)</f>
        <v>20</v>
      </c>
      <c r="R46" s="5">
        <v>1</v>
      </c>
      <c r="S46" s="21">
        <v>1</v>
      </c>
      <c r="T46" s="21">
        <v>1</v>
      </c>
      <c r="U46" s="5">
        <v>0</v>
      </c>
      <c r="V46" s="4" t="e">
        <f ca="1">VLOOKUP($W46,OFFSET(enemy_skill_sets!$B$1,0,0,COUNTA(enemy_skill_sets!$B:$B),MATCH(M$1,enemy_skill_sets!$1:$1,0)-MATCH($W$1,enemy_skill_sets!$1:$1,0)+2),MATCH(M$1,enemy_skill_sets!$1:$1,0)-MATCH($W$1,enemy_skill_sets!$1:$1,0)+2,FALSE)</f>
        <v>#N/A</v>
      </c>
      <c r="W46" s="4">
        <f ca="1">VLOOKUP($L46,OFFSET([3]enemies!$A$1,0,0,COUNTA([3]enemies!$A:$A),MATCH(W$1,[3]enemies!$1:$1,0)-MATCH($L$1,[3]enemies!$1:$1,0)+1),MATCH(W$1,[3]enemies!$1:$1,0)-MATCH($L$1,[3]enemies!$1:$1,0)+1,FALSE)</f>
        <v>0</v>
      </c>
      <c r="X46" s="6">
        <v>1</v>
      </c>
      <c r="Y46" s="6">
        <v>100</v>
      </c>
      <c r="Z46" s="6">
        <v>1</v>
      </c>
      <c r="AA46" s="16">
        <f ca="1">VLOOKUP($L46,OFFSET([3]enemies!$A$1,0,0,COUNTA([3]enemies!$A:$A),MATCH(AA$1,[3]enemies!$1:$1,0)-MATCH($L$1,[3]enemies!$1:$1,0)+1),MATCH(AA$1,[3]enemies!$1:$1,0)-MATCH($L$1,[3]enemies!$1:$1,0)+1,FALSE)</f>
        <v>4</v>
      </c>
      <c r="AB46" s="20">
        <f t="shared" si="13"/>
        <v>339</v>
      </c>
      <c r="AC46" s="4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46" s="4">
        <f ca="1">VLOOKUP($AB46,OFFSET([4]characters!$A$1,0,0,COUNTA([4]characters!$A:$A),MATCH(AD$1,[4]characters!$1:$1,0)-MATCH("character_id",[4]characters!$1:$1,0)+1),MATCH(AD$1,[4]characters!$1:$1,0)-MATCH("character_id",[4]characters!$1:$1,0)+1,FALSE)</f>
        <v>6</v>
      </c>
      <c r="AE46" s="4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6" s="144">
        <v>1</v>
      </c>
      <c r="AG46" s="20">
        <f t="shared" ca="1" si="14"/>
        <v>6</v>
      </c>
      <c r="AH46" s="8">
        <v>0</v>
      </c>
      <c r="AI46" s="144">
        <v>0</v>
      </c>
      <c r="AJ46" s="144">
        <v>0</v>
      </c>
      <c r="AK46" s="144">
        <v>0</v>
      </c>
      <c r="AL46" s="144">
        <v>0</v>
      </c>
      <c r="AM46" s="144">
        <v>1</v>
      </c>
      <c r="AN46" s="65">
        <v>1</v>
      </c>
    </row>
    <row r="47" spans="1:40" ht="21" customHeight="1" x14ac:dyDescent="0.15">
      <c r="A47" s="15" t="str">
        <f t="shared" ref="A47" ca="1" si="50">B47&amp;"_"&amp;C47&amp;"-"&amp;G47&amp;"/"&amp;L47&amp;"&lt;lv"&amp;R47&amp;"&gt;s"&amp;AA47</f>
        <v>15028_4-4/335&lt;lv1&gt;s4</v>
      </c>
      <c r="B47" s="107">
        <v>15028</v>
      </c>
      <c r="C47" s="94">
        <v>4</v>
      </c>
      <c r="D47" s="2" t="str">
        <f t="shared" ref="D47" si="51">B47&amp;"_"&amp;C47</f>
        <v>15028_4</v>
      </c>
      <c r="E47" s="4" t="str">
        <f ca="1">VLOOKUP($B47,OFFSET([2]quests!$A$1,0,0,COUNTA([2]quests!$A:$A),MATCH(E$1,[2]quests!$1:$1,0)-MATCH($B$1,[2]quests!$1:$1,0)+1),MATCH(E$1,[2]quests!$1:$1,0)-MATCH($B$1,[2]quests!$1:$1,0)+1,FALSE)</f>
        <v>28. 暴風と灼熱の罪浄</v>
      </c>
      <c r="F47" s="4" t="str">
        <f ca="1">VLOOKUP($D47,OFFSET([2]stages!$A$1,0,0,COUNTA([2]stages!$A:$A),MATCH(F$1,[2]stages!$2:$2,0)-MATCH($D$1,[2]stages!$2:$2,0)+1),MATCH(F$1,[2]stages!$2:$2,0)-MATCH($D$1,[2]stages!$2:$2,0)+1,FALSE)</f>
        <v>28-4. 【1回のみ】ボーナスステージ</v>
      </c>
      <c r="G47" s="94">
        <v>4</v>
      </c>
      <c r="H47" s="14" t="str">
        <f t="shared" ref="H47" si="52">B47&amp;"_"&amp;C47&amp;"-"&amp;G47</f>
        <v>15028_4-4</v>
      </c>
      <c r="I47" s="4">
        <f ca="1">VLOOKUP($H47,OFFSET(floors!$A$1,0,0,COUNTA(floors!$A:$A),MATCH(I$1,floors!$1:$1,0)-MATCH($H$1,floors!$1:$1,0)+1),MATCH(I$1,floors!$1:$1,0)-MATCH($H$1,floors!$1:$1,0)+1,FALSE)</f>
        <v>40</v>
      </c>
      <c r="J47" s="4">
        <f ca="1">VLOOKUP($H47,OFFSET(floors!$A$1,0,0,COUNTA(floors!$A:$A),MATCH(J$1,floors!$1:$1,0)-MATCH($H$1,floors!$1:$1,0)+1),MATCH(J$1,floors!$1:$1,0)-MATCH($H$1,floors!$1:$1,0)+1,FALSE)</f>
        <v>40</v>
      </c>
      <c r="K47" s="34" t="s">
        <v>53</v>
      </c>
      <c r="L47" s="126">
        <v>335</v>
      </c>
      <c r="M47" s="16" t="str">
        <f ca="1">VLOOKUP($L47,OFFSET([3]enemies!$A$1,0,0,COUNTA([3]enemies!$A:$A),MATCH(M$1,[3]enemies!$1:$1,0)-MATCH($L$1,[3]enemies!$1:$1,0)+1),MATCH(M$1,[3]enemies!$1:$1,0)-MATCH($L$1,[3]enemies!$1:$1,0)+1,FALSE)</f>
        <v>炎のメタルジェントル</v>
      </c>
      <c r="N47" s="16" t="str">
        <f ca="1">VLOOKUP($L47,OFFSET([3]enemies!$A$1,0,0,COUNTA([3]enemies!$A:$A),MATCH(N$1,[3]enemies!$1:$1,0)-MATCH($L$1,[3]enemies!$1:$1,0)+1),MATCH(N$1,[3]enemies!$1:$1,0)-MATCH($L$1,[3]enemies!$1:$1,0)+1,FALSE)</f>
        <v>red</v>
      </c>
      <c r="O47" s="16" t="str">
        <f ca="1">VLOOKUP($L47,OFFSET([4]characters!$A$1,0,0,COUNTA([4]characters!$A:$A),MATCH(O$1,[4]characters!$1:$1,0)-MATCH($L$1,[4]characters!$1:$1,0)+1),MATCH(O$1,[4]characters!$1:$1,0)-MATCH($L$1,[4]characters!$1:$1,0)+1,FALSE)</f>
        <v>Material</v>
      </c>
      <c r="P47" s="16" t="str">
        <f ca="1">VLOOKUP($L47,OFFSET([3]enemies!$A$1,0,0,COUNTA([3]enemies!$A:$A),MATCH(P$1,[3]enemies!$1:$1,0)-MATCH($L$1,[3]enemies!$1:$1,0)+1),MATCH(P$1,[3]enemies!$1:$1,0)-MATCH($L$1,[3]enemies!$1:$1,0)+1,FALSE)</f>
        <v>unknown</v>
      </c>
      <c r="Q47" s="16">
        <f ca="1">VLOOKUP($L47,OFFSET([3]enemies!$A$1,0,0,COUNTA([3]enemies!$A:$A),MATCH(Q$1,[3]enemies!$1:$1,0)-MATCH($L$1,[3]enemies!$1:$1,0)+1),MATCH(Q$1,[3]enemies!$1:$1,0)-MATCH($L$1,[3]enemies!$1:$1,0)+1,FALSE)</f>
        <v>20</v>
      </c>
      <c r="R47" s="5">
        <v>1</v>
      </c>
      <c r="S47" s="21">
        <v>1</v>
      </c>
      <c r="T47" s="21">
        <v>1</v>
      </c>
      <c r="U47" s="5">
        <v>0</v>
      </c>
      <c r="V47" s="4" t="e">
        <f ca="1">VLOOKUP($W47,OFFSET(enemy_skill_sets!$B$1,0,0,COUNTA(enemy_skill_sets!$B:$B),MATCH(M$1,enemy_skill_sets!$1:$1,0)-MATCH($W$1,enemy_skill_sets!$1:$1,0)+2),MATCH(M$1,enemy_skill_sets!$1:$1,0)-MATCH($W$1,enemy_skill_sets!$1:$1,0)+2,FALSE)</f>
        <v>#N/A</v>
      </c>
      <c r="W47" s="4">
        <f ca="1">VLOOKUP($L47,OFFSET([3]enemies!$A$1,0,0,COUNTA([3]enemies!$A:$A),MATCH(W$1,[3]enemies!$1:$1,0)-MATCH($L$1,[3]enemies!$1:$1,0)+1),MATCH(W$1,[3]enemies!$1:$1,0)-MATCH($L$1,[3]enemies!$1:$1,0)+1,FALSE)</f>
        <v>0</v>
      </c>
      <c r="X47" s="6">
        <v>0</v>
      </c>
      <c r="Y47" s="6">
        <v>100</v>
      </c>
      <c r="Z47" s="6">
        <v>0</v>
      </c>
      <c r="AA47" s="16">
        <f ca="1">VLOOKUP($L47,OFFSET([3]enemies!$A$1,0,0,COUNTA([3]enemies!$A:$A),MATCH(AA$1,[3]enemies!$1:$1,0)-MATCH($L$1,[3]enemies!$1:$1,0)+1),MATCH(AA$1,[3]enemies!$1:$1,0)-MATCH($L$1,[3]enemies!$1:$1,0)+1,FALSE)</f>
        <v>4</v>
      </c>
      <c r="AB47" s="20">
        <f t="shared" ref="AB47" si="53">L47</f>
        <v>335</v>
      </c>
      <c r="AC47" s="4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47" s="4">
        <f ca="1">VLOOKUP($AB47,OFFSET([4]characters!$A$1,0,0,COUNTA([4]characters!$A:$A),MATCH(AD$1,[4]characters!$1:$1,0)-MATCH("character_id",[4]characters!$1:$1,0)+1),MATCH(AD$1,[4]characters!$1:$1,0)-MATCH("character_id",[4]characters!$1:$1,0)+1,FALSE)</f>
        <v>6</v>
      </c>
      <c r="AE47" s="4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7" s="144">
        <v>1</v>
      </c>
      <c r="AG47" s="20">
        <f t="shared" ref="AG47" ca="1" si="54">AD47</f>
        <v>6</v>
      </c>
      <c r="AH47" s="8">
        <v>100</v>
      </c>
      <c r="AI47" s="144">
        <v>0</v>
      </c>
      <c r="AJ47" s="144">
        <v>0</v>
      </c>
      <c r="AK47" s="144">
        <v>0</v>
      </c>
      <c r="AL47" s="144">
        <v>0</v>
      </c>
      <c r="AM47" s="144">
        <v>1</v>
      </c>
      <c r="AN47" s="65">
        <v>1</v>
      </c>
    </row>
    <row r="48" spans="1:40" ht="21" customHeight="1" thickBot="1" x14ac:dyDescent="0.2">
      <c r="A48" s="15" t="str">
        <f t="shared" ca="1" si="10"/>
        <v>15028_4-5/120&lt;lv1&gt;s4</v>
      </c>
      <c r="B48" s="116">
        <v>15028</v>
      </c>
      <c r="C48" s="95">
        <v>4</v>
      </c>
      <c r="D48" s="2" t="str">
        <f t="shared" si="11"/>
        <v>15028_4</v>
      </c>
      <c r="E48" s="4" t="str">
        <f ca="1">VLOOKUP($B48,OFFSET([2]quests!$A$1,0,0,COUNTA([2]quests!$A:$A),MATCH(E$1,[2]quests!$1:$1,0)-MATCH($B$1,[2]quests!$1:$1,0)+1),MATCH(E$1,[2]quests!$1:$1,0)-MATCH($B$1,[2]quests!$1:$1,0)+1,FALSE)</f>
        <v>28. 暴風と灼熱の罪浄</v>
      </c>
      <c r="F48" s="4" t="str">
        <f ca="1">VLOOKUP($D48,OFFSET([2]stages!$A$1,0,0,COUNTA([2]stages!$A:$A),MATCH(F$1,[2]stages!$2:$2,0)-MATCH($D$1,[2]stages!$2:$2,0)+1),MATCH(F$1,[2]stages!$2:$2,0)-MATCH($D$1,[2]stages!$2:$2,0)+1,FALSE)</f>
        <v>28-4. 【1回のみ】ボーナスステージ</v>
      </c>
      <c r="G48" s="95">
        <v>5</v>
      </c>
      <c r="H48" s="14" t="str">
        <f t="shared" si="12"/>
        <v>15028_4-5</v>
      </c>
      <c r="I48" s="4">
        <f ca="1">VLOOKUP($H48,OFFSET(floors!$A$1,0,0,COUNTA(floors!$A:$A),MATCH(I$1,floors!$1:$1,0)-MATCH($H$1,floors!$1:$1,0)+1),MATCH(I$1,floors!$1:$1,0)-MATCH($H$1,floors!$1:$1,0)+1,FALSE)</f>
        <v>40</v>
      </c>
      <c r="J48" s="4">
        <f ca="1">VLOOKUP($H48,OFFSET(floors!$A$1,0,0,COUNTA(floors!$A:$A),MATCH(J$1,floors!$1:$1,0)-MATCH($H$1,floors!$1:$1,0)+1),MATCH(J$1,floors!$1:$1,0)-MATCH($H$1,floors!$1:$1,0)+1,FALSE)</f>
        <v>40</v>
      </c>
      <c r="K48" s="101" t="s">
        <v>53</v>
      </c>
      <c r="L48" s="181">
        <v>120</v>
      </c>
      <c r="M48" s="16" t="str">
        <f ca="1">VLOOKUP($L48,OFFSET([3]enemies!$A$1,0,0,COUNTA([3]enemies!$A:$A),MATCH(M$1,[3]enemies!$1:$1,0)-MATCH($L$1,[3]enemies!$1:$1,0)+1),MATCH(M$1,[3]enemies!$1:$1,0)-MATCH($L$1,[3]enemies!$1:$1,0)+1,FALSE)</f>
        <v>ゴールドキング</v>
      </c>
      <c r="N48" s="16" t="str">
        <f ca="1">VLOOKUP($L48,OFFSET([3]enemies!$A$1,0,0,COUNTA([3]enemies!$A:$A),MATCH(N$1,[3]enemies!$1:$1,0)-MATCH($L$1,[3]enemies!$1:$1,0)+1),MATCH(N$1,[3]enemies!$1:$1,0)-MATCH($L$1,[3]enemies!$1:$1,0)+1,FALSE)</f>
        <v>yellow</v>
      </c>
      <c r="O48" s="16" t="str">
        <f ca="1">VLOOKUP($L48,OFFSET([4]characters!$A$1,0,0,COUNTA([4]characters!$A:$A),MATCH(O$1,[4]characters!$1:$1,0)-MATCH($L$1,[4]characters!$1:$1,0)+1),MATCH(O$1,[4]characters!$1:$1,0)-MATCH($L$1,[4]characters!$1:$1,0)+1,FALSE)</f>
        <v>Material</v>
      </c>
      <c r="P48" s="16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16">
        <f ca="1">VLOOKUP($L48,OFFSET([3]enemies!$A$1,0,0,COUNTA([3]enemies!$A:$A),MATCH(Q$1,[3]enemies!$1:$1,0)-MATCH($L$1,[3]enemies!$1:$1,0)+1),MATCH(Q$1,[3]enemies!$1:$1,0)-MATCH($L$1,[3]enemies!$1:$1,0)+1,FALSE)</f>
        <v>20</v>
      </c>
      <c r="R48" s="5">
        <v>1</v>
      </c>
      <c r="S48" s="138">
        <v>1</v>
      </c>
      <c r="T48" s="138">
        <v>1</v>
      </c>
      <c r="U48" s="139">
        <v>0</v>
      </c>
      <c r="V48" s="4" t="e">
        <f ca="1">VLOOKUP($W48,OFFSET(enemy_skill_sets!$B$1,0,0,COUNTA(enemy_skill_sets!$B:$B),MATCH(M$1,enemy_skill_sets!$1:$1,0)-MATCH($W$1,enemy_skill_sets!$1:$1,0)+2),MATCH(M$1,enemy_skill_sets!$1:$1,0)-MATCH($W$1,enemy_skill_sets!$1:$1,0)+2,FALSE)</f>
        <v>#N/A</v>
      </c>
      <c r="W48" s="4">
        <f ca="1">VLOOKUP($L48,OFFSET([3]enemies!$A$1,0,0,COUNTA([3]enemies!$A:$A),MATCH(W$1,[3]enemies!$1:$1,0)-MATCH($L$1,[3]enemies!$1:$1,0)+1),MATCH(W$1,[3]enemies!$1:$1,0)-MATCH($L$1,[3]enemies!$1:$1,0)+1,FALSE)</f>
        <v>0</v>
      </c>
      <c r="X48" s="142">
        <v>0</v>
      </c>
      <c r="Y48" s="142">
        <v>100</v>
      </c>
      <c r="Z48" s="142">
        <v>0</v>
      </c>
      <c r="AA48" s="16">
        <f ca="1">VLOOKUP($L48,OFFSET([3]enemies!$A$1,0,0,COUNTA([3]enemies!$A:$A),MATCH(AA$1,[3]enemies!$1:$1,0)-MATCH($L$1,[3]enemies!$1:$1,0)+1),MATCH(AA$1,[3]enemies!$1:$1,0)-MATCH($L$1,[3]enemies!$1:$1,0)+1,FALSE)</f>
        <v>4</v>
      </c>
      <c r="AB48" s="20">
        <f t="shared" si="13"/>
        <v>120</v>
      </c>
      <c r="AC48" s="4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48" s="4">
        <f ca="1">VLOOKUP($AB48,OFFSET([4]characters!$A$1,0,0,COUNTA([4]characters!$A:$A),MATCH(AD$1,[4]characters!$1:$1,0)-MATCH("character_id",[4]characters!$1:$1,0)+1),MATCH(AD$1,[4]characters!$1:$1,0)-MATCH("character_id",[4]characters!$1:$1,0)+1,FALSE)</f>
        <v>6</v>
      </c>
      <c r="AE48" s="4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8" s="148">
        <v>1</v>
      </c>
      <c r="AG48" s="20">
        <f t="shared" ca="1" si="14"/>
        <v>6</v>
      </c>
      <c r="AH48" s="156">
        <v>100</v>
      </c>
      <c r="AI48" s="148">
        <v>0</v>
      </c>
      <c r="AJ48" s="148">
        <v>0</v>
      </c>
      <c r="AK48" s="148">
        <v>0</v>
      </c>
      <c r="AL48" s="148">
        <v>0</v>
      </c>
      <c r="AM48" s="148">
        <v>1</v>
      </c>
      <c r="AN48" s="157">
        <v>1</v>
      </c>
    </row>
    <row r="137" spans="32:32" ht="21" customHeight="1" x14ac:dyDescent="0.15">
      <c r="AF137" s="10" t="s">
        <v>226</v>
      </c>
    </row>
  </sheetData>
  <sheetProtection selectLockedCells="1" selectUnlockedCells="1"/>
  <autoFilter ref="B1:AH48"/>
  <phoneticPr fontId="6"/>
  <pageMargins left="0.74791666666666667" right="0.74791666666666667" top="0.98402777777777772" bottom="0.98402777777777772" header="0.51180555555555551" footer="0.51180555555555551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25" sqref="N25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16</v>
      </c>
      <c r="F1" s="26" t="s">
        <v>16</v>
      </c>
      <c r="G1" s="24" t="s">
        <v>19</v>
      </c>
      <c r="H1" s="25" t="s">
        <v>30</v>
      </c>
      <c r="I1" s="25" t="s">
        <v>14</v>
      </c>
      <c r="J1" s="25" t="s">
        <v>15</v>
      </c>
      <c r="K1" s="32" t="s">
        <v>54</v>
      </c>
      <c r="L1" s="32" t="s">
        <v>55</v>
      </c>
      <c r="M1" s="33" t="s">
        <v>2</v>
      </c>
      <c r="N1" s="27" t="s">
        <v>16</v>
      </c>
      <c r="O1" s="25" t="s">
        <v>24</v>
      </c>
      <c r="P1" s="25" t="s">
        <v>23</v>
      </c>
      <c r="Q1" s="28" t="s">
        <v>26</v>
      </c>
      <c r="R1" s="26" t="s">
        <v>25</v>
      </c>
      <c r="S1" s="24" t="s">
        <v>3</v>
      </c>
      <c r="T1" s="22" t="s">
        <v>48</v>
      </c>
      <c r="U1" s="22" t="s">
        <v>50</v>
      </c>
      <c r="V1" s="22" t="s">
        <v>52</v>
      </c>
      <c r="W1" s="24" t="s">
        <v>130</v>
      </c>
      <c r="X1" s="25" t="s">
        <v>129</v>
      </c>
      <c r="Y1" s="24" t="s">
        <v>8</v>
      </c>
    </row>
    <row r="2" spans="1:25" ht="21" customHeight="1" x14ac:dyDescent="0.15">
      <c r="A2" s="15" t="str">
        <f>B2&amp;"_"&amp;C2&amp;"-"&amp;G2&amp;"/"&amp;M2&amp;"&lt;lv"&amp;S2&amp;"&gt;sq"&amp;K2&amp;"st"&amp;L2</f>
        <v>15028_2-4/254&lt;lv65&gt;sq1st2</v>
      </c>
      <c r="B2" s="144">
        <v>15028</v>
      </c>
      <c r="C2" s="114">
        <v>2</v>
      </c>
      <c r="D2" s="2" t="str">
        <f>B2&amp;"_"&amp;C2</f>
        <v>15028_2</v>
      </c>
      <c r="E2" s="4" t="str">
        <f ca="1">VLOOKUP($B2,OFFSET([2]quests!$A$1,0,0,COUNTA([2]quests!$A:$A),MATCH(E$1,[2]quests!$1:$1,0)-MATCH($B$1,[2]quests!$1:$1,0)+1),MATCH(E$1,[2]quests!$1:$1,0)-MATCH($B$1,[2]quests!$1:$1,0)+1,FALSE)</f>
        <v>28. 暴風と灼熱の罪浄</v>
      </c>
      <c r="F2" s="4" t="str">
        <f ca="1">VLOOKUP($D2,OFFSET([2]stages!$A$1,0,0,COUNTA([2]stages!$A:$A),MATCH(F$1,[2]stages!$2:$2,0)-MATCH($D$1,[2]stages!$2:$2,0)+1),MATCH(F$1,[2]stages!$2:$2,0)-MATCH($D$1,[2]stages!$2:$2,0)+1,FALSE)</f>
        <v>28-2. 空の寝殿</v>
      </c>
      <c r="G2" s="178">
        <v>4</v>
      </c>
      <c r="H2" s="14" t="str">
        <f>B2&amp;"_"&amp;C2&amp;"-"&amp;G2</f>
        <v>15028_2-4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4">
        <v>1</v>
      </c>
      <c r="L2" s="34">
        <v>2</v>
      </c>
      <c r="M2" s="126">
        <v>254</v>
      </c>
      <c r="N2" s="16" t="str">
        <f ca="1">VLOOKUP($M2,OFFSET([3]enemies!$A$1,0,0,COUNTA([3]enemies!$A:$A),MATCH(N$1,[3]enemies!$1:$1,0)-MATCH($M$1,[3]enemies!$1:$1,0)+1),MATCH(N$1,[3]enemies!$1:$1,0)-MATCH($M$1,[3]enemies!$1:$1,0)+1,FALSE)</f>
        <v>怠惰 ベルフェゴール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6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65</v>
      </c>
      <c r="T2" s="21">
        <v>2.6</v>
      </c>
      <c r="U2" s="21">
        <v>1.1000000000000001</v>
      </c>
      <c r="V2" s="5">
        <v>0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全体攻撃&amp;低確率でスキルバインド状態にする！</v>
      </c>
      <c r="X2" s="160">
        <v>15028017</v>
      </c>
      <c r="Y2" s="177">
        <v>2</v>
      </c>
    </row>
    <row r="3" spans="1:25" ht="21" customHeight="1" x14ac:dyDescent="0.15">
      <c r="A3" s="15" t="str">
        <f>B3&amp;"_"&amp;C3&amp;"-"&amp;G3&amp;"/"&amp;M3&amp;"&lt;lv"&amp;S3&amp;"&gt;sq"&amp;K3&amp;"st"&amp;L3</f>
        <v>15028_2-4/390&lt;lv65&gt;sq2st2</v>
      </c>
      <c r="B3" s="144">
        <v>15028</v>
      </c>
      <c r="C3" s="114">
        <v>2</v>
      </c>
      <c r="D3" s="2" t="str">
        <f>B3&amp;"_"&amp;C3</f>
        <v>15028_2</v>
      </c>
      <c r="E3" s="4" t="str">
        <f ca="1">VLOOKUP($B3,OFFSET([2]quests!$A$1,0,0,COUNTA([2]quests!$A:$A),MATCH(E$1,[2]quests!$1:$1,0)-MATCH($B$1,[2]quests!$1:$1,0)+1),MATCH(E$1,[2]quests!$1:$1,0)-MATCH($B$1,[2]quests!$1:$1,0)+1,FALSE)</f>
        <v>28. 暴風と灼熱の罪浄</v>
      </c>
      <c r="F3" s="4" t="str">
        <f ca="1">VLOOKUP($D3,OFFSET([2]stages!$A$1,0,0,COUNTA([2]stages!$A:$A),MATCH(F$1,[2]stages!$2:$2,0)-MATCH($D$1,[2]stages!$2:$2,0)+1),MATCH(F$1,[2]stages!$2:$2,0)-MATCH($D$1,[2]stages!$2:$2,0)+1,FALSE)</f>
        <v>28-2. 空の寝殿</v>
      </c>
      <c r="G3" s="178">
        <v>4</v>
      </c>
      <c r="H3" s="14" t="str">
        <f>B3&amp;"_"&amp;C3&amp;"-"&amp;G3</f>
        <v>15028_2-4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4">
        <v>2</v>
      </c>
      <c r="L3" s="34">
        <v>2</v>
      </c>
      <c r="M3" s="126">
        <v>390</v>
      </c>
      <c r="N3" s="16" t="str">
        <f ca="1">VLOOKUP($M3,OFFSET([3]enemies!$A$1,0,0,COUNTA([3]enemies!$A:$A),MATCH(N$1,[3]enemies!$1:$1,0)-MATCH($M$1,[3]enemies!$1:$1,0)+1),MATCH(N$1,[3]enemies!$1:$1,0)-MATCH($M$1,[3]enemies!$1:$1,0)+1,FALSE)</f>
        <v>華環の旅客 親指姫</v>
      </c>
      <c r="O3" s="16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6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65</v>
      </c>
      <c r="T3" s="21">
        <v>1.5</v>
      </c>
      <c r="U3" s="21">
        <v>1</v>
      </c>
      <c r="V3" s="5">
        <v>0</v>
      </c>
      <c r="W3" s="4" t="str">
        <f ca="1">VLOOKUP($X3,OFFSET(enemy_skill_sets!$B$1,0,0,COUNTA(enemy_skill_sets!$B:$B),MATCH(N$1,enemy_skill_sets!$1:$1,0)-MATCH($X$1,enemy_skill_sets!$1:$1,0)+2),MATCH(N$1,enemy_skill_sets!$1:$1,0)-MATCH($X$1,enemy_skill_sets!$1:$1,0)+2,FALSE)</f>
        <v>行動頻度がUP</v>
      </c>
      <c r="X3" s="160">
        <v>15028019</v>
      </c>
      <c r="Y3" s="177">
        <v>2</v>
      </c>
    </row>
    <row r="4" spans="1:25" ht="21" customHeight="1" x14ac:dyDescent="0.15">
      <c r="A4" s="15" t="str">
        <f>B4&amp;"_"&amp;C4&amp;"-"&amp;G4&amp;"/"&amp;M4&amp;"&lt;lv"&amp;S4&amp;"&gt;sq"&amp;K4&amp;"st"&amp;L4</f>
        <v>15028_3-4/495&lt;lv67&gt;sq3st2</v>
      </c>
      <c r="B4" s="144">
        <v>15028</v>
      </c>
      <c r="C4" s="118">
        <v>3</v>
      </c>
      <c r="D4" s="2" t="str">
        <f>B4&amp;"_"&amp;C4</f>
        <v>15028_3</v>
      </c>
      <c r="E4" s="4" t="str">
        <f ca="1">VLOOKUP($B4,OFFSET([2]quests!$A$1,0,0,COUNTA([2]quests!$A:$A),MATCH(E$1,[2]quests!$1:$1,0)-MATCH($B$1,[2]quests!$1:$1,0)+1),MATCH(E$1,[2]quests!$1:$1,0)-MATCH($B$1,[2]quests!$1:$1,0)+1,FALSE)</f>
        <v>28. 暴風と灼熱の罪浄</v>
      </c>
      <c r="F4" s="4" t="str">
        <f ca="1">VLOOKUP($D4,OFFSET([2]stages!$A$1,0,0,COUNTA([2]stages!$A:$A),MATCH(F$1,[2]stages!$2:$2,0)-MATCH($D$1,[2]stages!$2:$2,0)+1),MATCH(F$1,[2]stages!$2:$2,0)-MATCH($D$1,[2]stages!$2:$2,0)+1,FALSE)</f>
        <v>28-3. 縛風の洞窟</v>
      </c>
      <c r="G4" s="178">
        <v>4</v>
      </c>
      <c r="H4" s="14" t="str">
        <f>B4&amp;"_"&amp;C4&amp;"-"&amp;G4</f>
        <v>15028_3-4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4">
        <v>3</v>
      </c>
      <c r="L4" s="34">
        <v>2</v>
      </c>
      <c r="M4" s="126">
        <v>495</v>
      </c>
      <c r="N4" s="16" t="str">
        <f ca="1">VLOOKUP($M4,OFFSET([3]enemies!$A$1,0,0,COUNTA([3]enemies!$A:$A),MATCH(N$1,[3]enemies!$1:$1,0)-MATCH($M$1,[3]enemies!$1:$1,0)+1),MATCH(N$1,[3]enemies!$1:$1,0)-MATCH($M$1,[3]enemies!$1:$1,0)+1,FALSE)</f>
        <v>鼠災呼ぶ笛音 ハーメルン</v>
      </c>
      <c r="O4" s="16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67</v>
      </c>
      <c r="T4" s="21">
        <v>2</v>
      </c>
      <c r="U4" s="21">
        <v>1.1000000000000001</v>
      </c>
      <c r="V4" s="5">
        <v>0</v>
      </c>
      <c r="W4" s="4" t="str">
        <f ca="1">VLOOKUP($X4,OFFSET(enemy_skill_sets!$B$1,0,0,COUNTA(enemy_skill_sets!$B:$B),MATCH(N$1,enemy_skill_sets!$1:$1,0)-MATCH($X$1,enemy_skill_sets!$1:$1,0)+2),MATCH(N$1,enemy_skill_sets!$1:$1,0)-MATCH($X$1,enemy_skill_sets!$1:$1,0)+2,FALSE)</f>
        <v>この戦闘の間緑パネルが使えない！</v>
      </c>
      <c r="X4" s="160">
        <v>15028027</v>
      </c>
      <c r="Y4" s="177">
        <v>2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6"/>
  <sheetViews>
    <sheetView showGridLines="0" workbookViewId="0">
      <pane ySplit="1" topLeftCell="A31" activePane="bottomLeft" state="frozenSplit"/>
      <selection pane="bottomLeft" activeCell="C2" sqref="C2"/>
    </sheetView>
  </sheetViews>
  <sheetFormatPr baseColWidth="12" defaultColWidth="12.83203125" defaultRowHeight="21" customHeight="1" outlineLevelCol="1" x14ac:dyDescent="0.15"/>
  <cols>
    <col min="1" max="1" width="12.83203125" style="45"/>
    <col min="2" max="2" width="67.1640625" style="45" customWidth="1"/>
    <col min="3" max="4" width="12.83203125" style="45"/>
    <col min="5" max="5" width="23.6640625" style="45" bestFit="1" customWidth="1"/>
    <col min="6" max="6" width="44.1640625" style="45" bestFit="1" customWidth="1"/>
    <col min="7" max="7" width="52" style="45" hidden="1" customWidth="1" outlineLevel="1"/>
    <col min="8" max="8" width="18.33203125" style="45" hidden="1" customWidth="1" outlineLevel="1"/>
    <col min="9" max="11" width="18.6640625" style="45" hidden="1" customWidth="1" outlineLevel="1"/>
    <col min="12" max="12" width="23.6640625" style="45" customWidth="1" collapsed="1"/>
    <col min="13" max="18" width="23.6640625" style="45" hidden="1" customWidth="1" outlineLevel="1"/>
    <col min="19" max="19" width="23.6640625" style="45" customWidth="1" collapsed="1"/>
    <col min="20" max="24" width="23.6640625" style="45" hidden="1" customWidth="1" outlineLevel="1"/>
    <col min="25" max="25" width="23.6640625" style="45" customWidth="1" collapsed="1"/>
    <col min="26" max="27" width="12.83203125" style="45"/>
    <col min="28" max="28" width="44.5" style="45" customWidth="1"/>
    <col min="29" max="16384" width="12.83203125" style="45"/>
  </cols>
  <sheetData>
    <row r="1" spans="1:28" ht="21" customHeight="1" x14ac:dyDescent="0.15">
      <c r="A1" s="36" t="s">
        <v>79</v>
      </c>
      <c r="B1" s="36" t="s">
        <v>80</v>
      </c>
      <c r="C1" s="36" t="s">
        <v>81</v>
      </c>
      <c r="D1" s="36" t="s">
        <v>127</v>
      </c>
      <c r="E1" s="36" t="s">
        <v>82</v>
      </c>
      <c r="F1" s="36" t="s">
        <v>83</v>
      </c>
      <c r="G1" s="37" t="s">
        <v>133</v>
      </c>
      <c r="H1" s="37" t="s">
        <v>139</v>
      </c>
      <c r="I1" s="37" t="s">
        <v>141</v>
      </c>
      <c r="J1" s="37" t="s">
        <v>140</v>
      </c>
      <c r="K1" s="37" t="s">
        <v>142</v>
      </c>
      <c r="L1" s="37" t="s">
        <v>134</v>
      </c>
      <c r="M1" s="37" t="s">
        <v>132</v>
      </c>
      <c r="N1" s="37" t="s">
        <v>135</v>
      </c>
      <c r="O1" s="37" t="s">
        <v>143</v>
      </c>
      <c r="P1" s="37" t="s">
        <v>144</v>
      </c>
      <c r="Q1" s="37" t="s">
        <v>145</v>
      </c>
      <c r="R1" s="37" t="s">
        <v>146</v>
      </c>
      <c r="S1" s="37" t="s">
        <v>136</v>
      </c>
      <c r="T1" s="37" t="s">
        <v>137</v>
      </c>
      <c r="U1" s="37" t="s">
        <v>147</v>
      </c>
      <c r="V1" s="37" t="s">
        <v>148</v>
      </c>
      <c r="W1" s="37" t="s">
        <v>149</v>
      </c>
      <c r="X1" s="37" t="s">
        <v>150</v>
      </c>
      <c r="Y1" s="37" t="s">
        <v>138</v>
      </c>
      <c r="Z1" s="37" t="s">
        <v>76</v>
      </c>
      <c r="AA1" s="37" t="s">
        <v>77</v>
      </c>
      <c r="AB1" s="37" t="s">
        <v>78</v>
      </c>
    </row>
    <row r="2" spans="1:28" ht="21" customHeight="1" x14ac:dyDescent="0.15">
      <c r="A2" s="180">
        <v>15028001</v>
      </c>
      <c r="B2" s="43" t="s">
        <v>223</v>
      </c>
      <c r="C2" s="46">
        <v>3</v>
      </c>
      <c r="D2" s="46" t="s">
        <v>128</v>
      </c>
      <c r="E2" s="47" t="s">
        <v>293</v>
      </c>
      <c r="F2" s="47" t="s">
        <v>222</v>
      </c>
      <c r="G2" s="59" t="str">
        <f t="shared" ref="G2:G17" si="0">IFERROR(LEFT(B2,FIND("],",B2)),B2)</f>
        <v>[effect:dis_heart, turn:4, animation:enemy_dis_heart]</v>
      </c>
      <c r="H2" s="59">
        <f t="shared" ref="H2:H31" si="1">FIND("effect:",G2)+7</f>
        <v>9</v>
      </c>
      <c r="I2" s="59">
        <f t="shared" ref="I2:I17" si="2">IFERROR(FIND(",",G2),LEN(G2))</f>
        <v>18</v>
      </c>
      <c r="J2" s="59" t="e">
        <f t="shared" ref="J2:J17" si="3">FIND("target:",G2)+7</f>
        <v>#VALUE!</v>
      </c>
      <c r="K2" s="59">
        <f t="shared" ref="K2:K17" si="4">FIND(",",G2,I2+1)</f>
        <v>26</v>
      </c>
      <c r="L2" s="59" t="str">
        <f>IFERROR(VLOOKUP(MID(G2,J2,K2-J2),[5]skilldef!$C:$D,2,FALSE),"-") &amp; " / " &amp; IFERROR(VLOOKUP(MID(G2,H2,I2-H2),[5]skilldef!$A:$B,2,FALSE),"-")</f>
        <v>- / ディスハート</v>
      </c>
      <c r="M2" s="59" t="str">
        <f t="shared" ref="M2:M17" si="5">IFERROR(RIGHT(B2,LEN(B2)-FIND("],",B2)-1),"none")</f>
        <v>none</v>
      </c>
      <c r="N2" s="44" t="str">
        <f>IFERROR(LEFT(M2,FIND("],",M2)+S37),M2)</f>
        <v>none</v>
      </c>
      <c r="O2" s="59" t="e">
        <f t="shared" ref="O2:O31" si="6">FIND("effect:",N2)+7</f>
        <v>#VALUE!</v>
      </c>
      <c r="P2" s="59">
        <f t="shared" ref="P2:P17" si="7">IFERROR(FIND(",",N2),LEN(N2))</f>
        <v>4</v>
      </c>
      <c r="Q2" s="59" t="e">
        <f t="shared" ref="Q2:Q17" si="8">FIND("target:",N2)+7</f>
        <v>#VALUE!</v>
      </c>
      <c r="R2" s="59" t="e">
        <f t="shared" ref="R2:R17" si="9">FIND(",",N2,P2+1)</f>
        <v>#VALUE!</v>
      </c>
      <c r="S2" s="59" t="str">
        <f>IFERROR(VLOOKUP(MID(N2,Q2,R2-Q2),[5]skilldef!$C:$D,2,FALSE),"-") &amp; " / " &amp; IFERROR(VLOOKUP(MID(N2,O2,P2-O2),[5]skilldef!$A:$B,2,FALSE),"-")</f>
        <v>- / -</v>
      </c>
      <c r="T2" s="44" t="str">
        <f t="shared" ref="T2:T17" si="10">IFERROR(RIGHT(M2,LEN(M2)-FIND("],",M2)-1),"none")</f>
        <v>none</v>
      </c>
      <c r="U2" s="59" t="e">
        <f t="shared" ref="U2:U31" si="11">FIND("effect:",T2)+7</f>
        <v>#VALUE!</v>
      </c>
      <c r="V2" s="59">
        <f t="shared" ref="V2:V17" si="12">IFERROR(FIND(",",T2),LEN(T2))</f>
        <v>4</v>
      </c>
      <c r="W2" s="59" t="e">
        <f t="shared" ref="W2:W17" si="13">FIND("target:",T2)+7</f>
        <v>#VALUE!</v>
      </c>
      <c r="X2" s="59" t="e">
        <f t="shared" ref="X2:X17" si="14">FIND(",",T2,V2+1)</f>
        <v>#VALUE!</v>
      </c>
      <c r="Y2" s="59" t="str">
        <f>IFERROR(VLOOKUP(MID(T2,W2,X2-W2),[5]skilldef!$C:$D,2,FALSE),"-") &amp; " / " &amp; IFERROR(VLOOKUP(MID(T2,U2,V2-U2),[5]skilldef!$A:$B,2,FALSE),"-")</f>
        <v>- / -</v>
      </c>
      <c r="Z2" s="46"/>
      <c r="AA2" s="48"/>
      <c r="AB2" s="46"/>
    </row>
    <row r="3" spans="1:28" ht="21" customHeight="1" x14ac:dyDescent="0.15">
      <c r="A3" s="180">
        <v>15028002</v>
      </c>
      <c r="B3" s="43" t="s">
        <v>274</v>
      </c>
      <c r="C3" s="46">
        <v>3</v>
      </c>
      <c r="D3" s="46" t="s">
        <v>128</v>
      </c>
      <c r="E3" s="47" t="s">
        <v>294</v>
      </c>
      <c r="F3" s="47" t="s">
        <v>398</v>
      </c>
      <c r="G3" s="59" t="str">
        <f t="shared" si="0"/>
        <v>[effect:break_attack, val:0.12, lowest_val:1000, count:10, block:block_red, target:unit_one]</v>
      </c>
      <c r="H3" s="59">
        <f t="shared" si="1"/>
        <v>9</v>
      </c>
      <c r="I3" s="59">
        <f t="shared" si="2"/>
        <v>21</v>
      </c>
      <c r="J3" s="59">
        <f t="shared" si="3"/>
        <v>84</v>
      </c>
      <c r="K3" s="59">
        <f t="shared" si="4"/>
        <v>31</v>
      </c>
      <c r="L3" s="59" t="str">
        <f>IFERROR(VLOOKUP(MID(G3,J3,K3-J3),[5]skilldef!$C:$D,2,FALSE),"-") &amp; " / " &amp; IFERROR(VLOOKUP(MID(G3,H3,I3-H3),[5]skilldef!$A:$B,2,FALSE),"-")</f>
        <v>- / -</v>
      </c>
      <c r="M3" s="59" t="str">
        <f t="shared" si="5"/>
        <v>none</v>
      </c>
      <c r="N3" s="44" t="str">
        <f>IFERROR(LEFT(M3,FIND("],",M3)+#REF!),M3)</f>
        <v>none</v>
      </c>
      <c r="O3" s="59" t="e">
        <f t="shared" si="6"/>
        <v>#VALUE!</v>
      </c>
      <c r="P3" s="59">
        <f t="shared" si="7"/>
        <v>4</v>
      </c>
      <c r="Q3" s="59" t="e">
        <f t="shared" si="8"/>
        <v>#VALUE!</v>
      </c>
      <c r="R3" s="59" t="e">
        <f t="shared" si="9"/>
        <v>#VALUE!</v>
      </c>
      <c r="S3" s="59" t="str">
        <f>IFERROR(VLOOKUP(MID(N3,Q3,R3-Q3),[5]skilldef!$C:$D,2,FALSE),"-") &amp; " / " &amp; IFERROR(VLOOKUP(MID(N3,O3,P3-O3),[5]skilldef!$A:$B,2,FALSE),"-")</f>
        <v>- / -</v>
      </c>
      <c r="T3" s="44" t="str">
        <f t="shared" si="10"/>
        <v>none</v>
      </c>
      <c r="U3" s="59" t="e">
        <f t="shared" si="11"/>
        <v>#VALUE!</v>
      </c>
      <c r="V3" s="59">
        <f t="shared" si="12"/>
        <v>4</v>
      </c>
      <c r="W3" s="59" t="e">
        <f t="shared" si="13"/>
        <v>#VALUE!</v>
      </c>
      <c r="X3" s="59" t="e">
        <f t="shared" si="14"/>
        <v>#VALUE!</v>
      </c>
      <c r="Y3" s="59" t="str">
        <f>IFERROR(VLOOKUP(MID(T3,W3,X3-W3),[5]skilldef!$C:$D,2,FALSE),"-") &amp; " / " &amp; IFERROR(VLOOKUP(MID(T3,U3,V3-U3),[5]skilldef!$A:$B,2,FALSE),"-")</f>
        <v>- / -</v>
      </c>
      <c r="Z3" s="46"/>
      <c r="AA3" s="48"/>
      <c r="AB3" s="46"/>
    </row>
    <row r="4" spans="1:28" ht="21" customHeight="1" x14ac:dyDescent="0.15">
      <c r="A4" s="180">
        <v>15028003</v>
      </c>
      <c r="B4" s="43" t="s">
        <v>239</v>
      </c>
      <c r="C4" s="46">
        <v>3</v>
      </c>
      <c r="D4" s="46" t="s">
        <v>128</v>
      </c>
      <c r="E4" s="47" t="s">
        <v>292</v>
      </c>
      <c r="F4" s="47" t="s">
        <v>240</v>
      </c>
      <c r="G4" s="59" t="str">
        <f t="shared" ref="G4" si="15">IFERROR(LEFT(B4,FIND("],",B4)),B4)</f>
        <v>[effect:spread, val:0.3]</v>
      </c>
      <c r="H4" s="59">
        <f t="shared" ref="H4" si="16">FIND("effect:",G4)+7</f>
        <v>9</v>
      </c>
      <c r="I4" s="59">
        <f t="shared" ref="I4" si="17">IFERROR(FIND(",",G4),LEN(G4))</f>
        <v>15</v>
      </c>
      <c r="J4" s="59" t="e">
        <f t="shared" ref="J4" si="18">FIND("target:",G4)+7</f>
        <v>#VALUE!</v>
      </c>
      <c r="K4" s="59" t="e">
        <f t="shared" ref="K4" si="19">FIND(",",G4,I4+1)</f>
        <v>#VALUE!</v>
      </c>
      <c r="L4" s="59" t="str">
        <f>IFERROR(VLOOKUP(MID(G4,J4,K4-J4),[5]skilldef!$C:$D,2,FALSE),"-") &amp; " / " &amp; IFERROR(VLOOKUP(MID(G4,H4,I4-H4),[5]skilldef!$A:$B,2,FALSE),"-")</f>
        <v>- / 全体攻撃</v>
      </c>
      <c r="M4" s="59" t="str">
        <f t="shared" ref="M4" si="20">IFERROR(RIGHT(B4,LEN(B4)-FIND("],",B4)-1),"none")</f>
        <v>none</v>
      </c>
      <c r="N4" s="44" t="str">
        <f>IFERROR(LEFT(M4,FIND("],",M4)+S39),M4)</f>
        <v>none</v>
      </c>
      <c r="O4" s="59" t="e">
        <f t="shared" ref="O4" si="21">FIND("effect:",N4)+7</f>
        <v>#VALUE!</v>
      </c>
      <c r="P4" s="59">
        <f t="shared" ref="P4" si="22">IFERROR(FIND(",",N4),LEN(N4))</f>
        <v>4</v>
      </c>
      <c r="Q4" s="59" t="e">
        <f t="shared" ref="Q4" si="23">FIND("target:",N4)+7</f>
        <v>#VALUE!</v>
      </c>
      <c r="R4" s="59" t="e">
        <f t="shared" ref="R4" si="24">FIND(",",N4,P4+1)</f>
        <v>#VALUE!</v>
      </c>
      <c r="S4" s="59" t="str">
        <f>IFERROR(VLOOKUP(MID(N4,Q4,R4-Q4),[5]skilldef!$C:$D,2,FALSE),"-") &amp; " / " &amp; IFERROR(VLOOKUP(MID(N4,O4,P4-O4),[5]skilldef!$A:$B,2,FALSE),"-")</f>
        <v>- / -</v>
      </c>
      <c r="T4" s="44" t="str">
        <f t="shared" ref="T4" si="25">IFERROR(RIGHT(M4,LEN(M4)-FIND("],",M4)-1),"none")</f>
        <v>none</v>
      </c>
      <c r="U4" s="59" t="e">
        <f t="shared" ref="U4" si="26">FIND("effect:",T4)+7</f>
        <v>#VALUE!</v>
      </c>
      <c r="V4" s="59">
        <f t="shared" ref="V4" si="27">IFERROR(FIND(",",T4),LEN(T4))</f>
        <v>4</v>
      </c>
      <c r="W4" s="59" t="e">
        <f t="shared" ref="W4" si="28">FIND("target:",T4)+7</f>
        <v>#VALUE!</v>
      </c>
      <c r="X4" s="59" t="e">
        <f t="shared" ref="X4" si="29">FIND(",",T4,V4+1)</f>
        <v>#VALUE!</v>
      </c>
      <c r="Y4" s="59" t="str">
        <f>IFERROR(VLOOKUP(MID(T4,W4,X4-W4),[5]skilldef!$C:$D,2,FALSE),"-") &amp; " / " &amp; IFERROR(VLOOKUP(MID(T4,U4,V4-U4),[5]skilldef!$A:$B,2,FALSE),"-")</f>
        <v>- / -</v>
      </c>
      <c r="Z4" s="46"/>
      <c r="AA4" s="48"/>
      <c r="AB4" s="46"/>
    </row>
    <row r="5" spans="1:28" ht="21" customHeight="1" x14ac:dyDescent="0.15">
      <c r="A5" s="180">
        <v>15028004</v>
      </c>
      <c r="B5" s="43" t="s">
        <v>253</v>
      </c>
      <c r="C5" s="46">
        <v>3</v>
      </c>
      <c r="D5" s="46" t="s">
        <v>128</v>
      </c>
      <c r="E5" s="47" t="s">
        <v>310</v>
      </c>
      <c r="F5" s="47" t="s">
        <v>242</v>
      </c>
      <c r="G5" s="59" t="str">
        <f t="shared" ref="G5:G7" si="30">IFERROR(LEFT(B5,FIND("],",B5)),B5)</f>
        <v>[effect:critical, val:1.5]</v>
      </c>
      <c r="H5" s="59">
        <f t="shared" ref="H5:H7" si="31">FIND("effect:",G5)+7</f>
        <v>9</v>
      </c>
      <c r="I5" s="59">
        <f t="shared" ref="I5:I7" si="32">IFERROR(FIND(",",G5),LEN(G5))</f>
        <v>17</v>
      </c>
      <c r="J5" s="59" t="e">
        <f t="shared" ref="J5:J7" si="33">FIND("target:",G5)+7</f>
        <v>#VALUE!</v>
      </c>
      <c r="K5" s="59" t="e">
        <f t="shared" ref="K5:K7" si="34">FIND(",",G5,I5+1)</f>
        <v>#VALUE!</v>
      </c>
      <c r="L5" s="59" t="str">
        <f>IFERROR(VLOOKUP(MID(G5,J5,K5-J5),[5]skilldef!$C:$D,2,FALSE),"-") &amp; " / " &amp; IFERROR(VLOOKUP(MID(G5,H5,I5-H5),[5]skilldef!$A:$B,2,FALSE),"-")</f>
        <v>- / 大攻撃</v>
      </c>
      <c r="M5" s="59" t="str">
        <f t="shared" ref="M5:M7" si="35">IFERROR(RIGHT(B5,LEN(B5)-FIND("],",B5)-1),"none")</f>
        <v>none</v>
      </c>
      <c r="N5" s="44" t="str">
        <f>IFERROR(LEFT(M5,FIND("],",M5)+S40),M5)</f>
        <v>none</v>
      </c>
      <c r="O5" s="59" t="e">
        <f t="shared" ref="O5:O7" si="36">FIND("effect:",N5)+7</f>
        <v>#VALUE!</v>
      </c>
      <c r="P5" s="59">
        <f t="shared" ref="P5:P7" si="37">IFERROR(FIND(",",N5),LEN(N5))</f>
        <v>4</v>
      </c>
      <c r="Q5" s="59" t="e">
        <f t="shared" ref="Q5:Q7" si="38">FIND("target:",N5)+7</f>
        <v>#VALUE!</v>
      </c>
      <c r="R5" s="59" t="e">
        <f t="shared" ref="R5:R7" si="39">FIND(",",N5,P5+1)</f>
        <v>#VALUE!</v>
      </c>
      <c r="S5" s="59" t="str">
        <f>IFERROR(VLOOKUP(MID(N5,Q5,R5-Q5),[5]skilldef!$C:$D,2,FALSE),"-") &amp; " / " &amp; IFERROR(VLOOKUP(MID(N5,O5,P5-O5),[5]skilldef!$A:$B,2,FALSE),"-")</f>
        <v>- / -</v>
      </c>
      <c r="T5" s="44" t="str">
        <f t="shared" ref="T5:T7" si="40">IFERROR(RIGHT(M5,LEN(M5)-FIND("],",M5)-1),"none")</f>
        <v>none</v>
      </c>
      <c r="U5" s="59" t="e">
        <f t="shared" ref="U5:U7" si="41">FIND("effect:",T5)+7</f>
        <v>#VALUE!</v>
      </c>
      <c r="V5" s="59">
        <f t="shared" ref="V5:V7" si="42">IFERROR(FIND(",",T5),LEN(T5))</f>
        <v>4</v>
      </c>
      <c r="W5" s="59" t="e">
        <f t="shared" ref="W5:W7" si="43">FIND("target:",T5)+7</f>
        <v>#VALUE!</v>
      </c>
      <c r="X5" s="59" t="e">
        <f t="shared" ref="X5:X7" si="44">FIND(",",T5,V5+1)</f>
        <v>#VALUE!</v>
      </c>
      <c r="Y5" s="59" t="str">
        <f>IFERROR(VLOOKUP(MID(T5,W5,X5-W5),[5]skilldef!$C:$D,2,FALSE),"-") &amp; " / " &amp; IFERROR(VLOOKUP(MID(T5,U5,V5-U5),[5]skilldef!$A:$B,2,FALSE),"-")</f>
        <v>- / -</v>
      </c>
      <c r="Z5" s="46"/>
      <c r="AA5" s="48"/>
      <c r="AB5" s="46"/>
    </row>
    <row r="6" spans="1:28" ht="21" customHeight="1" x14ac:dyDescent="0.15">
      <c r="A6" s="180">
        <v>15028005</v>
      </c>
      <c r="B6" s="43" t="s">
        <v>348</v>
      </c>
      <c r="C6" s="46">
        <v>3</v>
      </c>
      <c r="D6" s="46" t="s">
        <v>128</v>
      </c>
      <c r="E6" s="47" t="s">
        <v>314</v>
      </c>
      <c r="F6" s="47" t="s">
        <v>241</v>
      </c>
      <c r="G6" s="59" t="str">
        <f t="shared" si="30"/>
        <v>[effect:damage_fix_absolute, target:unit_one, val:5555]</v>
      </c>
      <c r="H6" s="59">
        <f t="shared" si="31"/>
        <v>9</v>
      </c>
      <c r="I6" s="59">
        <f t="shared" si="32"/>
        <v>28</v>
      </c>
      <c r="J6" s="59">
        <f t="shared" si="33"/>
        <v>37</v>
      </c>
      <c r="K6" s="59">
        <f t="shared" si="34"/>
        <v>45</v>
      </c>
      <c r="L6" s="59" t="str">
        <f>IFERROR(VLOOKUP(MID(G6,J6,K6-J6),[5]skilldef!$C:$D,2,FALSE),"-") &amp; " / " &amp; IFERROR(VLOOKUP(MID(G6,H6,I6-H6),[5]skilldef!$A:$B,2,FALSE),"-")</f>
        <v>味方単体に / -</v>
      </c>
      <c r="M6" s="59" t="str">
        <f t="shared" si="35"/>
        <v>none</v>
      </c>
      <c r="N6" s="44" t="str">
        <f>IFERROR(LEFT(M6,FIND("],",M6)+S40),M6)</f>
        <v>none</v>
      </c>
      <c r="O6" s="59" t="e">
        <f t="shared" si="36"/>
        <v>#VALUE!</v>
      </c>
      <c r="P6" s="59">
        <f t="shared" si="37"/>
        <v>4</v>
      </c>
      <c r="Q6" s="59" t="e">
        <f t="shared" si="38"/>
        <v>#VALUE!</v>
      </c>
      <c r="R6" s="59" t="e">
        <f t="shared" si="39"/>
        <v>#VALUE!</v>
      </c>
      <c r="S6" s="59" t="str">
        <f>IFERROR(VLOOKUP(MID(N6,Q6,R6-Q6),[5]skilldef!$C:$D,2,FALSE),"-") &amp; " / " &amp; IFERROR(VLOOKUP(MID(N6,O6,P6-O6),[5]skilldef!$A:$B,2,FALSE),"-")</f>
        <v>- / -</v>
      </c>
      <c r="T6" s="44" t="str">
        <f t="shared" si="40"/>
        <v>none</v>
      </c>
      <c r="U6" s="59" t="e">
        <f t="shared" si="41"/>
        <v>#VALUE!</v>
      </c>
      <c r="V6" s="59">
        <f t="shared" si="42"/>
        <v>4</v>
      </c>
      <c r="W6" s="59" t="e">
        <f t="shared" si="43"/>
        <v>#VALUE!</v>
      </c>
      <c r="X6" s="59" t="e">
        <f t="shared" si="44"/>
        <v>#VALUE!</v>
      </c>
      <c r="Y6" s="59" t="str">
        <f>IFERROR(VLOOKUP(MID(T6,W6,X6-W6),[5]skilldef!$C:$D,2,FALSE),"-") &amp; " / " &amp; IFERROR(VLOOKUP(MID(T6,U6,V6-U6),[5]skilldef!$A:$B,2,FALSE),"-")</f>
        <v>- / -</v>
      </c>
      <c r="Z6" s="46"/>
      <c r="AA6" s="48"/>
      <c r="AB6" s="46"/>
    </row>
    <row r="7" spans="1:28" ht="21" customHeight="1" x14ac:dyDescent="0.15">
      <c r="A7" s="180">
        <v>15028006</v>
      </c>
      <c r="B7" s="43" t="s">
        <v>243</v>
      </c>
      <c r="C7" s="46">
        <v>3</v>
      </c>
      <c r="D7" s="46" t="s">
        <v>128</v>
      </c>
      <c r="E7" s="47" t="s">
        <v>351</v>
      </c>
      <c r="F7" s="47" t="s">
        <v>244</v>
      </c>
      <c r="G7" s="59" t="str">
        <f t="shared" si="30"/>
        <v>[effect:rush, count:3, val:0.4]</v>
      </c>
      <c r="H7" s="59">
        <f t="shared" si="31"/>
        <v>9</v>
      </c>
      <c r="I7" s="59">
        <f t="shared" si="32"/>
        <v>13</v>
      </c>
      <c r="J7" s="59" t="e">
        <f t="shared" si="33"/>
        <v>#VALUE!</v>
      </c>
      <c r="K7" s="59">
        <f t="shared" si="34"/>
        <v>22</v>
      </c>
      <c r="L7" s="59" t="str">
        <f>IFERROR(VLOOKUP(MID(G7,J7,K7-J7),[5]skilldef!$C:$D,2,FALSE),"-") &amp; " / " &amp; IFERROR(VLOOKUP(MID(G7,H7,I7-H7),[5]skilldef!$A:$B,2,FALSE),"-")</f>
        <v>- / 連続攻撃</v>
      </c>
      <c r="M7" s="59" t="str">
        <f t="shared" si="35"/>
        <v>none</v>
      </c>
      <c r="N7" s="44" t="str">
        <f>IFERROR(LEFT(M7,FIND("],",M7)+S40),M7)</f>
        <v>none</v>
      </c>
      <c r="O7" s="59" t="e">
        <f t="shared" si="36"/>
        <v>#VALUE!</v>
      </c>
      <c r="P7" s="59">
        <f t="shared" si="37"/>
        <v>4</v>
      </c>
      <c r="Q7" s="59" t="e">
        <f t="shared" si="38"/>
        <v>#VALUE!</v>
      </c>
      <c r="R7" s="59" t="e">
        <f t="shared" si="39"/>
        <v>#VALUE!</v>
      </c>
      <c r="S7" s="59" t="str">
        <f>IFERROR(VLOOKUP(MID(N7,Q7,R7-Q7),[5]skilldef!$C:$D,2,FALSE),"-") &amp; " / " &amp; IFERROR(VLOOKUP(MID(N7,O7,P7-O7),[5]skilldef!$A:$B,2,FALSE),"-")</f>
        <v>- / -</v>
      </c>
      <c r="T7" s="44" t="str">
        <f t="shared" si="40"/>
        <v>none</v>
      </c>
      <c r="U7" s="59" t="e">
        <f t="shared" si="41"/>
        <v>#VALUE!</v>
      </c>
      <c r="V7" s="59">
        <f t="shared" si="42"/>
        <v>4</v>
      </c>
      <c r="W7" s="59" t="e">
        <f t="shared" si="43"/>
        <v>#VALUE!</v>
      </c>
      <c r="X7" s="59" t="e">
        <f t="shared" si="44"/>
        <v>#VALUE!</v>
      </c>
      <c r="Y7" s="59" t="str">
        <f>IFERROR(VLOOKUP(MID(T7,W7,X7-W7),[5]skilldef!$C:$D,2,FALSE),"-") &amp; " / " &amp; IFERROR(VLOOKUP(MID(T7,U7,V7-U7),[5]skilldef!$A:$B,2,FALSE),"-")</f>
        <v>- / -</v>
      </c>
      <c r="Z7" s="46"/>
      <c r="AA7" s="48"/>
      <c r="AB7" s="46"/>
    </row>
    <row r="8" spans="1:28" ht="21" customHeight="1" x14ac:dyDescent="0.15">
      <c r="A8" s="180">
        <v>15028007</v>
      </c>
      <c r="B8" s="43" t="s">
        <v>353</v>
      </c>
      <c r="C8" s="46">
        <v>3</v>
      </c>
      <c r="D8" s="46" t="s">
        <v>128</v>
      </c>
      <c r="E8" s="47" t="s">
        <v>355</v>
      </c>
      <c r="F8" s="47" t="s">
        <v>352</v>
      </c>
      <c r="G8" s="59" t="str">
        <f t="shared" ref="G8" si="45">IFERROR(LEFT(B8,FIND("],",B8)),B8)</f>
        <v>[effect:rush, count:3, val:0.2]</v>
      </c>
      <c r="H8" s="59">
        <f t="shared" ref="H8" si="46">FIND("effect:",G8)+7</f>
        <v>9</v>
      </c>
      <c r="I8" s="59">
        <f t="shared" ref="I8" si="47">IFERROR(FIND(",",G8),LEN(G8))</f>
        <v>13</v>
      </c>
      <c r="J8" s="59" t="e">
        <f t="shared" ref="J8" si="48">FIND("target:",G8)+7</f>
        <v>#VALUE!</v>
      </c>
      <c r="K8" s="59">
        <f t="shared" ref="K8" si="49">FIND(",",G8,I8+1)</f>
        <v>22</v>
      </c>
      <c r="L8" s="59" t="str">
        <f>IFERROR(VLOOKUP(MID(G8,J8,K8-J8),[5]skilldef!$C:$D,2,FALSE),"-") &amp; " / " &amp; IFERROR(VLOOKUP(MID(G8,H8,I8-H8),[5]skilldef!$A:$B,2,FALSE),"-")</f>
        <v>- / 連続攻撃</v>
      </c>
      <c r="M8" s="59" t="str">
        <f t="shared" ref="M8" si="50">IFERROR(RIGHT(B8,LEN(B8)-FIND("],",B8)-1),"none")</f>
        <v>[effect:critical, val:1]</v>
      </c>
      <c r="N8" s="44" t="str">
        <f>IFERROR(LEFT(M8,FIND("],",M8)+S41),M8)</f>
        <v>[effect:critical, val:1]</v>
      </c>
      <c r="O8" s="59">
        <f t="shared" ref="O8" si="51">FIND("effect:",N8)+7</f>
        <v>9</v>
      </c>
      <c r="P8" s="59">
        <f t="shared" ref="P8" si="52">IFERROR(FIND(",",N8),LEN(N8))</f>
        <v>17</v>
      </c>
      <c r="Q8" s="59" t="e">
        <f t="shared" ref="Q8" si="53">FIND("target:",N8)+7</f>
        <v>#VALUE!</v>
      </c>
      <c r="R8" s="59" t="e">
        <f t="shared" ref="R8" si="54">FIND(",",N8,P8+1)</f>
        <v>#VALUE!</v>
      </c>
      <c r="S8" s="59" t="str">
        <f>IFERROR(VLOOKUP(MID(N8,Q8,R8-Q8),[5]skilldef!$C:$D,2,FALSE),"-") &amp; " / " &amp; IFERROR(VLOOKUP(MID(N8,O8,P8-O8),[5]skilldef!$A:$B,2,FALSE),"-")</f>
        <v>- / 大攻撃</v>
      </c>
      <c r="T8" s="44" t="str">
        <f t="shared" ref="T8" si="55">IFERROR(RIGHT(M8,LEN(M8)-FIND("],",M8)-1),"none")</f>
        <v>none</v>
      </c>
      <c r="U8" s="59" t="e">
        <f t="shared" ref="U8" si="56">FIND("effect:",T8)+7</f>
        <v>#VALUE!</v>
      </c>
      <c r="V8" s="59">
        <f t="shared" ref="V8" si="57">IFERROR(FIND(",",T8),LEN(T8))</f>
        <v>4</v>
      </c>
      <c r="W8" s="59" t="e">
        <f t="shared" ref="W8" si="58">FIND("target:",T8)+7</f>
        <v>#VALUE!</v>
      </c>
      <c r="X8" s="59" t="e">
        <f t="shared" ref="X8" si="59">FIND(",",T8,V8+1)</f>
        <v>#VALUE!</v>
      </c>
      <c r="Y8" s="59" t="str">
        <f>IFERROR(VLOOKUP(MID(T8,W8,X8-W8),[5]skilldef!$C:$D,2,FALSE),"-") &amp; " / " &amp; IFERROR(VLOOKUP(MID(T8,U8,V8-U8),[5]skilldef!$A:$B,2,FALSE),"-")</f>
        <v>- / -</v>
      </c>
      <c r="Z8" s="46"/>
      <c r="AA8" s="48"/>
      <c r="AB8" s="46"/>
    </row>
    <row r="9" spans="1:28" ht="21" customHeight="1" x14ac:dyDescent="0.15">
      <c r="A9" s="180">
        <v>15028008</v>
      </c>
      <c r="B9" s="43" t="s">
        <v>354</v>
      </c>
      <c r="C9" s="46">
        <v>3</v>
      </c>
      <c r="D9" s="46" t="s">
        <v>128</v>
      </c>
      <c r="E9" s="47" t="s">
        <v>295</v>
      </c>
      <c r="F9" s="47" t="s">
        <v>259</v>
      </c>
      <c r="G9" s="59" t="str">
        <f t="shared" ref="G9" si="60">IFERROR(LEFT(B9,FIND("],",B9)),B9)</f>
        <v>[effect:rush, count:10, val:0.1]</v>
      </c>
      <c r="H9" s="59">
        <f t="shared" ref="H9" si="61">FIND("effect:",G9)+7</f>
        <v>9</v>
      </c>
      <c r="I9" s="59">
        <f t="shared" ref="I9" si="62">IFERROR(FIND(",",G9),LEN(G9))</f>
        <v>13</v>
      </c>
      <c r="J9" s="59" t="e">
        <f t="shared" ref="J9" si="63">FIND("target:",G9)+7</f>
        <v>#VALUE!</v>
      </c>
      <c r="K9" s="59">
        <f t="shared" ref="K9" si="64">FIND(",",G9,I9+1)</f>
        <v>23</v>
      </c>
      <c r="L9" s="59" t="str">
        <f>IFERROR(VLOOKUP(MID(G9,J9,K9-J9),[5]skilldef!$C:$D,2,FALSE),"-") &amp; " / " &amp; IFERROR(VLOOKUP(MID(G9,H9,I9-H9),[5]skilldef!$A:$B,2,FALSE),"-")</f>
        <v>- / 連続攻撃</v>
      </c>
      <c r="M9" s="59" t="str">
        <f t="shared" ref="M9" si="65">IFERROR(RIGHT(B9,LEN(B9)-FIND("],",B9)-1),"none")</f>
        <v>[effect:damage_fix_absolute, target:unit_one, val:6666]</v>
      </c>
      <c r="N9" s="44" t="str">
        <f>IFERROR(LEFT(M9,FIND("],",M9)+S42),M9)</f>
        <v>[effect:damage_fix_absolute, target:unit_one, val:6666]</v>
      </c>
      <c r="O9" s="59">
        <f t="shared" ref="O9" si="66">FIND("effect:",N9)+7</f>
        <v>9</v>
      </c>
      <c r="P9" s="59">
        <f t="shared" ref="P9" si="67">IFERROR(FIND(",",N9),LEN(N9))</f>
        <v>28</v>
      </c>
      <c r="Q9" s="59">
        <f t="shared" ref="Q9" si="68">FIND("target:",N9)+7</f>
        <v>37</v>
      </c>
      <c r="R9" s="59">
        <f t="shared" ref="R9" si="69">FIND(",",N9,P9+1)</f>
        <v>45</v>
      </c>
      <c r="S9" s="59" t="str">
        <f>IFERROR(VLOOKUP(MID(N9,Q9,R9-Q9),[5]skilldef!$C:$D,2,FALSE),"-") &amp; " / " &amp; IFERROR(VLOOKUP(MID(N9,O9,P9-O9),[5]skilldef!$A:$B,2,FALSE),"-")</f>
        <v>味方単体に / -</v>
      </c>
      <c r="T9" s="44" t="str">
        <f t="shared" ref="T9" si="70">IFERROR(RIGHT(M9,LEN(M9)-FIND("],",M9)-1),"none")</f>
        <v>none</v>
      </c>
      <c r="U9" s="59" t="e">
        <f t="shared" ref="U9" si="71">FIND("effect:",T9)+7</f>
        <v>#VALUE!</v>
      </c>
      <c r="V9" s="59">
        <f t="shared" ref="V9" si="72">IFERROR(FIND(",",T9),LEN(T9))</f>
        <v>4</v>
      </c>
      <c r="W9" s="59" t="e">
        <f t="shared" ref="W9" si="73">FIND("target:",T9)+7</f>
        <v>#VALUE!</v>
      </c>
      <c r="X9" s="59" t="e">
        <f t="shared" ref="X9" si="74">FIND(",",T9,V9+1)</f>
        <v>#VALUE!</v>
      </c>
      <c r="Y9" s="59" t="str">
        <f>IFERROR(VLOOKUP(MID(T9,W9,X9-W9),[5]skilldef!$C:$D,2,FALSE),"-") &amp; " / " &amp; IFERROR(VLOOKUP(MID(T9,U9,V9-U9),[5]skilldef!$A:$B,2,FALSE),"-")</f>
        <v>- / -</v>
      </c>
      <c r="Z9" s="46"/>
      <c r="AA9" s="48"/>
      <c r="AB9" s="46"/>
    </row>
    <row r="10" spans="1:28" ht="21" customHeight="1" x14ac:dyDescent="0.15">
      <c r="A10" s="180">
        <v>15028009</v>
      </c>
      <c r="B10" s="43" t="s">
        <v>214</v>
      </c>
      <c r="C10" s="46">
        <v>3</v>
      </c>
      <c r="D10" s="46" t="s">
        <v>128</v>
      </c>
      <c r="E10" s="47" t="s">
        <v>346</v>
      </c>
      <c r="F10" s="47" t="s">
        <v>215</v>
      </c>
      <c r="G10" s="59" t="str">
        <f t="shared" si="0"/>
        <v>[effect:degrade_unit, target:unit_all, turn:2, status:attack, val:0.5]</v>
      </c>
      <c r="H10" s="59">
        <f t="shared" si="1"/>
        <v>9</v>
      </c>
      <c r="I10" s="59">
        <f t="shared" si="2"/>
        <v>21</v>
      </c>
      <c r="J10" s="59">
        <f t="shared" si="3"/>
        <v>30</v>
      </c>
      <c r="K10" s="59">
        <f t="shared" si="4"/>
        <v>38</v>
      </c>
      <c r="L10" s="59" t="str">
        <f>IFERROR(VLOOKUP(MID(G10,J10,K10-J10),[5]skilldef!$C:$D,2,FALSE),"-") &amp; " / " &amp; IFERROR(VLOOKUP(MID(G10,H10,I10-H10),[5]skilldef!$A:$B,2,FALSE),"-")</f>
        <v>味方全体に / ステータスDOWN</v>
      </c>
      <c r="M10" s="59" t="str">
        <f t="shared" si="5"/>
        <v>none</v>
      </c>
      <c r="N10" s="44" t="str">
        <f>IFERROR(LEFT(M10,FIND("],",M10)+S40),M10)</f>
        <v>none</v>
      </c>
      <c r="O10" s="59" t="e">
        <f t="shared" si="6"/>
        <v>#VALUE!</v>
      </c>
      <c r="P10" s="59">
        <f t="shared" si="7"/>
        <v>4</v>
      </c>
      <c r="Q10" s="59" t="e">
        <f t="shared" si="8"/>
        <v>#VALUE!</v>
      </c>
      <c r="R10" s="59" t="e">
        <f t="shared" si="9"/>
        <v>#VALUE!</v>
      </c>
      <c r="S10" s="59" t="str">
        <f>IFERROR(VLOOKUP(MID(N10,Q10,R10-Q10),[5]skilldef!$C:$D,2,FALSE),"-") &amp; " / " &amp; IFERROR(VLOOKUP(MID(N10,O10,P10-O10),[5]skilldef!$A:$B,2,FALSE),"-")</f>
        <v>- / -</v>
      </c>
      <c r="T10" s="44" t="str">
        <f t="shared" si="10"/>
        <v>none</v>
      </c>
      <c r="U10" s="59" t="e">
        <f t="shared" si="11"/>
        <v>#VALUE!</v>
      </c>
      <c r="V10" s="59">
        <f t="shared" si="12"/>
        <v>4</v>
      </c>
      <c r="W10" s="59" t="e">
        <f t="shared" si="13"/>
        <v>#VALUE!</v>
      </c>
      <c r="X10" s="59" t="e">
        <f t="shared" si="14"/>
        <v>#VALUE!</v>
      </c>
      <c r="Y10" s="59" t="str">
        <f>IFERROR(VLOOKUP(MID(T10,W10,X10-W10),[5]skilldef!$C:$D,2,FALSE),"-") &amp; " / " &amp; IFERROR(VLOOKUP(MID(T10,U10,V10-U10),[5]skilldef!$A:$B,2,FALSE),"-")</f>
        <v>- / -</v>
      </c>
      <c r="Z10" s="46"/>
      <c r="AA10" s="48"/>
      <c r="AB10" s="46"/>
    </row>
    <row r="11" spans="1:28" ht="21" customHeight="1" x14ac:dyDescent="0.15">
      <c r="A11" s="180">
        <v>15028010</v>
      </c>
      <c r="B11" s="43" t="s">
        <v>360</v>
      </c>
      <c r="C11" s="46">
        <v>3</v>
      </c>
      <c r="D11" s="46" t="s">
        <v>128</v>
      </c>
      <c r="E11" s="47" t="s">
        <v>347</v>
      </c>
      <c r="F11" s="47" t="s">
        <v>401</v>
      </c>
      <c r="G11" s="59" t="str">
        <f t="shared" si="0"/>
        <v>[effect:crash_condition, target:unit_all, val:12, turn:2, animation:enemy_crash_extend]</v>
      </c>
      <c r="H11" s="59">
        <f t="shared" si="1"/>
        <v>9</v>
      </c>
      <c r="I11" s="59">
        <f t="shared" si="2"/>
        <v>24</v>
      </c>
      <c r="J11" s="59">
        <f t="shared" si="3"/>
        <v>33</v>
      </c>
      <c r="K11" s="59">
        <f t="shared" si="4"/>
        <v>41</v>
      </c>
      <c r="L11" s="59" t="str">
        <f>IFERROR(VLOOKUP(MID(G11,J11,K11-J11),[5]skilldef!$C:$D,2,FALSE),"-") &amp; " / " &amp; IFERROR(VLOOKUP(MID(G11,H11,I11-H11),[5]skilldef!$A:$B,2,FALSE),"-")</f>
        <v>味方全体に / -</v>
      </c>
      <c r="M11" s="59" t="str">
        <f t="shared" si="5"/>
        <v>none</v>
      </c>
      <c r="N11" s="44" t="str">
        <f>IFERROR(LEFT(M11,FIND("],",M11)+S41),M11)</f>
        <v>none</v>
      </c>
      <c r="O11" s="59" t="e">
        <f t="shared" si="6"/>
        <v>#VALUE!</v>
      </c>
      <c r="P11" s="59">
        <f t="shared" si="7"/>
        <v>4</v>
      </c>
      <c r="Q11" s="59" t="e">
        <f t="shared" si="8"/>
        <v>#VALUE!</v>
      </c>
      <c r="R11" s="59" t="e">
        <f t="shared" si="9"/>
        <v>#VALUE!</v>
      </c>
      <c r="S11" s="59" t="str">
        <f>IFERROR(VLOOKUP(MID(N11,Q11,R11-Q11),[5]skilldef!$C:$D,2,FALSE),"-") &amp; " / " &amp; IFERROR(VLOOKUP(MID(N11,O11,P11-O11),[5]skilldef!$A:$B,2,FALSE),"-")</f>
        <v>- / -</v>
      </c>
      <c r="T11" s="44" t="str">
        <f t="shared" si="10"/>
        <v>none</v>
      </c>
      <c r="U11" s="59" t="e">
        <f t="shared" si="11"/>
        <v>#VALUE!</v>
      </c>
      <c r="V11" s="59">
        <f t="shared" si="12"/>
        <v>4</v>
      </c>
      <c r="W11" s="59" t="e">
        <f t="shared" si="13"/>
        <v>#VALUE!</v>
      </c>
      <c r="X11" s="59" t="e">
        <f t="shared" si="14"/>
        <v>#VALUE!</v>
      </c>
      <c r="Y11" s="59" t="str">
        <f>IFERROR(VLOOKUP(MID(T11,W11,X11-W11),[5]skilldef!$C:$D,2,FALSE),"-") &amp; " / " &amp; IFERROR(VLOOKUP(MID(T11,U11,V11-U11),[5]skilldef!$A:$B,2,FALSE),"-")</f>
        <v>- / -</v>
      </c>
      <c r="Z11" s="46"/>
      <c r="AA11" s="48"/>
      <c r="AB11" s="46"/>
    </row>
    <row r="12" spans="1:28" ht="21" customHeight="1" x14ac:dyDescent="0.15">
      <c r="A12" s="180">
        <v>15028011</v>
      </c>
      <c r="B12" s="43" t="s">
        <v>343</v>
      </c>
      <c r="C12" s="46">
        <v>3</v>
      </c>
      <c r="D12" s="46" t="s">
        <v>128</v>
      </c>
      <c r="E12" s="47" t="s">
        <v>308</v>
      </c>
      <c r="F12" s="47" t="s">
        <v>216</v>
      </c>
      <c r="G12" s="59" t="str">
        <f t="shared" si="0"/>
        <v>[effect:heal, target:enemy_all, val:0.3, animation:enemy_heal]</v>
      </c>
      <c r="H12" s="59">
        <f t="shared" si="1"/>
        <v>9</v>
      </c>
      <c r="I12" s="59">
        <f t="shared" si="2"/>
        <v>13</v>
      </c>
      <c r="J12" s="59">
        <f t="shared" si="3"/>
        <v>22</v>
      </c>
      <c r="K12" s="59">
        <f t="shared" si="4"/>
        <v>31</v>
      </c>
      <c r="L12" s="59" t="str">
        <f>IFERROR(VLOOKUP(MID(G12,J12,K12-J12),[5]skilldef!$C:$D,2,FALSE),"-") &amp; " / " &amp; IFERROR(VLOOKUP(MID(G12,H12,I12-H12),[5]skilldef!$A:$B,2,FALSE),"-")</f>
        <v>敵全体に / 回復</v>
      </c>
      <c r="M12" s="59" t="str">
        <f t="shared" si="5"/>
        <v>none</v>
      </c>
      <c r="N12" s="44" t="str">
        <f>IFERROR(LEFT(M12,FIND("],",M12)+S43),M12)</f>
        <v>none</v>
      </c>
      <c r="O12" s="59" t="e">
        <f t="shared" si="6"/>
        <v>#VALUE!</v>
      </c>
      <c r="P12" s="59">
        <f t="shared" si="7"/>
        <v>4</v>
      </c>
      <c r="Q12" s="59" t="e">
        <f t="shared" si="8"/>
        <v>#VALUE!</v>
      </c>
      <c r="R12" s="59" t="e">
        <f t="shared" si="9"/>
        <v>#VALUE!</v>
      </c>
      <c r="S12" s="59" t="str">
        <f>IFERROR(VLOOKUP(MID(N12,Q12,R12-Q12),[5]skilldef!$C:$D,2,FALSE),"-") &amp; " / " &amp; IFERROR(VLOOKUP(MID(N12,O12,P12-O12),[5]skilldef!$A:$B,2,FALSE),"-")</f>
        <v>- / -</v>
      </c>
      <c r="T12" s="44" t="str">
        <f t="shared" si="10"/>
        <v>none</v>
      </c>
      <c r="U12" s="59" t="e">
        <f t="shared" si="11"/>
        <v>#VALUE!</v>
      </c>
      <c r="V12" s="59">
        <f t="shared" si="12"/>
        <v>4</v>
      </c>
      <c r="W12" s="59" t="e">
        <f t="shared" si="13"/>
        <v>#VALUE!</v>
      </c>
      <c r="X12" s="59" t="e">
        <f t="shared" si="14"/>
        <v>#VALUE!</v>
      </c>
      <c r="Y12" s="59" t="str">
        <f>IFERROR(VLOOKUP(MID(T12,W12,X12-W12),[5]skilldef!$C:$D,2,FALSE),"-") &amp; " / " &amp; IFERROR(VLOOKUP(MID(T12,U12,V12-U12),[5]skilldef!$A:$B,2,FALSE),"-")</f>
        <v>- / -</v>
      </c>
      <c r="Z12" s="46"/>
      <c r="AA12" s="48"/>
      <c r="AB12" s="46"/>
    </row>
    <row r="13" spans="1:28" ht="21" customHeight="1" x14ac:dyDescent="0.15">
      <c r="A13" s="180">
        <v>15028012</v>
      </c>
      <c r="B13" s="165" t="s">
        <v>260</v>
      </c>
      <c r="C13" s="46">
        <v>3</v>
      </c>
      <c r="D13" s="46" t="s">
        <v>128</v>
      </c>
      <c r="E13" s="47" t="s">
        <v>309</v>
      </c>
      <c r="F13" s="47" t="s">
        <v>261</v>
      </c>
      <c r="G13" s="59" t="str">
        <f t="shared" si="0"/>
        <v>[effect:invalidate_change_block, target:unit_all, block_type01:crash, block_type02:crack_bomb, turn:3, animation:panel_conversion_off]</v>
      </c>
      <c r="H13" s="59">
        <f t="shared" si="1"/>
        <v>9</v>
      </c>
      <c r="I13" s="59">
        <f t="shared" si="2"/>
        <v>32</v>
      </c>
      <c r="J13" s="59">
        <f t="shared" si="3"/>
        <v>41</v>
      </c>
      <c r="K13" s="59">
        <f t="shared" si="4"/>
        <v>49</v>
      </c>
      <c r="L13" s="59" t="str">
        <f>IFERROR(VLOOKUP(MID(G13,J13,K13-J13),[5]skilldef!$C:$D,2,FALSE),"-") &amp; " / " &amp; IFERROR(VLOOKUP(MID(G13,H13,I13-H13),[5]skilldef!$A:$B,2,FALSE),"-")</f>
        <v>味方全体に / -</v>
      </c>
      <c r="M13" s="59" t="str">
        <f t="shared" si="5"/>
        <v>none</v>
      </c>
      <c r="N13" s="44" t="str">
        <f>IFERROR(LEFT(M13,FIND("],",M13)+#REF!),M13)</f>
        <v>none</v>
      </c>
      <c r="O13" s="59" t="e">
        <f t="shared" si="6"/>
        <v>#VALUE!</v>
      </c>
      <c r="P13" s="59">
        <f t="shared" si="7"/>
        <v>4</v>
      </c>
      <c r="Q13" s="59" t="e">
        <f t="shared" si="8"/>
        <v>#VALUE!</v>
      </c>
      <c r="R13" s="59" t="e">
        <f t="shared" si="9"/>
        <v>#VALUE!</v>
      </c>
      <c r="S13" s="59" t="str">
        <f>IFERROR(VLOOKUP(MID(N13,Q13,R13-Q13),[5]skilldef!$C:$D,2,FALSE),"-") &amp; " / " &amp; IFERROR(VLOOKUP(MID(N13,O13,P13-O13),[5]skilldef!$A:$B,2,FALSE),"-")</f>
        <v>- / -</v>
      </c>
      <c r="T13" s="44" t="str">
        <f t="shared" si="10"/>
        <v>none</v>
      </c>
      <c r="U13" s="59" t="e">
        <f t="shared" si="11"/>
        <v>#VALUE!</v>
      </c>
      <c r="V13" s="59">
        <f t="shared" si="12"/>
        <v>4</v>
      </c>
      <c r="W13" s="59" t="e">
        <f t="shared" si="13"/>
        <v>#VALUE!</v>
      </c>
      <c r="X13" s="59" t="e">
        <f t="shared" si="14"/>
        <v>#VALUE!</v>
      </c>
      <c r="Y13" s="59" t="str">
        <f>IFERROR(VLOOKUP(MID(T13,W13,X13-W13),[5]skilldef!$C:$D,2,FALSE),"-") &amp; " / " &amp; IFERROR(VLOOKUP(MID(T13,U13,V13-U13),[5]skilldef!$A:$B,2,FALSE),"-")</f>
        <v>- / -</v>
      </c>
      <c r="Z13" s="46"/>
      <c r="AA13" s="48"/>
      <c r="AB13" s="46"/>
    </row>
    <row r="14" spans="1:28" ht="21" customHeight="1" x14ac:dyDescent="0.15">
      <c r="A14" s="180">
        <v>15028013</v>
      </c>
      <c r="B14" s="43" t="s">
        <v>251</v>
      </c>
      <c r="C14" s="46">
        <v>3</v>
      </c>
      <c r="D14" s="46" t="s">
        <v>128</v>
      </c>
      <c r="E14" s="47" t="s">
        <v>266</v>
      </c>
      <c r="F14" s="47" t="s">
        <v>262</v>
      </c>
      <c r="G14" s="59" t="str">
        <f t="shared" ref="G14" si="75">IFERROR(LEFT(B14,FIND("],",B14)),B14)</f>
        <v>[effect:nothing]</v>
      </c>
      <c r="H14" s="59">
        <f t="shared" ref="H14" si="76">FIND("effect:",G14)+7</f>
        <v>9</v>
      </c>
      <c r="I14" s="59">
        <f t="shared" ref="I14" si="77">IFERROR(FIND(",",G14),LEN(G14))</f>
        <v>16</v>
      </c>
      <c r="J14" s="59" t="e">
        <f t="shared" ref="J14" si="78">FIND("target:",G14)+7</f>
        <v>#VALUE!</v>
      </c>
      <c r="K14" s="59" t="e">
        <f t="shared" ref="K14" si="79">FIND(",",G14,I14+1)</f>
        <v>#VALUE!</v>
      </c>
      <c r="L14" s="59" t="str">
        <f>IFERROR(VLOOKUP(MID(G14,J14,K14-J14),[5]skilldef!$C:$D,2,FALSE),"-") &amp; " / " &amp; IFERROR(VLOOKUP(MID(G14,H14,I14-H14),[5]skilldef!$A:$B,2,FALSE),"-")</f>
        <v>- / 何もしない</v>
      </c>
      <c r="M14" s="59" t="str">
        <f t="shared" ref="M14" si="80">IFERROR(RIGHT(B14,LEN(B14)-FIND("],",B14)-1),"none")</f>
        <v>none</v>
      </c>
      <c r="N14" s="44" t="str">
        <f>IFERROR(LEFT(M14,FIND("],",M14)+#REF!),M14)</f>
        <v>none</v>
      </c>
      <c r="O14" s="59" t="e">
        <f t="shared" ref="O14" si="81">FIND("effect:",N14)+7</f>
        <v>#VALUE!</v>
      </c>
      <c r="P14" s="59">
        <f t="shared" ref="P14" si="82">IFERROR(FIND(",",N14),LEN(N14))</f>
        <v>4</v>
      </c>
      <c r="Q14" s="59" t="e">
        <f t="shared" ref="Q14" si="83">FIND("target:",N14)+7</f>
        <v>#VALUE!</v>
      </c>
      <c r="R14" s="59" t="e">
        <f t="shared" ref="R14" si="84">FIND(",",N14,P14+1)</f>
        <v>#VALUE!</v>
      </c>
      <c r="S14" s="59" t="str">
        <f>IFERROR(VLOOKUP(MID(N14,Q14,R14-Q14),[5]skilldef!$C:$D,2,FALSE),"-") &amp; " / " &amp; IFERROR(VLOOKUP(MID(N14,O14,P14-O14),[5]skilldef!$A:$B,2,FALSE),"-")</f>
        <v>- / -</v>
      </c>
      <c r="T14" s="44" t="str">
        <f t="shared" ref="T14" si="85">IFERROR(RIGHT(M14,LEN(M14)-FIND("],",M14)-1),"none")</f>
        <v>none</v>
      </c>
      <c r="U14" s="59" t="e">
        <f t="shared" ref="U14" si="86">FIND("effect:",T14)+7</f>
        <v>#VALUE!</v>
      </c>
      <c r="V14" s="59">
        <f t="shared" ref="V14" si="87">IFERROR(FIND(",",T14),LEN(T14))</f>
        <v>4</v>
      </c>
      <c r="W14" s="59" t="e">
        <f t="shared" ref="W14" si="88">FIND("target:",T14)+7</f>
        <v>#VALUE!</v>
      </c>
      <c r="X14" s="59" t="e">
        <f t="shared" ref="X14" si="89">FIND(",",T14,V14+1)</f>
        <v>#VALUE!</v>
      </c>
      <c r="Y14" s="59" t="str">
        <f>IFERROR(VLOOKUP(MID(T14,W14,X14-W14),[5]skilldef!$C:$D,2,FALSE),"-") &amp; " / " &amp; IFERROR(VLOOKUP(MID(T14,U14,V14-U14),[5]skilldef!$A:$B,2,FALSE),"-")</f>
        <v>- / -</v>
      </c>
      <c r="Z14" s="46"/>
      <c r="AA14" s="48"/>
      <c r="AB14" s="46"/>
    </row>
    <row r="15" spans="1:28" ht="21" customHeight="1" x14ac:dyDescent="0.15">
      <c r="A15" s="180">
        <v>15028014</v>
      </c>
      <c r="B15" s="43" t="s">
        <v>236</v>
      </c>
      <c r="C15" s="46">
        <v>3</v>
      </c>
      <c r="D15" s="46" t="s">
        <v>128</v>
      </c>
      <c r="E15" s="47" t="s">
        <v>267</v>
      </c>
      <c r="F15" s="47" t="s">
        <v>235</v>
      </c>
      <c r="G15" s="59" t="str">
        <f t="shared" ref="G15" si="90">IFERROR(LEFT(B15,FIND("],",B15)),B15)</f>
        <v>[effect:freq_turn, target:myself, turn:1, val:1, animation:enemy_freq_turn]</v>
      </c>
      <c r="H15" s="59">
        <f t="shared" ref="H15" si="91">FIND("effect:",G15)+7</f>
        <v>9</v>
      </c>
      <c r="I15" s="59">
        <f t="shared" ref="I15" si="92">IFERROR(FIND(",",G15),LEN(G15))</f>
        <v>18</v>
      </c>
      <c r="J15" s="59">
        <f t="shared" ref="J15" si="93">FIND("target:",G15)+7</f>
        <v>27</v>
      </c>
      <c r="K15" s="59">
        <f t="shared" ref="K15" si="94">FIND(",",G15,I15+1)</f>
        <v>33</v>
      </c>
      <c r="L15" s="59" t="str">
        <f>IFERROR(VLOOKUP(MID(G15,J15,K15-J15),[5]skilldef!$C:$D,2,FALSE),"-") &amp; " / " &amp; IFERROR(VLOOKUP(MID(G15,H15,I15-H15),[5]skilldef!$A:$B,2,FALSE),"-")</f>
        <v>自分自身に / 攻撃頻度がUP</v>
      </c>
      <c r="M15" s="59" t="str">
        <f t="shared" ref="M15" si="95">IFERROR(RIGHT(B15,LEN(B15)-FIND("],",B15)-1),"none")</f>
        <v>none</v>
      </c>
      <c r="N15" s="44" t="str">
        <f>IFERROR(LEFT(M15,FIND("],",M15)+#REF!),M15)</f>
        <v>none</v>
      </c>
      <c r="O15" s="59" t="e">
        <f t="shared" ref="O15" si="96">FIND("effect:",N15)+7</f>
        <v>#VALUE!</v>
      </c>
      <c r="P15" s="59">
        <f t="shared" ref="P15" si="97">IFERROR(FIND(",",N15),LEN(N15))</f>
        <v>4</v>
      </c>
      <c r="Q15" s="59" t="e">
        <f t="shared" ref="Q15" si="98">FIND("target:",N15)+7</f>
        <v>#VALUE!</v>
      </c>
      <c r="R15" s="59" t="e">
        <f t="shared" ref="R15" si="99">FIND(",",N15,P15+1)</f>
        <v>#VALUE!</v>
      </c>
      <c r="S15" s="59" t="str">
        <f>IFERROR(VLOOKUP(MID(N15,Q15,R15-Q15),[5]skilldef!$C:$D,2,FALSE),"-") &amp; " / " &amp; IFERROR(VLOOKUP(MID(N15,O15,P15-O15),[5]skilldef!$A:$B,2,FALSE),"-")</f>
        <v>- / -</v>
      </c>
      <c r="T15" s="44" t="str">
        <f t="shared" ref="T15" si="100">IFERROR(RIGHT(M15,LEN(M15)-FIND("],",M15)-1),"none")</f>
        <v>none</v>
      </c>
      <c r="U15" s="59" t="e">
        <f t="shared" ref="U15" si="101">FIND("effect:",T15)+7</f>
        <v>#VALUE!</v>
      </c>
      <c r="V15" s="59">
        <f t="shared" ref="V15" si="102">IFERROR(FIND(",",T15),LEN(T15))</f>
        <v>4</v>
      </c>
      <c r="W15" s="59" t="e">
        <f t="shared" ref="W15" si="103">FIND("target:",T15)+7</f>
        <v>#VALUE!</v>
      </c>
      <c r="X15" s="59" t="e">
        <f t="shared" ref="X15" si="104">FIND(",",T15,V15+1)</f>
        <v>#VALUE!</v>
      </c>
      <c r="Y15" s="59" t="str">
        <f>IFERROR(VLOOKUP(MID(T15,W15,X15-W15),[5]skilldef!$C:$D,2,FALSE),"-") &amp; " / " &amp; IFERROR(VLOOKUP(MID(T15,U15,V15-U15),[5]skilldef!$A:$B,2,FALSE),"-")</f>
        <v>- / -</v>
      </c>
      <c r="Z15" s="46"/>
      <c r="AA15" s="48"/>
      <c r="AB15" s="46"/>
    </row>
    <row r="16" spans="1:28" ht="21" customHeight="1" x14ac:dyDescent="0.15">
      <c r="A16" s="180">
        <v>15028015</v>
      </c>
      <c r="B16" s="43" t="s">
        <v>254</v>
      </c>
      <c r="C16" s="46">
        <v>3</v>
      </c>
      <c r="D16" s="46" t="s">
        <v>128</v>
      </c>
      <c r="E16" s="47" t="s">
        <v>263</v>
      </c>
      <c r="F16" s="47" t="s">
        <v>361</v>
      </c>
      <c r="G16" s="59" t="str">
        <f t="shared" si="0"/>
        <v>[effect:damage_anti_tribe, target:unit_all, tribe:human, val1:2.0, val2:0.1]</v>
      </c>
      <c r="H16" s="59">
        <f t="shared" si="1"/>
        <v>9</v>
      </c>
      <c r="I16" s="59">
        <f t="shared" si="2"/>
        <v>26</v>
      </c>
      <c r="J16" s="59">
        <f t="shared" si="3"/>
        <v>35</v>
      </c>
      <c r="K16" s="59">
        <f t="shared" si="4"/>
        <v>43</v>
      </c>
      <c r="L16" s="59" t="str">
        <f>IFERROR(VLOOKUP(MID(G16,J16,K16-J16),[5]skilldef!$C:$D,2,FALSE),"-") &amp; " / " &amp; IFERROR(VLOOKUP(MID(G16,H16,I16-H16),[5]skilldef!$A:$B,2,FALSE),"-")</f>
        <v>味方全体に / 種族キラー</v>
      </c>
      <c r="M16" s="59" t="str">
        <f t="shared" si="5"/>
        <v>none</v>
      </c>
      <c r="N16" s="44" t="str">
        <f>IFERROR(LEFT(M16,FIND("],",M16)+S40),M16)</f>
        <v>none</v>
      </c>
      <c r="O16" s="59" t="e">
        <f t="shared" si="6"/>
        <v>#VALUE!</v>
      </c>
      <c r="P16" s="59">
        <f t="shared" si="7"/>
        <v>4</v>
      </c>
      <c r="Q16" s="59" t="e">
        <f t="shared" si="8"/>
        <v>#VALUE!</v>
      </c>
      <c r="R16" s="59" t="e">
        <f t="shared" si="9"/>
        <v>#VALUE!</v>
      </c>
      <c r="S16" s="59" t="str">
        <f>IFERROR(VLOOKUP(MID(N16,Q16,R16-Q16),[5]skilldef!$C:$D,2,FALSE),"-") &amp; " / " &amp; IFERROR(VLOOKUP(MID(N16,O16,P16-O16),[5]skilldef!$A:$B,2,FALSE),"-")</f>
        <v>- / -</v>
      </c>
      <c r="T16" s="44" t="str">
        <f t="shared" si="10"/>
        <v>none</v>
      </c>
      <c r="U16" s="59" t="e">
        <f t="shared" si="11"/>
        <v>#VALUE!</v>
      </c>
      <c r="V16" s="59">
        <f t="shared" si="12"/>
        <v>4</v>
      </c>
      <c r="W16" s="59" t="e">
        <f t="shared" si="13"/>
        <v>#VALUE!</v>
      </c>
      <c r="X16" s="59" t="e">
        <f t="shared" si="14"/>
        <v>#VALUE!</v>
      </c>
      <c r="Y16" s="59" t="str">
        <f>IFERROR(VLOOKUP(MID(T16,W16,X16-W16),[5]skilldef!$C:$D,2,FALSE),"-") &amp; " / " &amp; IFERROR(VLOOKUP(MID(T16,U16,V16-U16),[5]skilldef!$A:$B,2,FALSE),"-")</f>
        <v>- / -</v>
      </c>
      <c r="Z16" s="46"/>
      <c r="AA16" s="48"/>
      <c r="AB16" s="46"/>
    </row>
    <row r="17" spans="1:28" ht="21" customHeight="1" x14ac:dyDescent="0.15">
      <c r="A17" s="180">
        <v>15028016</v>
      </c>
      <c r="B17" s="43" t="s">
        <v>342</v>
      </c>
      <c r="C17" s="46">
        <v>3</v>
      </c>
      <c r="D17" s="46" t="s">
        <v>128</v>
      </c>
      <c r="E17" s="47" t="s">
        <v>315</v>
      </c>
      <c r="F17" s="47" t="s">
        <v>320</v>
      </c>
      <c r="G17" s="59" t="str">
        <f t="shared" si="0"/>
        <v>[effect:enhance_enemy, target:enemy_red, turn:3, status:attack, val:0.5, animation:enemy_enhance_attack]</v>
      </c>
      <c r="H17" s="59">
        <f t="shared" si="1"/>
        <v>9</v>
      </c>
      <c r="I17" s="59">
        <f t="shared" si="2"/>
        <v>22</v>
      </c>
      <c r="J17" s="59">
        <f t="shared" si="3"/>
        <v>31</v>
      </c>
      <c r="K17" s="59">
        <f t="shared" si="4"/>
        <v>40</v>
      </c>
      <c r="L17" s="59" t="str">
        <f>IFERROR(VLOOKUP(MID(G17,J17,K17-J17),[5]skilldef!$C:$D,2,FALSE),"-") &amp; " / " &amp; IFERROR(VLOOKUP(MID(G17,H17,I17-H17),[5]skilldef!$A:$B,2,FALSE),"-")</f>
        <v>赤の敵に / ステータス強化</v>
      </c>
      <c r="M17" s="59" t="str">
        <f t="shared" si="5"/>
        <v>[effect:enhance_enemy, target:enemy_red, turn:3, status:defense, val:3000, calc:add, animation:enemy_enhance_defense]</v>
      </c>
      <c r="N17" s="44" t="str">
        <f>IFERROR(LEFT(M17,FIND("],",M17)+S41),M17)</f>
        <v>[effect:enhance_enemy, target:enemy_red, turn:3, status:defense, val:3000, calc:add, animation:enemy_enhance_defense]</v>
      </c>
      <c r="O17" s="59">
        <f t="shared" si="6"/>
        <v>9</v>
      </c>
      <c r="P17" s="59">
        <f t="shared" si="7"/>
        <v>22</v>
      </c>
      <c r="Q17" s="59">
        <f t="shared" si="8"/>
        <v>31</v>
      </c>
      <c r="R17" s="59">
        <f t="shared" si="9"/>
        <v>40</v>
      </c>
      <c r="S17" s="59" t="str">
        <f>IFERROR(VLOOKUP(MID(N17,Q17,R17-Q17),[5]skilldef!$C:$D,2,FALSE),"-") &amp; " / " &amp; IFERROR(VLOOKUP(MID(N17,O17,P17-O17),[5]skilldef!$A:$B,2,FALSE),"-")</f>
        <v>赤の敵に / ステータス強化</v>
      </c>
      <c r="T17" s="44" t="str">
        <f t="shared" si="10"/>
        <v>none</v>
      </c>
      <c r="U17" s="59" t="e">
        <f t="shared" si="11"/>
        <v>#VALUE!</v>
      </c>
      <c r="V17" s="59">
        <f t="shared" si="12"/>
        <v>4</v>
      </c>
      <c r="W17" s="59" t="e">
        <f t="shared" si="13"/>
        <v>#VALUE!</v>
      </c>
      <c r="X17" s="59" t="e">
        <f t="shared" si="14"/>
        <v>#VALUE!</v>
      </c>
      <c r="Y17" s="59" t="str">
        <f>IFERROR(VLOOKUP(MID(T17,W17,X17-W17),[5]skilldef!$C:$D,2,FALSE),"-") &amp; " / " &amp; IFERROR(VLOOKUP(MID(T17,U17,V17-U17),[5]skilldef!$A:$B,2,FALSE),"-")</f>
        <v>- / -</v>
      </c>
      <c r="Z17" s="46"/>
      <c r="AA17" s="48"/>
      <c r="AB17" s="46"/>
    </row>
    <row r="18" spans="1:28" ht="21" customHeight="1" x14ac:dyDescent="0.15">
      <c r="A18" s="180">
        <v>15028017</v>
      </c>
      <c r="B18" s="43" t="s">
        <v>357</v>
      </c>
      <c r="C18" s="46">
        <v>3</v>
      </c>
      <c r="D18" s="46" t="s">
        <v>128</v>
      </c>
      <c r="E18" s="47" t="s">
        <v>307</v>
      </c>
      <c r="F18" s="47" t="s">
        <v>402</v>
      </c>
      <c r="G18" s="59" t="str">
        <f t="shared" ref="G18" si="105">IFERROR(LEFT(B18,FIND("],",B18)),B18)</f>
        <v>[effect:rush, count:2, val:0.5]</v>
      </c>
      <c r="H18" s="59">
        <f t="shared" ref="H18" si="106">FIND("effect:",G18)+7</f>
        <v>9</v>
      </c>
      <c r="I18" s="59">
        <f t="shared" ref="I18" si="107">IFERROR(FIND(",",G18),LEN(G18))</f>
        <v>13</v>
      </c>
      <c r="J18" s="59" t="e">
        <f t="shared" ref="J18" si="108">FIND("target:",G18)+7</f>
        <v>#VALUE!</v>
      </c>
      <c r="K18" s="59">
        <f t="shared" ref="K18" si="109">FIND(",",G18,I18+1)</f>
        <v>22</v>
      </c>
      <c r="L18" s="59" t="str">
        <f>IFERROR(VLOOKUP(MID(G18,J18,K18-J18),[5]skilldef!$C:$D,2,FALSE),"-") &amp; " / " &amp; IFERROR(VLOOKUP(MID(G18,H18,I18-H18),[5]skilldef!$A:$B,2,FALSE),"-")</f>
        <v>- / 連続攻撃</v>
      </c>
      <c r="M18" s="59" t="str">
        <f t="shared" ref="M18" si="110">IFERROR(RIGHT(B18,LEN(B18)-FIND("],",B18)-1),"none")</f>
        <v>[effect:enhance_enemy, target:myself, turn:3, status:attack, val:0.17, animation:enemy_enhance_attack],[effect:enhance_enemy, target:myself, turn:3, status:defense, val:700, calc:add, animation:enemy_enhance_defense]</v>
      </c>
      <c r="N18" s="44" t="str">
        <f t="shared" ref="N18" si="111">IFERROR(LEFT(M18,FIND("],",M18)+S43),M18)</f>
        <v>[effect:enhance_enemy, target:myself, turn:3, status:attack, val:0.17, animation:enemy_enhance_attack],[effect:enhance_enemy, target:myself, turn:3, status:defense, val:700, calc:add, animation:enemy_enhance_defense]</v>
      </c>
      <c r="O18" s="59">
        <f t="shared" ref="O18" si="112">FIND("effect:",N18)+7</f>
        <v>9</v>
      </c>
      <c r="P18" s="59">
        <f t="shared" ref="P18" si="113">IFERROR(FIND(",",N18),LEN(N18))</f>
        <v>22</v>
      </c>
      <c r="Q18" s="59">
        <f t="shared" ref="Q18" si="114">FIND("target:",N18)+7</f>
        <v>31</v>
      </c>
      <c r="R18" s="59">
        <f t="shared" ref="R18" si="115">FIND(",",N18,P18+1)</f>
        <v>37</v>
      </c>
      <c r="S18" s="59" t="str">
        <f>IFERROR(VLOOKUP(MID(N18,Q18,R18-Q18),[5]skilldef!$C:$D,2,FALSE),"-") &amp; " / " &amp; IFERROR(VLOOKUP(MID(N18,O18,P18-O18),[5]skilldef!$A:$B,2,FALSE),"-")</f>
        <v>自分自身に / ステータス強化</v>
      </c>
      <c r="T18" s="44" t="str">
        <f t="shared" ref="T18" si="116">IFERROR(RIGHT(M18,LEN(M18)-FIND("],",M18)-1),"none")</f>
        <v>[effect:enhance_enemy, target:myself, turn:3, status:defense, val:700, calc:add, animation:enemy_enhance_defense]</v>
      </c>
      <c r="U18" s="59">
        <f t="shared" ref="U18" si="117">FIND("effect:",T18)+7</f>
        <v>9</v>
      </c>
      <c r="V18" s="59">
        <f t="shared" ref="V18" si="118">IFERROR(FIND(",",T18),LEN(T18))</f>
        <v>22</v>
      </c>
      <c r="W18" s="59">
        <f t="shared" ref="W18" si="119">FIND("target:",T18)+7</f>
        <v>31</v>
      </c>
      <c r="X18" s="59">
        <f t="shared" ref="X18" si="120">FIND(",",T18,V18+1)</f>
        <v>37</v>
      </c>
      <c r="Y18" s="59" t="str">
        <f>IFERROR(VLOOKUP(MID(T18,W18,X18-W18),[5]skilldef!$C:$D,2,FALSE),"-") &amp; " / " &amp; IFERROR(VLOOKUP(MID(T18,U18,V18-U18),[5]skilldef!$A:$B,2,FALSE),"-")</f>
        <v>自分自身に / ステータス強化</v>
      </c>
      <c r="Z18" s="46"/>
      <c r="AA18" s="48"/>
      <c r="AB18" s="46"/>
    </row>
    <row r="19" spans="1:28" ht="21" customHeight="1" x14ac:dyDescent="0.15">
      <c r="A19" s="180">
        <v>15028018</v>
      </c>
      <c r="B19" s="43" t="s">
        <v>255</v>
      </c>
      <c r="C19" s="46">
        <v>3</v>
      </c>
      <c r="D19" s="46" t="s">
        <v>128</v>
      </c>
      <c r="E19" s="47" t="s">
        <v>307</v>
      </c>
      <c r="F19" s="47" t="s">
        <v>403</v>
      </c>
      <c r="G19" s="59" t="str">
        <f t="shared" ref="G19" si="121">IFERROR(LEFT(B19,FIND("],",B19)),B19)</f>
        <v>[effect:rush, count:2, val:0.5]</v>
      </c>
      <c r="H19" s="59">
        <f t="shared" ref="H19" si="122">FIND("effect:",G19)+7</f>
        <v>9</v>
      </c>
      <c r="I19" s="59">
        <f t="shared" ref="I19" si="123">IFERROR(FIND(",",G19),LEN(G19))</f>
        <v>13</v>
      </c>
      <c r="J19" s="59" t="e">
        <f t="shared" ref="J19" si="124">FIND("target:",G19)+7</f>
        <v>#VALUE!</v>
      </c>
      <c r="K19" s="59">
        <f t="shared" ref="K19" si="125">FIND(",",G19,I19+1)</f>
        <v>22</v>
      </c>
      <c r="L19" s="59" t="str">
        <f>IFERROR(VLOOKUP(MID(G19,J19,K19-J19),[5]skilldef!$C:$D,2,FALSE),"-") &amp; " / " &amp; IFERROR(VLOOKUP(MID(G19,H19,I19-H19),[5]skilldef!$A:$B,2,FALSE),"-")</f>
        <v>- / 連続攻撃</v>
      </c>
      <c r="M19" s="59" t="str">
        <f t="shared" ref="M19" si="126">IFERROR(RIGHT(B19,LEN(B19)-FIND("],",B19)-1),"none")</f>
        <v>[effect:enhance_enemy, target:myself, turn:3, status:attack, val:0.34, animation:enemy_enhance_attack],[effect:enhance_enemy, target:myself, turn:3, status:defense, val:1400, calc:add, animation:enemy_enhance_defense]</v>
      </c>
      <c r="N19" s="44" t="str">
        <f>IFERROR(LEFT(M19,FIND("],",M19)+#REF!),M19)</f>
        <v>[effect:enhance_enemy, target:myself, turn:3, status:attack, val:0.34, animation:enemy_enhance_attack],[effect:enhance_enemy, target:myself, turn:3, status:defense, val:1400, calc:add, animation:enemy_enhance_defense]</v>
      </c>
      <c r="O19" s="59">
        <f t="shared" ref="O19" si="127">FIND("effect:",N19)+7</f>
        <v>9</v>
      </c>
      <c r="P19" s="59">
        <f t="shared" ref="P19" si="128">IFERROR(FIND(",",N19),LEN(N19))</f>
        <v>22</v>
      </c>
      <c r="Q19" s="59">
        <f t="shared" ref="Q19" si="129">FIND("target:",N19)+7</f>
        <v>31</v>
      </c>
      <c r="R19" s="59">
        <f t="shared" ref="R19" si="130">FIND(",",N19,P19+1)</f>
        <v>37</v>
      </c>
      <c r="S19" s="59" t="str">
        <f>IFERROR(VLOOKUP(MID(N19,Q19,R19-Q19),[5]skilldef!$C:$D,2,FALSE),"-") &amp; " / " &amp; IFERROR(VLOOKUP(MID(N19,O19,P19-O19),[5]skilldef!$A:$B,2,FALSE),"-")</f>
        <v>自分自身に / ステータス強化</v>
      </c>
      <c r="T19" s="44" t="str">
        <f t="shared" ref="T19" si="131">IFERROR(RIGHT(M19,LEN(M19)-FIND("],",M19)-1),"none")</f>
        <v>[effect:enhance_enemy, target:myself, turn:3, status:defense, val:1400, calc:add, animation:enemy_enhance_defense]</v>
      </c>
      <c r="U19" s="59">
        <f t="shared" ref="U19" si="132">FIND("effect:",T19)+7</f>
        <v>9</v>
      </c>
      <c r="V19" s="59">
        <f t="shared" ref="V19" si="133">IFERROR(FIND(",",T19),LEN(T19))</f>
        <v>22</v>
      </c>
      <c r="W19" s="59">
        <f t="shared" ref="W19" si="134">FIND("target:",T19)+7</f>
        <v>31</v>
      </c>
      <c r="X19" s="59">
        <f t="shared" ref="X19" si="135">FIND(",",T19,V19+1)</f>
        <v>37</v>
      </c>
      <c r="Y19" s="59" t="str">
        <f>IFERROR(VLOOKUP(MID(T19,W19,X19-W19),[5]skilldef!$C:$D,2,FALSE),"-") &amp; " / " &amp; IFERROR(VLOOKUP(MID(T19,U19,V19-U19),[5]skilldef!$A:$B,2,FALSE),"-")</f>
        <v>自分自身に / ステータス強化</v>
      </c>
      <c r="Z19" s="46"/>
      <c r="AA19" s="48"/>
      <c r="AB19" s="46"/>
    </row>
    <row r="20" spans="1:28" ht="21" customHeight="1" x14ac:dyDescent="0.15">
      <c r="A20" s="180">
        <v>15028019</v>
      </c>
      <c r="B20" s="43" t="s">
        <v>256</v>
      </c>
      <c r="C20" s="46">
        <v>3</v>
      </c>
      <c r="D20" s="46" t="s">
        <v>128</v>
      </c>
      <c r="E20" s="47" t="s">
        <v>307</v>
      </c>
      <c r="F20" s="47" t="s">
        <v>404</v>
      </c>
      <c r="G20" s="59" t="str">
        <f t="shared" ref="G20:G21" si="136">IFERROR(LEFT(B20,FIND("],",B20)),B20)</f>
        <v>[effect:rush, count:2, val:0.5]</v>
      </c>
      <c r="H20" s="59">
        <f t="shared" ref="H20:H21" si="137">FIND("effect:",G20)+7</f>
        <v>9</v>
      </c>
      <c r="I20" s="59">
        <f t="shared" ref="I20:I21" si="138">IFERROR(FIND(",",G20),LEN(G20))</f>
        <v>13</v>
      </c>
      <c r="J20" s="59" t="e">
        <f t="shared" ref="J20:J21" si="139">FIND("target:",G20)+7</f>
        <v>#VALUE!</v>
      </c>
      <c r="K20" s="59">
        <f t="shared" ref="K20:K21" si="140">FIND(",",G20,I20+1)</f>
        <v>22</v>
      </c>
      <c r="L20" s="59" t="str">
        <f>IFERROR(VLOOKUP(MID(G20,J20,K20-J20),[5]skilldef!$C:$D,2,FALSE),"-") &amp; " / " &amp; IFERROR(VLOOKUP(MID(G20,H20,I20-H20),[5]skilldef!$A:$B,2,FALSE),"-")</f>
        <v>- / 連続攻撃</v>
      </c>
      <c r="M20" s="59" t="str">
        <f t="shared" ref="M20:M21" si="141">IFERROR(RIGHT(B20,LEN(B20)-FIND("],",B20)-1),"none")</f>
        <v>[effect:enhance_enemy, target:myself, turn:3, status:attack, val:0.51, animation:enemy_enhance_attack],[effect:enhance_enemy, target:myself, turn:3, status:defense, val:2100, calc:add, animation:enemy_enhance_defense]</v>
      </c>
      <c r="N20" s="44" t="str">
        <f>IFERROR(LEFT(M20,FIND("],",M20)+S44),M20)</f>
        <v>[effect:enhance_enemy, target:myself, turn:3, status:attack, val:0.51, animation:enemy_enhance_attack],[effect:enhance_enemy, target:myself, turn:3, status:defense, val:2100, calc:add, animation:enemy_enhance_defense]</v>
      </c>
      <c r="O20" s="59">
        <f t="shared" ref="O20:O21" si="142">FIND("effect:",N20)+7</f>
        <v>9</v>
      </c>
      <c r="P20" s="59">
        <f t="shared" ref="P20:P21" si="143">IFERROR(FIND(",",N20),LEN(N20))</f>
        <v>22</v>
      </c>
      <c r="Q20" s="59">
        <f t="shared" ref="Q20:Q21" si="144">FIND("target:",N20)+7</f>
        <v>31</v>
      </c>
      <c r="R20" s="59">
        <f t="shared" ref="R20:R21" si="145">FIND(",",N20,P20+1)</f>
        <v>37</v>
      </c>
      <c r="S20" s="59" t="str">
        <f>IFERROR(VLOOKUP(MID(N20,Q20,R20-Q20),[5]skilldef!$C:$D,2,FALSE),"-") &amp; " / " &amp; IFERROR(VLOOKUP(MID(N20,O20,P20-O20),[5]skilldef!$A:$B,2,FALSE),"-")</f>
        <v>自分自身に / ステータス強化</v>
      </c>
      <c r="T20" s="44" t="str">
        <f t="shared" ref="T20:T21" si="146">IFERROR(RIGHT(M20,LEN(M20)-FIND("],",M20)-1),"none")</f>
        <v>[effect:enhance_enemy, target:myself, turn:3, status:defense, val:2100, calc:add, animation:enemy_enhance_defense]</v>
      </c>
      <c r="U20" s="59">
        <f t="shared" ref="U20:U21" si="147">FIND("effect:",T20)+7</f>
        <v>9</v>
      </c>
      <c r="V20" s="59">
        <f t="shared" ref="V20:V21" si="148">IFERROR(FIND(",",T20),LEN(T20))</f>
        <v>22</v>
      </c>
      <c r="W20" s="59">
        <f t="shared" ref="W20:W21" si="149">FIND("target:",T20)+7</f>
        <v>31</v>
      </c>
      <c r="X20" s="59">
        <f t="shared" ref="X20:X21" si="150">FIND(",",T20,V20+1)</f>
        <v>37</v>
      </c>
      <c r="Y20" s="59" t="str">
        <f>IFERROR(VLOOKUP(MID(T20,W20,X20-W20),[5]skilldef!$C:$D,2,FALSE),"-") &amp; " / " &amp; IFERROR(VLOOKUP(MID(T20,U20,V20-U20),[5]skilldef!$A:$B,2,FALSE),"-")</f>
        <v>自分自身に / ステータス強化</v>
      </c>
      <c r="Z20" s="46"/>
      <c r="AA20" s="48"/>
      <c r="AB20" s="46"/>
    </row>
    <row r="21" spans="1:28" ht="21" customHeight="1" x14ac:dyDescent="0.15">
      <c r="A21" s="180">
        <v>15028020</v>
      </c>
      <c r="B21" s="43" t="s">
        <v>269</v>
      </c>
      <c r="C21" s="46">
        <v>3</v>
      </c>
      <c r="D21" s="46" t="s">
        <v>128</v>
      </c>
      <c r="E21" s="47" t="s">
        <v>307</v>
      </c>
      <c r="F21" s="47" t="s">
        <v>405</v>
      </c>
      <c r="G21" s="59" t="str">
        <f t="shared" si="136"/>
        <v>[effect:rush, count:2, val:0.5]</v>
      </c>
      <c r="H21" s="59">
        <f t="shared" si="137"/>
        <v>9</v>
      </c>
      <c r="I21" s="59">
        <f t="shared" si="138"/>
        <v>13</v>
      </c>
      <c r="J21" s="59" t="e">
        <f t="shared" si="139"/>
        <v>#VALUE!</v>
      </c>
      <c r="K21" s="59">
        <f t="shared" si="140"/>
        <v>22</v>
      </c>
      <c r="L21" s="59" t="str">
        <f>IFERROR(VLOOKUP(MID(G21,J21,K21-J21),[5]skilldef!$C:$D,2,FALSE),"-") &amp; " / " &amp; IFERROR(VLOOKUP(MID(G21,H21,I21-H21),[5]skilldef!$A:$B,2,FALSE),"-")</f>
        <v>- / 連続攻撃</v>
      </c>
      <c r="M21" s="59" t="str">
        <f t="shared" si="141"/>
        <v>[effect:enhance_enemy, target:myself, turn:3, status:attack, val:0.68, animation:enemy_enhance_attack],[effect:enhance_enemy, target:myself, turn:3, status:defense, val:2800, calc:add, animation:enemy_enhance_defense]</v>
      </c>
      <c r="N21" s="44" t="str">
        <f>IFERROR(LEFT(M21,FIND("],",M21)+S46),M21)</f>
        <v>[effect:enhance_enemy, target:myself, turn:3, status:attack, val:0.68, animation:enemy_enhance_attack],[effect:enhance_enemy, target:myself, turn:3, status:defense, val:2800, calc:add, animation:enemy_enhance_defense]</v>
      </c>
      <c r="O21" s="59">
        <f t="shared" si="142"/>
        <v>9</v>
      </c>
      <c r="P21" s="59">
        <f t="shared" si="143"/>
        <v>22</v>
      </c>
      <c r="Q21" s="59">
        <f t="shared" si="144"/>
        <v>31</v>
      </c>
      <c r="R21" s="59">
        <f t="shared" si="145"/>
        <v>37</v>
      </c>
      <c r="S21" s="59" t="str">
        <f>IFERROR(VLOOKUP(MID(N21,Q21,R21-Q21),[5]skilldef!$C:$D,2,FALSE),"-") &amp; " / " &amp; IFERROR(VLOOKUP(MID(N21,O21,P21-O21),[5]skilldef!$A:$B,2,FALSE),"-")</f>
        <v>自分自身に / ステータス強化</v>
      </c>
      <c r="T21" s="44" t="str">
        <f t="shared" si="146"/>
        <v>[effect:enhance_enemy, target:myself, turn:3, status:defense, val:2800, calc:add, animation:enemy_enhance_defense]</v>
      </c>
      <c r="U21" s="59">
        <f t="shared" si="147"/>
        <v>9</v>
      </c>
      <c r="V21" s="59">
        <f t="shared" si="148"/>
        <v>22</v>
      </c>
      <c r="W21" s="59">
        <f t="shared" si="149"/>
        <v>31</v>
      </c>
      <c r="X21" s="59">
        <f t="shared" si="150"/>
        <v>37</v>
      </c>
      <c r="Y21" s="59" t="str">
        <f>IFERROR(VLOOKUP(MID(T21,W21,X21-W21),[5]skilldef!$C:$D,2,FALSE),"-") &amp; " / " &amp; IFERROR(VLOOKUP(MID(T21,U21,V21-U21),[5]skilldef!$A:$B,2,FALSE),"-")</f>
        <v>自分自身に / ステータス強化</v>
      </c>
      <c r="Z21" s="46"/>
      <c r="AA21" s="48"/>
      <c r="AB21" s="46"/>
    </row>
    <row r="22" spans="1:28" ht="21" customHeight="1" x14ac:dyDescent="0.15">
      <c r="A22" s="180">
        <v>15028021</v>
      </c>
      <c r="B22" s="43" t="s">
        <v>257</v>
      </c>
      <c r="C22" s="46">
        <v>3</v>
      </c>
      <c r="D22" s="46" t="s">
        <v>128</v>
      </c>
      <c r="E22" s="47" t="s">
        <v>307</v>
      </c>
      <c r="F22" s="47" t="s">
        <v>406</v>
      </c>
      <c r="G22" s="59" t="str">
        <f t="shared" ref="G22" si="151">IFERROR(LEFT(B22,FIND("],",B22)),B22)</f>
        <v>[effect:rush, count:2, val:0.5]</v>
      </c>
      <c r="H22" s="59">
        <f t="shared" ref="H22" si="152">FIND("effect:",G22)+7</f>
        <v>9</v>
      </c>
      <c r="I22" s="59">
        <f t="shared" ref="I22" si="153">IFERROR(FIND(",",G22),LEN(G22))</f>
        <v>13</v>
      </c>
      <c r="J22" s="59" t="e">
        <f t="shared" ref="J22" si="154">FIND("target:",G22)+7</f>
        <v>#VALUE!</v>
      </c>
      <c r="K22" s="59">
        <f t="shared" ref="K22" si="155">FIND(",",G22,I22+1)</f>
        <v>22</v>
      </c>
      <c r="L22" s="59" t="str">
        <f>IFERROR(VLOOKUP(MID(G22,J22,K22-J22),[5]skilldef!$C:$D,2,FALSE),"-") &amp; " / " &amp; IFERROR(VLOOKUP(MID(G22,H22,I22-H22),[5]skilldef!$A:$B,2,FALSE),"-")</f>
        <v>- / 連続攻撃</v>
      </c>
      <c r="M22" s="59" t="str">
        <f t="shared" ref="M22" si="156">IFERROR(RIGHT(B22,LEN(B22)-FIND("],",B22)-1),"none")</f>
        <v>[effect:enhance_enemy, target:myself, turn:3, status:attack, val:0.85, animation:enemy_enhance_attack],[effect:enhance_enemy, target:myself, turn:3, status:defense, val:3500, calc:add, animation:enemy_enhance_defense]</v>
      </c>
      <c r="N22" s="44" t="str">
        <f>IFERROR(LEFT(M22,FIND("],",M22)+S47),M22)</f>
        <v>[effect:enhance_enemy, target:myself, turn:3, status:attack, val:0.85, animation:enemy_enhance_attack],[effect:enhance_enemy, target:myself, turn:3, status:defense, val:3500, calc:add, animation:enemy_enhance_defense]</v>
      </c>
      <c r="O22" s="59">
        <f t="shared" ref="O22" si="157">FIND("effect:",N22)+7</f>
        <v>9</v>
      </c>
      <c r="P22" s="59">
        <f t="shared" ref="P22" si="158">IFERROR(FIND(",",N22),LEN(N22))</f>
        <v>22</v>
      </c>
      <c r="Q22" s="59">
        <f t="shared" ref="Q22" si="159">FIND("target:",N22)+7</f>
        <v>31</v>
      </c>
      <c r="R22" s="59">
        <f t="shared" ref="R22" si="160">FIND(",",N22,P22+1)</f>
        <v>37</v>
      </c>
      <c r="S22" s="59" t="str">
        <f>IFERROR(VLOOKUP(MID(N22,Q22,R22-Q22),[5]skilldef!$C:$D,2,FALSE),"-") &amp; " / " &amp; IFERROR(VLOOKUP(MID(N22,O22,P22-O22),[5]skilldef!$A:$B,2,FALSE),"-")</f>
        <v>自分自身に / ステータス強化</v>
      </c>
      <c r="T22" s="44" t="str">
        <f t="shared" ref="T22" si="161">IFERROR(RIGHT(M22,LEN(M22)-FIND("],",M22)-1),"none")</f>
        <v>[effect:enhance_enemy, target:myself, turn:3, status:defense, val:3500, calc:add, animation:enemy_enhance_defense]</v>
      </c>
      <c r="U22" s="59">
        <f t="shared" ref="U22" si="162">FIND("effect:",T22)+7</f>
        <v>9</v>
      </c>
      <c r="V22" s="59">
        <f t="shared" ref="V22" si="163">IFERROR(FIND(",",T22),LEN(T22))</f>
        <v>22</v>
      </c>
      <c r="W22" s="59">
        <f t="shared" ref="W22" si="164">FIND("target:",T22)+7</f>
        <v>31</v>
      </c>
      <c r="X22" s="59">
        <f t="shared" ref="X22" si="165">FIND(",",T22,V22+1)</f>
        <v>37</v>
      </c>
      <c r="Y22" s="59" t="str">
        <f>IFERROR(VLOOKUP(MID(T22,W22,X22-W22),[5]skilldef!$C:$D,2,FALSE),"-") &amp; " / " &amp; IFERROR(VLOOKUP(MID(T22,U22,V22-U22),[5]skilldef!$A:$B,2,FALSE),"-")</f>
        <v>自分自身に / ステータス強化</v>
      </c>
      <c r="Z22" s="46"/>
      <c r="AA22" s="48"/>
      <c r="AB22" s="46"/>
    </row>
    <row r="23" spans="1:28" ht="21" customHeight="1" x14ac:dyDescent="0.15">
      <c r="A23" s="180">
        <v>15028022</v>
      </c>
      <c r="B23" s="43" t="s">
        <v>258</v>
      </c>
      <c r="C23" s="46">
        <v>3</v>
      </c>
      <c r="D23" s="46" t="s">
        <v>128</v>
      </c>
      <c r="E23" s="47" t="s">
        <v>307</v>
      </c>
      <c r="F23" s="47" t="s">
        <v>407</v>
      </c>
      <c r="G23" s="59" t="str">
        <f t="shared" ref="G23" si="166">IFERROR(LEFT(B23,FIND("],",B23)),B23)</f>
        <v>[effect:rush, count:2, val:0.5]</v>
      </c>
      <c r="H23" s="59">
        <f t="shared" ref="H23" si="167">FIND("effect:",G23)+7</f>
        <v>9</v>
      </c>
      <c r="I23" s="59">
        <f t="shared" ref="I23" si="168">IFERROR(FIND(",",G23),LEN(G23))</f>
        <v>13</v>
      </c>
      <c r="J23" s="59" t="e">
        <f t="shared" ref="J23" si="169">FIND("target:",G23)+7</f>
        <v>#VALUE!</v>
      </c>
      <c r="K23" s="59">
        <f t="shared" ref="K23" si="170">FIND(",",G23,I23+1)</f>
        <v>22</v>
      </c>
      <c r="L23" s="59" t="str">
        <f>IFERROR(VLOOKUP(MID(G23,J23,K23-J23),[5]skilldef!$C:$D,2,FALSE),"-") &amp; " / " &amp; IFERROR(VLOOKUP(MID(G23,H23,I23-H23),[5]skilldef!$A:$B,2,FALSE),"-")</f>
        <v>- / 連続攻撃</v>
      </c>
      <c r="M23" s="59" t="str">
        <f t="shared" ref="M23" si="171">IFERROR(RIGHT(B23,LEN(B23)-FIND("],",B23)-1),"none")</f>
        <v>[effect:enhance_enemy, target:myself, turn:3, status:attack, val:1.02, animation:enemy_enhance_attack],[effect:enhance_enemy, target:myself, turn:3, status:defense, val:4200, calc:add, animation:enemy_enhance_defense]</v>
      </c>
      <c r="N23" s="44" t="str">
        <f>IFERROR(LEFT(M23,FIND("],",M23)+S48),M23)</f>
        <v>[effect:enhance_enemy, target:myself, turn:3, status:attack, val:1.02, animation:enemy_enhance_attack],[effect:enhance_enemy, target:myself, turn:3, status:defense, val:4200, calc:add, animation:enemy_enhance_defense]</v>
      </c>
      <c r="O23" s="59">
        <f t="shared" ref="O23" si="172">FIND("effect:",N23)+7</f>
        <v>9</v>
      </c>
      <c r="P23" s="59">
        <f t="shared" ref="P23" si="173">IFERROR(FIND(",",N23),LEN(N23))</f>
        <v>22</v>
      </c>
      <c r="Q23" s="59">
        <f t="shared" ref="Q23" si="174">FIND("target:",N23)+7</f>
        <v>31</v>
      </c>
      <c r="R23" s="59">
        <f t="shared" ref="R23" si="175">FIND(",",N23,P23+1)</f>
        <v>37</v>
      </c>
      <c r="S23" s="59" t="str">
        <f>IFERROR(VLOOKUP(MID(N23,Q23,R23-Q23),[5]skilldef!$C:$D,2,FALSE),"-") &amp; " / " &amp; IFERROR(VLOOKUP(MID(N23,O23,P23-O23),[5]skilldef!$A:$B,2,FALSE),"-")</f>
        <v>自分自身に / ステータス強化</v>
      </c>
      <c r="T23" s="44" t="str">
        <f t="shared" ref="T23" si="176">IFERROR(RIGHT(M23,LEN(M23)-FIND("],",M23)-1),"none")</f>
        <v>[effect:enhance_enemy, target:myself, turn:3, status:defense, val:4200, calc:add, animation:enemy_enhance_defense]</v>
      </c>
      <c r="U23" s="59">
        <f t="shared" ref="U23" si="177">FIND("effect:",T23)+7</f>
        <v>9</v>
      </c>
      <c r="V23" s="59">
        <f t="shared" ref="V23" si="178">IFERROR(FIND(",",T23),LEN(T23))</f>
        <v>22</v>
      </c>
      <c r="W23" s="59">
        <f t="shared" ref="W23" si="179">FIND("target:",T23)+7</f>
        <v>31</v>
      </c>
      <c r="X23" s="59">
        <f t="shared" ref="X23" si="180">FIND(",",T23,V23+1)</f>
        <v>37</v>
      </c>
      <c r="Y23" s="59" t="str">
        <f>IFERROR(VLOOKUP(MID(T23,W23,X23-W23),[5]skilldef!$C:$D,2,FALSE),"-") &amp; " / " &amp; IFERROR(VLOOKUP(MID(T23,U23,V23-U23),[5]skilldef!$A:$B,2,FALSE),"-")</f>
        <v>自分自身に / ステータス強化</v>
      </c>
      <c r="Z23" s="46"/>
      <c r="AA23" s="48"/>
      <c r="AB23" s="46"/>
    </row>
    <row r="24" spans="1:28" ht="21" customHeight="1" x14ac:dyDescent="0.15">
      <c r="A24" s="180">
        <v>15028023</v>
      </c>
      <c r="B24" s="43" t="s">
        <v>227</v>
      </c>
      <c r="C24" s="46">
        <v>3</v>
      </c>
      <c r="D24" s="46" t="s">
        <v>128</v>
      </c>
      <c r="E24" s="47" t="s">
        <v>313</v>
      </c>
      <c r="F24" s="47" t="s">
        <v>247</v>
      </c>
      <c r="G24" s="59" t="str">
        <f t="shared" ref="G24" si="181">IFERROR(LEFT(B24,FIND("],",B24)),B24)</f>
        <v>[effect:enhance_enemy, target:enemy_all, turn:3, status:attack, val:1, animation:enemy_enhance_attack]</v>
      </c>
      <c r="H24" s="59">
        <f t="shared" si="1"/>
        <v>9</v>
      </c>
      <c r="I24" s="59">
        <f t="shared" ref="I24" si="182">IFERROR(FIND(",",G24),LEN(G24))</f>
        <v>22</v>
      </c>
      <c r="J24" s="59">
        <f t="shared" ref="J24" si="183">FIND("target:",G24)+7</f>
        <v>31</v>
      </c>
      <c r="K24" s="59">
        <f t="shared" ref="K24" si="184">FIND(",",G24,I24+1)</f>
        <v>40</v>
      </c>
      <c r="L24" s="59" t="str">
        <f>IFERROR(VLOOKUP(MID(G24,J24,K24-J24),[5]skilldef!$C:$D,2,FALSE),"-") &amp; " / " &amp; IFERROR(VLOOKUP(MID(G24,H24,I24-H24),[5]skilldef!$A:$B,2,FALSE),"-")</f>
        <v>敵全体に / ステータス強化</v>
      </c>
      <c r="M24" s="59" t="str">
        <f t="shared" ref="M24" si="185">IFERROR(RIGHT(B24,LEN(B24)-FIND("],",B24)-1),"none")</f>
        <v>[effect:freq_turn, target:enemy_all, turn:3, val:1, animation:enemy_freq_turn]</v>
      </c>
      <c r="N24" s="44" t="str">
        <f t="shared" ref="N24" si="186">IFERROR(LEFT(M24,FIND("],",M24)+S43),M24)</f>
        <v>[effect:freq_turn, target:enemy_all, turn:3, val:1, animation:enemy_freq_turn]</v>
      </c>
      <c r="O24" s="59">
        <f t="shared" si="6"/>
        <v>9</v>
      </c>
      <c r="P24" s="59">
        <f t="shared" ref="P24" si="187">IFERROR(FIND(",",N24),LEN(N24))</f>
        <v>18</v>
      </c>
      <c r="Q24" s="59">
        <f t="shared" ref="Q24" si="188">FIND("target:",N24)+7</f>
        <v>27</v>
      </c>
      <c r="R24" s="59">
        <f t="shared" ref="R24" si="189">FIND(",",N24,P24+1)</f>
        <v>36</v>
      </c>
      <c r="S24" s="59" t="str">
        <f>IFERROR(VLOOKUP(MID(N24,Q24,R24-Q24),[5]skilldef!$C:$D,2,FALSE),"-") &amp; " / " &amp; IFERROR(VLOOKUP(MID(N24,O24,P24-O24),[5]skilldef!$A:$B,2,FALSE),"-")</f>
        <v>敵全体に / 攻撃頻度がUP</v>
      </c>
      <c r="T24" s="44" t="str">
        <f t="shared" ref="T24" si="190">IFERROR(RIGHT(M24,LEN(M24)-FIND("],",M24)-1),"none")</f>
        <v>none</v>
      </c>
      <c r="U24" s="59" t="e">
        <f t="shared" si="11"/>
        <v>#VALUE!</v>
      </c>
      <c r="V24" s="59">
        <f t="shared" ref="V24" si="191">IFERROR(FIND(",",T24),LEN(T24))</f>
        <v>4</v>
      </c>
      <c r="W24" s="59" t="e">
        <f t="shared" ref="W24" si="192">FIND("target:",T24)+7</f>
        <v>#VALUE!</v>
      </c>
      <c r="X24" s="59" t="e">
        <f t="shared" ref="X24" si="193">FIND(",",T24,V24+1)</f>
        <v>#VALUE!</v>
      </c>
      <c r="Y24" s="59" t="str">
        <f>IFERROR(VLOOKUP(MID(T24,W24,X24-W24),[5]skilldef!$C:$D,2,FALSE),"-") &amp; " / " &amp; IFERROR(VLOOKUP(MID(T24,U24,V24-U24),[5]skilldef!$A:$B,2,FALSE),"-")</f>
        <v>- / -</v>
      </c>
      <c r="Z24" s="46"/>
      <c r="AA24" s="48"/>
      <c r="AB24" s="46"/>
    </row>
    <row r="25" spans="1:28" ht="21" customHeight="1" x14ac:dyDescent="0.15">
      <c r="A25" s="180">
        <v>15028024</v>
      </c>
      <c r="B25" s="43" t="s">
        <v>326</v>
      </c>
      <c r="C25" s="46">
        <v>3</v>
      </c>
      <c r="D25" s="46" t="s">
        <v>128</v>
      </c>
      <c r="E25" s="47" t="s">
        <v>321</v>
      </c>
      <c r="F25" s="47" t="s">
        <v>219</v>
      </c>
      <c r="G25" s="59" t="str">
        <f t="shared" ref="G25" si="194">IFERROR(LEFT(B25,FIND("],",B25)),B25)</f>
        <v>[effect:spread, val:0.3]</v>
      </c>
      <c r="H25" s="59">
        <f t="shared" si="1"/>
        <v>9</v>
      </c>
      <c r="I25" s="59">
        <f t="shared" ref="I25" si="195">IFERROR(FIND(",",G25),LEN(G25))</f>
        <v>15</v>
      </c>
      <c r="J25" s="59" t="e">
        <f t="shared" ref="J25" si="196">FIND("target:",G25)+7</f>
        <v>#VALUE!</v>
      </c>
      <c r="K25" s="59" t="e">
        <f t="shared" ref="K25" si="197">FIND(",",G25,I25+1)</f>
        <v>#VALUE!</v>
      </c>
      <c r="L25" s="59" t="str">
        <f>IFERROR(VLOOKUP(MID(G25,J25,K25-J25),[5]skilldef!$C:$D,2,FALSE),"-") &amp; " / " &amp; IFERROR(VLOOKUP(MID(G25,H25,I25-H25),[5]skilldef!$A:$B,2,FALSE),"-")</f>
        <v>- / 全体攻撃</v>
      </c>
      <c r="M25" s="59" t="str">
        <f t="shared" ref="M25" si="198">IFERROR(RIGHT(B25,LEN(B25)-FIND("],",B25)-1),"none")</f>
        <v>none</v>
      </c>
      <c r="N25" s="44" t="str">
        <f>IFERROR(LEFT(M25,FIND("],",M25)+#REF!),M25)</f>
        <v>none</v>
      </c>
      <c r="O25" s="59" t="e">
        <f t="shared" si="6"/>
        <v>#VALUE!</v>
      </c>
      <c r="P25" s="59">
        <f t="shared" ref="P25" si="199">IFERROR(FIND(",",N25),LEN(N25))</f>
        <v>4</v>
      </c>
      <c r="Q25" s="59" t="e">
        <f t="shared" ref="Q25" si="200">FIND("target:",N25)+7</f>
        <v>#VALUE!</v>
      </c>
      <c r="R25" s="59" t="e">
        <f t="shared" ref="R25" si="201">FIND(",",N25,P25+1)</f>
        <v>#VALUE!</v>
      </c>
      <c r="S25" s="59" t="str">
        <f>IFERROR(VLOOKUP(MID(N25,Q25,R25-Q25),[5]skilldef!$C:$D,2,FALSE),"-") &amp; " / " &amp; IFERROR(VLOOKUP(MID(N25,O25,P25-O25),[5]skilldef!$A:$B,2,FALSE),"-")</f>
        <v>- / -</v>
      </c>
      <c r="T25" s="44" t="str">
        <f t="shared" ref="T25" si="202">IFERROR(RIGHT(M25,LEN(M25)-FIND("],",M25)-1),"none")</f>
        <v>none</v>
      </c>
      <c r="U25" s="59" t="e">
        <f t="shared" si="11"/>
        <v>#VALUE!</v>
      </c>
      <c r="V25" s="59">
        <f t="shared" ref="V25" si="203">IFERROR(FIND(",",T25),LEN(T25))</f>
        <v>4</v>
      </c>
      <c r="W25" s="59" t="e">
        <f t="shared" ref="W25" si="204">FIND("target:",T25)+7</f>
        <v>#VALUE!</v>
      </c>
      <c r="X25" s="59" t="e">
        <f t="shared" ref="X25" si="205">FIND(",",T25,V25+1)</f>
        <v>#VALUE!</v>
      </c>
      <c r="Y25" s="59" t="str">
        <f>IFERROR(VLOOKUP(MID(T25,W25,X25-W25),[5]skilldef!$C:$D,2,FALSE),"-") &amp; " / " &amp; IFERROR(VLOOKUP(MID(T25,U25,V25-U25),[5]skilldef!$A:$B,2,FALSE),"-")</f>
        <v>- / -</v>
      </c>
      <c r="Z25" s="46"/>
      <c r="AA25" s="48"/>
      <c r="AB25" s="46"/>
    </row>
    <row r="26" spans="1:28" ht="21" customHeight="1" x14ac:dyDescent="0.15">
      <c r="A26" s="180">
        <v>15028025</v>
      </c>
      <c r="B26" s="43" t="s">
        <v>220</v>
      </c>
      <c r="C26" s="46">
        <v>3</v>
      </c>
      <c r="D26" s="46" t="s">
        <v>128</v>
      </c>
      <c r="E26" s="47" t="s">
        <v>296</v>
      </c>
      <c r="F26" s="47" t="s">
        <v>221</v>
      </c>
      <c r="G26" s="59" t="str">
        <f t="shared" ref="G26:G32" si="206">IFERROR(LEFT(B26,FIND("],",B26)),B26)</f>
        <v>[effect:hungup, target:unit_all, turn:3, rate:1, animation:hungup01]</v>
      </c>
      <c r="H26" s="59">
        <f t="shared" si="1"/>
        <v>9</v>
      </c>
      <c r="I26" s="59">
        <f t="shared" ref="I26:I32" si="207">IFERROR(FIND(",",G26),LEN(G26))</f>
        <v>15</v>
      </c>
      <c r="J26" s="59">
        <f t="shared" ref="J26:J32" si="208">FIND("target:",G26)+7</f>
        <v>24</v>
      </c>
      <c r="K26" s="59">
        <f t="shared" ref="K26:K32" si="209">FIND(",",G26,I26+1)</f>
        <v>32</v>
      </c>
      <c r="L26" s="59" t="str">
        <f>IFERROR(VLOOKUP(MID(G26,J26,K26-J26),[5]skilldef!$C:$D,2,FALSE),"-") &amp; " / " &amp; IFERROR(VLOOKUP(MID(G26,H26,I26-H26),[5]skilldef!$A:$B,2,FALSE),"-")</f>
        <v>味方全体に / ハングアップ</v>
      </c>
      <c r="M26" s="59" t="str">
        <f t="shared" ref="M26:M32" si="210">IFERROR(RIGHT(B26,LEN(B26)-FIND("],",B26)-1),"none")</f>
        <v>none</v>
      </c>
      <c r="N26" s="44" t="str">
        <f>IFERROR(LEFT(M26,FIND("],",M26)+S44),M26)</f>
        <v>none</v>
      </c>
      <c r="O26" s="59" t="e">
        <f t="shared" si="6"/>
        <v>#VALUE!</v>
      </c>
      <c r="P26" s="59">
        <f t="shared" ref="P26:P32" si="211">IFERROR(FIND(",",N26),LEN(N26))</f>
        <v>4</v>
      </c>
      <c r="Q26" s="59" t="e">
        <f t="shared" ref="Q26:Q32" si="212">FIND("target:",N26)+7</f>
        <v>#VALUE!</v>
      </c>
      <c r="R26" s="59" t="e">
        <f t="shared" ref="R26:R32" si="213">FIND(",",N26,P26+1)</f>
        <v>#VALUE!</v>
      </c>
      <c r="S26" s="59" t="str">
        <f>IFERROR(VLOOKUP(MID(N26,Q26,R26-Q26),[5]skilldef!$C:$D,2,FALSE),"-") &amp; " / " &amp; IFERROR(VLOOKUP(MID(N26,O26,P26-O26),[5]skilldef!$A:$B,2,FALSE),"-")</f>
        <v>- / -</v>
      </c>
      <c r="T26" s="44" t="str">
        <f t="shared" ref="T26:T32" si="214">IFERROR(RIGHT(M26,LEN(M26)-FIND("],",M26)-1),"none")</f>
        <v>none</v>
      </c>
      <c r="U26" s="59" t="e">
        <f t="shared" si="11"/>
        <v>#VALUE!</v>
      </c>
      <c r="V26" s="59">
        <f t="shared" ref="V26:V32" si="215">IFERROR(FIND(",",T26),LEN(T26))</f>
        <v>4</v>
      </c>
      <c r="W26" s="59" t="e">
        <f t="shared" ref="W26:W32" si="216">FIND("target:",T26)+7</f>
        <v>#VALUE!</v>
      </c>
      <c r="X26" s="59" t="e">
        <f t="shared" ref="X26:X32" si="217">FIND(",",T26,V26+1)</f>
        <v>#VALUE!</v>
      </c>
      <c r="Y26" s="59" t="str">
        <f>IFERROR(VLOOKUP(MID(T26,W26,X26-W26),[5]skilldef!$C:$D,2,FALSE),"-") &amp; " / " &amp; IFERROR(VLOOKUP(MID(T26,U26,V26-U26),[5]skilldef!$A:$B,2,FALSE),"-")</f>
        <v>- / -</v>
      </c>
      <c r="Z26" s="46"/>
      <c r="AA26" s="48"/>
      <c r="AB26" s="46"/>
    </row>
    <row r="27" spans="1:28" ht="21" customHeight="1" x14ac:dyDescent="0.15">
      <c r="A27" s="180">
        <v>15028026</v>
      </c>
      <c r="B27" s="43" t="s">
        <v>245</v>
      </c>
      <c r="C27" s="46">
        <v>3</v>
      </c>
      <c r="D27" s="46" t="s">
        <v>128</v>
      </c>
      <c r="E27" s="47" t="s">
        <v>264</v>
      </c>
      <c r="F27" s="47" t="s">
        <v>246</v>
      </c>
      <c r="G27" s="59" t="str">
        <f t="shared" ref="G27" si="218">IFERROR(LEFT(B27,FIND("],",B27)),B27)</f>
        <v>[effect:freq_turn, target:enemy_all, turn:-1, val:1, animation:enemy_freq_turn]</v>
      </c>
      <c r="H27" s="59">
        <f t="shared" ref="H27" si="219">FIND("effect:",G27)+7</f>
        <v>9</v>
      </c>
      <c r="I27" s="59">
        <f t="shared" ref="I27" si="220">IFERROR(FIND(",",G27),LEN(G27))</f>
        <v>18</v>
      </c>
      <c r="J27" s="59">
        <f t="shared" ref="J27" si="221">FIND("target:",G27)+7</f>
        <v>27</v>
      </c>
      <c r="K27" s="59">
        <f t="shared" ref="K27" si="222">FIND(",",G27,I27+1)</f>
        <v>36</v>
      </c>
      <c r="L27" s="59" t="str">
        <f>IFERROR(VLOOKUP(MID(G27,J27,K27-J27),[5]skilldef!$C:$D,2,FALSE),"-") &amp; " / " &amp; IFERROR(VLOOKUP(MID(G27,H27,I27-H27),[5]skilldef!$A:$B,2,FALSE),"-")</f>
        <v>敵全体に / 攻撃頻度がUP</v>
      </c>
      <c r="M27" s="59" t="str">
        <f t="shared" ref="M27" si="223">IFERROR(RIGHT(B27,LEN(B27)-FIND("],",B27)-1),"none")</f>
        <v>none</v>
      </c>
      <c r="N27" s="44" t="str">
        <f>IFERROR(LEFT(M27,FIND("],",M27)+S46),M27)</f>
        <v>none</v>
      </c>
      <c r="O27" s="59" t="e">
        <f t="shared" ref="O27" si="224">FIND("effect:",N27)+7</f>
        <v>#VALUE!</v>
      </c>
      <c r="P27" s="59">
        <f t="shared" ref="P27" si="225">IFERROR(FIND(",",N27),LEN(N27))</f>
        <v>4</v>
      </c>
      <c r="Q27" s="59" t="e">
        <f t="shared" ref="Q27" si="226">FIND("target:",N27)+7</f>
        <v>#VALUE!</v>
      </c>
      <c r="R27" s="59" t="e">
        <f t="shared" ref="R27" si="227">FIND(",",N27,P27+1)</f>
        <v>#VALUE!</v>
      </c>
      <c r="S27" s="59" t="str">
        <f>IFERROR(VLOOKUP(MID(N27,Q27,R27-Q27),[5]skilldef!$C:$D,2,FALSE),"-") &amp; " / " &amp; IFERROR(VLOOKUP(MID(N27,O27,P27-O27),[5]skilldef!$A:$B,2,FALSE),"-")</f>
        <v>- / -</v>
      </c>
      <c r="T27" s="44" t="str">
        <f t="shared" ref="T27" si="228">IFERROR(RIGHT(M27,LEN(M27)-FIND("],",M27)-1),"none")</f>
        <v>none</v>
      </c>
      <c r="U27" s="59" t="e">
        <f t="shared" ref="U27" si="229">FIND("effect:",T27)+7</f>
        <v>#VALUE!</v>
      </c>
      <c r="V27" s="59">
        <f t="shared" ref="V27" si="230">IFERROR(FIND(",",T27),LEN(T27))</f>
        <v>4</v>
      </c>
      <c r="W27" s="59" t="e">
        <f t="shared" ref="W27" si="231">FIND("target:",T27)+7</f>
        <v>#VALUE!</v>
      </c>
      <c r="X27" s="59" t="e">
        <f t="shared" ref="X27" si="232">FIND(",",T27,V27+1)</f>
        <v>#VALUE!</v>
      </c>
      <c r="Y27" s="59" t="str">
        <f>IFERROR(VLOOKUP(MID(T27,W27,X27-W27),[5]skilldef!$C:$D,2,FALSE),"-") &amp; " / " &amp; IFERROR(VLOOKUP(MID(T27,U27,V27-U27),[5]skilldef!$A:$B,2,FALSE),"-")</f>
        <v>- / -</v>
      </c>
      <c r="Z27" s="46"/>
      <c r="AA27" s="48"/>
      <c r="AB27" s="46"/>
    </row>
    <row r="28" spans="1:28" ht="21" customHeight="1" x14ac:dyDescent="0.15">
      <c r="A28" s="180">
        <v>15028027</v>
      </c>
      <c r="B28" s="43" t="s">
        <v>252</v>
      </c>
      <c r="C28" s="46">
        <v>3</v>
      </c>
      <c r="D28" s="46" t="s">
        <v>128</v>
      </c>
      <c r="E28" s="47" t="s">
        <v>265</v>
      </c>
      <c r="F28" s="47" t="s">
        <v>249</v>
      </c>
      <c r="G28" s="59" t="str">
        <f t="shared" ref="G28" si="233">IFERROR(LEFT(B28,FIND("],",B28)),B28)</f>
        <v>[effect:nothing]</v>
      </c>
      <c r="H28" s="59">
        <f t="shared" ref="H28" si="234">FIND("effect:",G28)+7</f>
        <v>9</v>
      </c>
      <c r="I28" s="59">
        <f t="shared" ref="I28" si="235">IFERROR(FIND(",",G28),LEN(G28))</f>
        <v>16</v>
      </c>
      <c r="J28" s="59" t="e">
        <f t="shared" ref="J28" si="236">FIND("target:",G28)+7</f>
        <v>#VALUE!</v>
      </c>
      <c r="K28" s="59" t="e">
        <f t="shared" ref="K28" si="237">FIND(",",G28,I28+1)</f>
        <v>#VALUE!</v>
      </c>
      <c r="L28" s="59" t="str">
        <f>IFERROR(VLOOKUP(MID(G28,J28,K28-J28),[5]skilldef!$C:$D,2,FALSE),"-") &amp; " / " &amp; IFERROR(VLOOKUP(MID(G28,H28,I28-H28),[5]skilldef!$A:$B,2,FALSE),"-")</f>
        <v>- / 何もしない</v>
      </c>
      <c r="M28" s="59" t="str">
        <f t="shared" ref="M28" si="238">IFERROR(RIGHT(B28,LEN(B28)-FIND("],",B28)-1),"none")</f>
        <v>none</v>
      </c>
      <c r="N28" s="44" t="str">
        <f>IFERROR(LEFT(M28,FIND("],",M28)+S47),M28)</f>
        <v>none</v>
      </c>
      <c r="O28" s="59" t="e">
        <f t="shared" ref="O28" si="239">FIND("effect:",N28)+7</f>
        <v>#VALUE!</v>
      </c>
      <c r="P28" s="59">
        <f t="shared" ref="P28" si="240">IFERROR(FIND(",",N28),LEN(N28))</f>
        <v>4</v>
      </c>
      <c r="Q28" s="59" t="e">
        <f t="shared" ref="Q28" si="241">FIND("target:",N28)+7</f>
        <v>#VALUE!</v>
      </c>
      <c r="R28" s="59" t="e">
        <f t="shared" ref="R28" si="242">FIND(",",N28,P28+1)</f>
        <v>#VALUE!</v>
      </c>
      <c r="S28" s="59" t="str">
        <f>IFERROR(VLOOKUP(MID(N28,Q28,R28-Q28),[5]skilldef!$C:$D,2,FALSE),"-") &amp; " / " &amp; IFERROR(VLOOKUP(MID(N28,O28,P28-O28),[5]skilldef!$A:$B,2,FALSE),"-")</f>
        <v>- / -</v>
      </c>
      <c r="T28" s="44" t="str">
        <f t="shared" ref="T28" si="243">IFERROR(RIGHT(M28,LEN(M28)-FIND("],",M28)-1),"none")</f>
        <v>none</v>
      </c>
      <c r="U28" s="59" t="e">
        <f t="shared" ref="U28" si="244">FIND("effect:",T28)+7</f>
        <v>#VALUE!</v>
      </c>
      <c r="V28" s="59">
        <f t="shared" ref="V28" si="245">IFERROR(FIND(",",T28),LEN(T28))</f>
        <v>4</v>
      </c>
      <c r="W28" s="59" t="e">
        <f t="shared" ref="W28" si="246">FIND("target:",T28)+7</f>
        <v>#VALUE!</v>
      </c>
      <c r="X28" s="59" t="e">
        <f t="shared" ref="X28" si="247">FIND(",",T28,V28+1)</f>
        <v>#VALUE!</v>
      </c>
      <c r="Y28" s="59" t="str">
        <f>IFERROR(VLOOKUP(MID(T28,W28,X28-W28),[5]skilldef!$C:$D,2,FALSE),"-") &amp; " / " &amp; IFERROR(VLOOKUP(MID(T28,U28,V28-U28),[5]skilldef!$A:$B,2,FALSE),"-")</f>
        <v>- / -</v>
      </c>
      <c r="Z28" s="46"/>
      <c r="AA28" s="48"/>
      <c r="AB28" s="46"/>
    </row>
    <row r="29" spans="1:28" ht="21" customHeight="1" x14ac:dyDescent="0.15">
      <c r="A29" s="180">
        <v>15028028</v>
      </c>
      <c r="B29" s="43" t="s">
        <v>250</v>
      </c>
      <c r="C29" s="46">
        <v>3</v>
      </c>
      <c r="D29" s="46" t="s">
        <v>128</v>
      </c>
      <c r="E29" s="47" t="s">
        <v>248</v>
      </c>
      <c r="F29" s="47" t="s">
        <v>397</v>
      </c>
      <c r="G29" s="59" t="str">
        <f t="shared" ref="G29" si="248">IFERROR(LEFT(B29,FIND("],",B29)),B29)</f>
        <v>[effect:kamikaze, val:10.0]</v>
      </c>
      <c r="H29" s="59">
        <f t="shared" ref="H29" si="249">FIND("effect:",G29)+7</f>
        <v>9</v>
      </c>
      <c r="I29" s="59">
        <f t="shared" ref="I29" si="250">IFERROR(FIND(",",G29),LEN(G29))</f>
        <v>17</v>
      </c>
      <c r="J29" s="59" t="e">
        <f t="shared" ref="J29" si="251">FIND("target:",G29)+7</f>
        <v>#VALUE!</v>
      </c>
      <c r="K29" s="59" t="e">
        <f t="shared" ref="K29" si="252">FIND(",",G29,I29+1)</f>
        <v>#VALUE!</v>
      </c>
      <c r="L29" s="59" t="str">
        <f>IFERROR(VLOOKUP(MID(G29,J29,K29-J29),[5]skilldef!$C:$D,2,FALSE),"-") &amp; " / " &amp; IFERROR(VLOOKUP(MID(G29,H29,I29-H29),[5]skilldef!$A:$B,2,FALSE),"-")</f>
        <v>- / 自爆</v>
      </c>
      <c r="M29" s="59" t="str">
        <f t="shared" ref="M29" si="253">IFERROR(RIGHT(B29,LEN(B29)-FIND("],",B29)-1),"none")</f>
        <v>none</v>
      </c>
      <c r="N29" s="44" t="str">
        <f>IFERROR(LEFT(M29,FIND("],",M29)+S48),M29)</f>
        <v>none</v>
      </c>
      <c r="O29" s="59" t="e">
        <f t="shared" ref="O29" si="254">FIND("effect:",N29)+7</f>
        <v>#VALUE!</v>
      </c>
      <c r="P29" s="59">
        <f t="shared" ref="P29" si="255">IFERROR(FIND(",",N29),LEN(N29))</f>
        <v>4</v>
      </c>
      <c r="Q29" s="59" t="e">
        <f t="shared" ref="Q29" si="256">FIND("target:",N29)+7</f>
        <v>#VALUE!</v>
      </c>
      <c r="R29" s="59" t="e">
        <f t="shared" ref="R29" si="257">FIND(",",N29,P29+1)</f>
        <v>#VALUE!</v>
      </c>
      <c r="S29" s="59" t="str">
        <f>IFERROR(VLOOKUP(MID(N29,Q29,R29-Q29),[5]skilldef!$C:$D,2,FALSE),"-") &amp; " / " &amp; IFERROR(VLOOKUP(MID(N29,O29,P29-O29),[5]skilldef!$A:$B,2,FALSE),"-")</f>
        <v>- / -</v>
      </c>
      <c r="T29" s="44" t="str">
        <f t="shared" ref="T29" si="258">IFERROR(RIGHT(M29,LEN(M29)-FIND("],",M29)-1),"none")</f>
        <v>none</v>
      </c>
      <c r="U29" s="59" t="e">
        <f t="shared" ref="U29" si="259">FIND("effect:",T29)+7</f>
        <v>#VALUE!</v>
      </c>
      <c r="V29" s="59">
        <f t="shared" ref="V29" si="260">IFERROR(FIND(",",T29),LEN(T29))</f>
        <v>4</v>
      </c>
      <c r="W29" s="59" t="e">
        <f t="shared" ref="W29" si="261">FIND("target:",T29)+7</f>
        <v>#VALUE!</v>
      </c>
      <c r="X29" s="59" t="e">
        <f t="shared" ref="X29" si="262">FIND(",",T29,V29+1)</f>
        <v>#VALUE!</v>
      </c>
      <c r="Y29" s="59" t="str">
        <f>IFERROR(VLOOKUP(MID(T29,W29,X29-W29),[5]skilldef!$C:$D,2,FALSE),"-") &amp; " / " &amp; IFERROR(VLOOKUP(MID(T29,U29,V29-U29),[5]skilldef!$A:$B,2,FALSE),"-")</f>
        <v>- / -</v>
      </c>
      <c r="Z29" s="46"/>
      <c r="AA29" s="48"/>
      <c r="AB29" s="46"/>
    </row>
    <row r="30" spans="1:28" ht="21" customHeight="1" x14ac:dyDescent="0.15">
      <c r="A30" s="180">
        <v>15028029</v>
      </c>
      <c r="B30" s="43" t="s">
        <v>339</v>
      </c>
      <c r="C30" s="46">
        <v>3</v>
      </c>
      <c r="D30" s="46" t="s">
        <v>128</v>
      </c>
      <c r="E30" s="47" t="s">
        <v>332</v>
      </c>
      <c r="F30" s="47" t="s">
        <v>335</v>
      </c>
      <c r="G30" s="59" t="str">
        <f t="shared" ref="G30:G31" si="263">IFERROR(LEFT(B30,FIND("],",B30)),B30)</f>
        <v>[effect:sleep, target:enemy_green, turn:5, rate:1]</v>
      </c>
      <c r="H30" s="59">
        <f t="shared" si="1"/>
        <v>9</v>
      </c>
      <c r="I30" s="59">
        <f t="shared" ref="I30:I31" si="264">IFERROR(FIND(",",G30),LEN(G30))</f>
        <v>14</v>
      </c>
      <c r="J30" s="59">
        <f t="shared" ref="J30:J31" si="265">FIND("target:",G30)+7</f>
        <v>23</v>
      </c>
      <c r="K30" s="59">
        <f t="shared" ref="K30:K31" si="266">FIND(",",G30,I30+1)</f>
        <v>34</v>
      </c>
      <c r="L30" s="59" t="str">
        <f>IFERROR(VLOOKUP(MID(G30,J30,K30-J30),[5]skilldef!$C:$D,2,FALSE),"-") &amp; " / " &amp; IFERROR(VLOOKUP(MID(G30,H30,I30-H30),[5]skilldef!$A:$B,2,FALSE),"-")</f>
        <v>緑の敵に / スリープ</v>
      </c>
      <c r="M30" s="59" t="str">
        <f t="shared" ref="M30:M31" si="267">IFERROR(RIGHT(B30,LEN(B30)-FIND("],",B30)-1),"none")</f>
        <v>none</v>
      </c>
      <c r="N30" s="44" t="str">
        <f>IFERROR(LEFT(M30,FIND("],",M30)+S49),M30)</f>
        <v>none</v>
      </c>
      <c r="O30" s="59" t="e">
        <f t="shared" si="6"/>
        <v>#VALUE!</v>
      </c>
      <c r="P30" s="59">
        <f t="shared" ref="P30:P31" si="268">IFERROR(FIND(",",N30),LEN(N30))</f>
        <v>4</v>
      </c>
      <c r="Q30" s="59" t="e">
        <f t="shared" ref="Q30:Q31" si="269">FIND("target:",N30)+7</f>
        <v>#VALUE!</v>
      </c>
      <c r="R30" s="59" t="e">
        <f t="shared" ref="R30:R31" si="270">FIND(",",N30,P30+1)</f>
        <v>#VALUE!</v>
      </c>
      <c r="S30" s="59" t="str">
        <f>IFERROR(VLOOKUP(MID(N30,Q30,R30-Q30),[5]skilldef!$C:$D,2,FALSE),"-") &amp; " / " &amp; IFERROR(VLOOKUP(MID(N30,O30,P30-O30),[5]skilldef!$A:$B,2,FALSE),"-")</f>
        <v>- / -</v>
      </c>
      <c r="T30" s="44" t="str">
        <f t="shared" ref="T30:T31" si="271">IFERROR(RIGHT(M30,LEN(M30)-FIND("],",M30)-1),"none")</f>
        <v>none</v>
      </c>
      <c r="U30" s="59" t="e">
        <f t="shared" si="11"/>
        <v>#VALUE!</v>
      </c>
      <c r="V30" s="59">
        <f t="shared" ref="V30:V31" si="272">IFERROR(FIND(",",T30),LEN(T30))</f>
        <v>4</v>
      </c>
      <c r="W30" s="59" t="e">
        <f t="shared" ref="W30:W31" si="273">FIND("target:",T30)+7</f>
        <v>#VALUE!</v>
      </c>
      <c r="X30" s="59" t="e">
        <f t="shared" ref="X30:X31" si="274">FIND(",",T30,V30+1)</f>
        <v>#VALUE!</v>
      </c>
      <c r="Y30" s="59" t="str">
        <f>IFERROR(VLOOKUP(MID(T30,W30,X30-W30),[5]skilldef!$C:$D,2,FALSE),"-") &amp; " / " &amp; IFERROR(VLOOKUP(MID(T30,U30,V30-U30),[5]skilldef!$A:$B,2,FALSE),"-")</f>
        <v>- / -</v>
      </c>
      <c r="Z30" s="46"/>
      <c r="AA30" s="48"/>
      <c r="AB30" s="46"/>
    </row>
    <row r="31" spans="1:28" ht="21" customHeight="1" x14ac:dyDescent="0.15">
      <c r="A31" s="180">
        <v>15028030</v>
      </c>
      <c r="B31" s="43" t="s">
        <v>338</v>
      </c>
      <c r="C31" s="46">
        <v>3</v>
      </c>
      <c r="D31" s="46" t="s">
        <v>128</v>
      </c>
      <c r="E31" s="47" t="s">
        <v>311</v>
      </c>
      <c r="F31" s="47" t="s">
        <v>362</v>
      </c>
      <c r="G31" s="59" t="str">
        <f t="shared" si="263"/>
        <v>[effect:virus, turn:-1, target:unit_all, rate:1, val:0.7, animation:enemy_virus]</v>
      </c>
      <c r="H31" s="59">
        <f t="shared" si="1"/>
        <v>9</v>
      </c>
      <c r="I31" s="59">
        <f t="shared" si="264"/>
        <v>14</v>
      </c>
      <c r="J31" s="59">
        <f t="shared" si="265"/>
        <v>32</v>
      </c>
      <c r="K31" s="59">
        <f t="shared" si="266"/>
        <v>23</v>
      </c>
      <c r="L31" s="59" t="str">
        <f>IFERROR(VLOOKUP(MID(G31,J31,K31-J31),[5]skilldef!$C:$D,2,FALSE),"-") &amp; " / " &amp; IFERROR(VLOOKUP(MID(G31,H31,I31-H31),[5]skilldef!$A:$B,2,FALSE),"-")</f>
        <v>- / ウィルス</v>
      </c>
      <c r="M31" s="59" t="str">
        <f t="shared" si="267"/>
        <v>[effect:fix_speed, target:myself, turn:2]</v>
      </c>
      <c r="N31" s="44" t="str">
        <f>IFERROR(LEFT(M31,FIND("],",M31)+S49),M31)</f>
        <v>[effect:fix_speed, target:myself, turn:2]</v>
      </c>
      <c r="O31" s="59">
        <f t="shared" si="6"/>
        <v>9</v>
      </c>
      <c r="P31" s="59">
        <f t="shared" si="268"/>
        <v>18</v>
      </c>
      <c r="Q31" s="59">
        <f t="shared" si="269"/>
        <v>27</v>
      </c>
      <c r="R31" s="59">
        <f t="shared" si="270"/>
        <v>33</v>
      </c>
      <c r="S31" s="59" t="str">
        <f>IFERROR(VLOOKUP(MID(N31,Q31,R31-Q31),[5]skilldef!$C:$D,2,FALSE),"-") &amp; " / " &amp; IFERROR(VLOOKUP(MID(N31,O31,P31-O31),[5]skilldef!$A:$B,2,FALSE),"-")</f>
        <v>自分自身に / 行動値設定</v>
      </c>
      <c r="T31" s="44" t="str">
        <f t="shared" si="271"/>
        <v>none</v>
      </c>
      <c r="U31" s="59" t="e">
        <f t="shared" si="11"/>
        <v>#VALUE!</v>
      </c>
      <c r="V31" s="59">
        <f t="shared" si="272"/>
        <v>4</v>
      </c>
      <c r="W31" s="59" t="e">
        <f t="shared" si="273"/>
        <v>#VALUE!</v>
      </c>
      <c r="X31" s="59" t="e">
        <f t="shared" si="274"/>
        <v>#VALUE!</v>
      </c>
      <c r="Y31" s="59" t="str">
        <f>IFERROR(VLOOKUP(MID(T31,W31,X31-W31),[5]skilldef!$C:$D,2,FALSE),"-") &amp; " / " &amp; IFERROR(VLOOKUP(MID(T31,U31,V31-U31),[5]skilldef!$A:$B,2,FALSE),"-")</f>
        <v>- / -</v>
      </c>
      <c r="Z31" s="46"/>
      <c r="AA31" s="48"/>
      <c r="AB31" s="46"/>
    </row>
    <row r="32" spans="1:28" ht="21" customHeight="1" x14ac:dyDescent="0.15">
      <c r="A32" s="180">
        <v>15028031</v>
      </c>
      <c r="B32" s="43" t="s">
        <v>317</v>
      </c>
      <c r="C32" s="46">
        <v>3</v>
      </c>
      <c r="D32" s="46" t="s">
        <v>128</v>
      </c>
      <c r="E32" s="47" t="s">
        <v>297</v>
      </c>
      <c r="F32" s="47" t="s">
        <v>228</v>
      </c>
      <c r="G32" s="59" t="str">
        <f t="shared" si="206"/>
        <v>[effect:rush, count:8, val:0.3]</v>
      </c>
      <c r="H32" s="59">
        <f t="shared" ref="H32" si="275">FIND("effect:",G32)+7</f>
        <v>9</v>
      </c>
      <c r="I32" s="59">
        <f t="shared" si="207"/>
        <v>13</v>
      </c>
      <c r="J32" s="59" t="e">
        <f t="shared" si="208"/>
        <v>#VALUE!</v>
      </c>
      <c r="K32" s="59">
        <f t="shared" si="209"/>
        <v>22</v>
      </c>
      <c r="L32" s="59" t="str">
        <f>IFERROR(VLOOKUP(MID(G32,J32,K32-J32),[5]skilldef!$C:$D,2,FALSE),"-") &amp; " / " &amp; IFERROR(VLOOKUP(MID(G32,H32,I32-H32),[5]skilldef!$A:$B,2,FALSE),"-")</f>
        <v>- / 連続攻撃</v>
      </c>
      <c r="M32" s="59" t="str">
        <f t="shared" si="210"/>
        <v>none</v>
      </c>
      <c r="N32" s="44" t="str">
        <f>IFERROR(LEFT(M32,FIND("],",M32)+S50),M32)</f>
        <v>none</v>
      </c>
      <c r="O32" s="59" t="e">
        <f t="shared" ref="O32" si="276">FIND("effect:",N32)+7</f>
        <v>#VALUE!</v>
      </c>
      <c r="P32" s="59">
        <f t="shared" si="211"/>
        <v>4</v>
      </c>
      <c r="Q32" s="59" t="e">
        <f t="shared" si="212"/>
        <v>#VALUE!</v>
      </c>
      <c r="R32" s="59" t="e">
        <f t="shared" si="213"/>
        <v>#VALUE!</v>
      </c>
      <c r="S32" s="59" t="str">
        <f>IFERROR(VLOOKUP(MID(N32,Q32,R32-Q32),[5]skilldef!$C:$D,2,FALSE),"-") &amp; " / " &amp; IFERROR(VLOOKUP(MID(N32,O32,P32-O32),[5]skilldef!$A:$B,2,FALSE),"-")</f>
        <v>- / -</v>
      </c>
      <c r="T32" s="44" t="str">
        <f t="shared" si="214"/>
        <v>none</v>
      </c>
      <c r="U32" s="59" t="e">
        <f t="shared" ref="U32" si="277">FIND("effect:",T32)+7</f>
        <v>#VALUE!</v>
      </c>
      <c r="V32" s="59">
        <f t="shared" si="215"/>
        <v>4</v>
      </c>
      <c r="W32" s="59" t="e">
        <f t="shared" si="216"/>
        <v>#VALUE!</v>
      </c>
      <c r="X32" s="59" t="e">
        <f t="shared" si="217"/>
        <v>#VALUE!</v>
      </c>
      <c r="Y32" s="59" t="str">
        <f>IFERROR(VLOOKUP(MID(T32,W32,X32-W32),[5]skilldef!$C:$D,2,FALSE),"-") &amp; " / " &amp; IFERROR(VLOOKUP(MID(T32,U32,V32-U32),[5]skilldef!$A:$B,2,FALSE),"-")</f>
        <v>- / -</v>
      </c>
      <c r="Z32" s="46"/>
      <c r="AA32" s="48"/>
      <c r="AB32" s="46"/>
    </row>
    <row r="33" spans="1:28" ht="21" customHeight="1" x14ac:dyDescent="0.15">
      <c r="A33" s="180">
        <v>15028032</v>
      </c>
      <c r="B33" s="43" t="s">
        <v>336</v>
      </c>
      <c r="C33" s="46">
        <v>3</v>
      </c>
      <c r="D33" s="46" t="s">
        <v>128</v>
      </c>
      <c r="E33" s="47" t="s">
        <v>331</v>
      </c>
      <c r="F33" s="47" t="s">
        <v>363</v>
      </c>
      <c r="G33" s="59" t="str">
        <f t="shared" ref="G33:G36" si="278">IFERROR(LEFT(B33,FIND("],",B33)),B33)</f>
        <v>[effect:spread, val:0.3]</v>
      </c>
      <c r="H33" s="59">
        <f t="shared" ref="H33:H36" si="279">FIND("effect:",G33)+7</f>
        <v>9</v>
      </c>
      <c r="I33" s="59">
        <f t="shared" ref="I33:I36" si="280">IFERROR(FIND(",",G33),LEN(G33))</f>
        <v>15</v>
      </c>
      <c r="J33" s="59" t="e">
        <f t="shared" ref="J33:J36" si="281">FIND("target:",G33)+7</f>
        <v>#VALUE!</v>
      </c>
      <c r="K33" s="59" t="e">
        <f t="shared" ref="K33:K36" si="282">FIND(",",G33,I33+1)</f>
        <v>#VALUE!</v>
      </c>
      <c r="L33" s="59" t="str">
        <f>IFERROR(VLOOKUP(MID(G33,J33,K33-J33),[5]skilldef!$C:$D,2,FALSE),"-") &amp; " / " &amp; IFERROR(VLOOKUP(MID(G33,H33,I33-H33),[5]skilldef!$A:$B,2,FALSE),"-")</f>
        <v>- / 全体攻撃</v>
      </c>
      <c r="M33" s="59" t="str">
        <f t="shared" ref="M33:M36" si="283">IFERROR(RIGHT(B33,LEN(B33)-FIND("],",B33)-1),"none")</f>
        <v>[effect:hungup, target:unit_all, turn:3, rate:0.55, animation:hungup01],[effect:suicide, val:1, dead_type:suicide, target:enemy_red, animation:enemy_suicide]</v>
      </c>
      <c r="N33" s="44" t="str">
        <f>IFERROR(LEFT(M33,FIND("],",M33)+S51),M33)</f>
        <v>[effect:hungup, target:unit_all, turn:3, rate:0.55, animation:hungup01],[effect:suicide, val:1, dead_type:suicide, target:enemy_red, animation:enemy_suicide]</v>
      </c>
      <c r="O33" s="59">
        <f t="shared" ref="O33:O36" si="284">FIND("effect:",N33)+7</f>
        <v>9</v>
      </c>
      <c r="P33" s="59">
        <f t="shared" ref="P33:P36" si="285">IFERROR(FIND(",",N33),LEN(N33))</f>
        <v>15</v>
      </c>
      <c r="Q33" s="59">
        <f t="shared" ref="Q33:Q36" si="286">FIND("target:",N33)+7</f>
        <v>24</v>
      </c>
      <c r="R33" s="59">
        <f t="shared" ref="R33:R36" si="287">FIND(",",N33,P33+1)</f>
        <v>32</v>
      </c>
      <c r="S33" s="59" t="str">
        <f>IFERROR(VLOOKUP(MID(N33,Q33,R33-Q33),[5]skilldef!$C:$D,2,FALSE),"-") &amp; " / " &amp; IFERROR(VLOOKUP(MID(N33,O33,P33-O33),[5]skilldef!$A:$B,2,FALSE),"-")</f>
        <v>味方全体に / ハングアップ</v>
      </c>
      <c r="T33" s="44" t="str">
        <f t="shared" ref="T33:T36" si="288">IFERROR(RIGHT(M33,LEN(M33)-FIND("],",M33)-1),"none")</f>
        <v>[effect:suicide, val:1, dead_type:suicide, target:enemy_red, animation:enemy_suicide]</v>
      </c>
      <c r="U33" s="59">
        <f t="shared" ref="U33:U36" si="289">FIND("effect:",T33)+7</f>
        <v>9</v>
      </c>
      <c r="V33" s="59">
        <f t="shared" ref="V33:V36" si="290">IFERROR(FIND(",",T33),LEN(T33))</f>
        <v>16</v>
      </c>
      <c r="W33" s="59">
        <f t="shared" ref="W33:W36" si="291">FIND("target:",T33)+7</f>
        <v>51</v>
      </c>
      <c r="X33" s="59">
        <f t="shared" ref="X33:X36" si="292">FIND(",",T33,V33+1)</f>
        <v>23</v>
      </c>
      <c r="Y33" s="59" t="str">
        <f>IFERROR(VLOOKUP(MID(T33,W33,X33-W33),[5]skilldef!$C:$D,2,FALSE),"-") &amp; " / " &amp; IFERROR(VLOOKUP(MID(T33,U33,V33-U33),[5]skilldef!$A:$B,2,FALSE),"-")</f>
        <v>- / -</v>
      </c>
      <c r="Z33" s="46"/>
      <c r="AA33" s="48"/>
      <c r="AB33" s="46"/>
    </row>
    <row r="34" spans="1:28" ht="21" customHeight="1" x14ac:dyDescent="0.15">
      <c r="A34" s="180">
        <v>15028033</v>
      </c>
      <c r="B34" s="43" t="s">
        <v>229</v>
      </c>
      <c r="C34" s="46">
        <v>3</v>
      </c>
      <c r="D34" s="46" t="s">
        <v>128</v>
      </c>
      <c r="E34" s="47" t="s">
        <v>312</v>
      </c>
      <c r="F34" s="47" t="s">
        <v>230</v>
      </c>
      <c r="G34" s="59" t="str">
        <f t="shared" si="278"/>
        <v>[effect:rush, count:4, val:0.3]</v>
      </c>
      <c r="H34" s="59">
        <f t="shared" si="279"/>
        <v>9</v>
      </c>
      <c r="I34" s="59">
        <f t="shared" si="280"/>
        <v>13</v>
      </c>
      <c r="J34" s="59" t="e">
        <f t="shared" si="281"/>
        <v>#VALUE!</v>
      </c>
      <c r="K34" s="59">
        <f t="shared" si="282"/>
        <v>22</v>
      </c>
      <c r="L34" s="59" t="str">
        <f>IFERROR(VLOOKUP(MID(G34,J34,K34-J34),[5]skilldef!$C:$D,2,FALSE),"-") &amp; " / " &amp; IFERROR(VLOOKUP(MID(G34,H34,I34-H34),[5]skilldef!$A:$B,2,FALSE),"-")</f>
        <v>- / 連続攻撃</v>
      </c>
      <c r="M34" s="59" t="str">
        <f t="shared" si="283"/>
        <v>none</v>
      </c>
      <c r="N34" s="44" t="str">
        <f>IFERROR(LEFT(M34,FIND("],",M34)+S52),M34)</f>
        <v>none</v>
      </c>
      <c r="O34" s="59" t="e">
        <f t="shared" si="284"/>
        <v>#VALUE!</v>
      </c>
      <c r="P34" s="59">
        <f t="shared" si="285"/>
        <v>4</v>
      </c>
      <c r="Q34" s="59" t="e">
        <f t="shared" si="286"/>
        <v>#VALUE!</v>
      </c>
      <c r="R34" s="59" t="e">
        <f t="shared" si="287"/>
        <v>#VALUE!</v>
      </c>
      <c r="S34" s="59" t="str">
        <f>IFERROR(VLOOKUP(MID(N34,Q34,R34-Q34),[5]skilldef!$C:$D,2,FALSE),"-") &amp; " / " &amp; IFERROR(VLOOKUP(MID(N34,O34,P34-O34),[5]skilldef!$A:$B,2,FALSE),"-")</f>
        <v>- / -</v>
      </c>
      <c r="T34" s="44" t="str">
        <f t="shared" si="288"/>
        <v>none</v>
      </c>
      <c r="U34" s="59" t="e">
        <f t="shared" si="289"/>
        <v>#VALUE!</v>
      </c>
      <c r="V34" s="59">
        <f t="shared" si="290"/>
        <v>4</v>
      </c>
      <c r="W34" s="59" t="e">
        <f t="shared" si="291"/>
        <v>#VALUE!</v>
      </c>
      <c r="X34" s="59" t="e">
        <f t="shared" si="292"/>
        <v>#VALUE!</v>
      </c>
      <c r="Y34" s="59" t="str">
        <f>IFERROR(VLOOKUP(MID(T34,W34,X34-W34),[5]skilldef!$C:$D,2,FALSE),"-") &amp; " / " &amp; IFERROR(VLOOKUP(MID(T34,U34,V34-U34),[5]skilldef!$A:$B,2,FALSE),"-")</f>
        <v>- / -</v>
      </c>
      <c r="Z34" s="46"/>
      <c r="AA34" s="48"/>
      <c r="AB34" s="46"/>
    </row>
    <row r="35" spans="1:28" ht="21" customHeight="1" x14ac:dyDescent="0.15">
      <c r="A35" s="180">
        <v>15028034</v>
      </c>
      <c r="B35" s="43" t="s">
        <v>330</v>
      </c>
      <c r="C35" s="46">
        <v>3</v>
      </c>
      <c r="D35" s="46" t="s">
        <v>128</v>
      </c>
      <c r="E35" s="47" t="s">
        <v>268</v>
      </c>
      <c r="F35" s="47" t="s">
        <v>364</v>
      </c>
      <c r="G35" s="59" t="str">
        <f t="shared" si="278"/>
        <v>[effect:sleep, target:unit_all, turn:2, rate:0.55, animation:sleep04]</v>
      </c>
      <c r="H35" s="59">
        <f t="shared" si="279"/>
        <v>9</v>
      </c>
      <c r="I35" s="59">
        <f t="shared" si="280"/>
        <v>14</v>
      </c>
      <c r="J35" s="59">
        <f t="shared" si="281"/>
        <v>23</v>
      </c>
      <c r="K35" s="59">
        <f t="shared" si="282"/>
        <v>31</v>
      </c>
      <c r="L35" s="59" t="str">
        <f>IFERROR(VLOOKUP(MID(G35,J35,K35-J35),[5]skilldef!$C:$D,2,FALSE),"-") &amp; " / " &amp; IFERROR(VLOOKUP(MID(G35,H35,I35-H35),[5]skilldef!$A:$B,2,FALSE),"-")</f>
        <v>味方全体に / スリープ</v>
      </c>
      <c r="M35" s="59" t="str">
        <f t="shared" si="283"/>
        <v>none</v>
      </c>
      <c r="N35" s="44" t="str">
        <f>IFERROR(LEFT(M35,FIND("],",M35)+S52),M35)</f>
        <v>none</v>
      </c>
      <c r="O35" s="59" t="e">
        <f t="shared" si="284"/>
        <v>#VALUE!</v>
      </c>
      <c r="P35" s="59">
        <f t="shared" si="285"/>
        <v>4</v>
      </c>
      <c r="Q35" s="59" t="e">
        <f t="shared" si="286"/>
        <v>#VALUE!</v>
      </c>
      <c r="R35" s="59" t="e">
        <f t="shared" si="287"/>
        <v>#VALUE!</v>
      </c>
      <c r="S35" s="59" t="str">
        <f>IFERROR(VLOOKUP(MID(N35,Q35,R35-Q35),[5]skilldef!$C:$D,2,FALSE),"-") &amp; " / " &amp; IFERROR(VLOOKUP(MID(N35,O35,P35-O35),[5]skilldef!$A:$B,2,FALSE),"-")</f>
        <v>- / -</v>
      </c>
      <c r="T35" s="44" t="str">
        <f t="shared" si="288"/>
        <v>none</v>
      </c>
      <c r="U35" s="59" t="e">
        <f t="shared" si="289"/>
        <v>#VALUE!</v>
      </c>
      <c r="V35" s="59">
        <f t="shared" si="290"/>
        <v>4</v>
      </c>
      <c r="W35" s="59" t="e">
        <f t="shared" si="291"/>
        <v>#VALUE!</v>
      </c>
      <c r="X35" s="59" t="e">
        <f t="shared" si="292"/>
        <v>#VALUE!</v>
      </c>
      <c r="Y35" s="59" t="str">
        <f>IFERROR(VLOOKUP(MID(T35,W35,X35-W35),[5]skilldef!$C:$D,2,FALSE),"-") &amp; " / " &amp; IFERROR(VLOOKUP(MID(T35,U35,V35-U35),[5]skilldef!$A:$B,2,FALSE),"-")</f>
        <v>- / -</v>
      </c>
      <c r="Z35" s="46"/>
      <c r="AA35" s="48"/>
      <c r="AB35" s="46"/>
    </row>
    <row r="36" spans="1:28" ht="21" customHeight="1" x14ac:dyDescent="0.15">
      <c r="A36" s="180">
        <v>15028035</v>
      </c>
      <c r="B36" s="43" t="s">
        <v>358</v>
      </c>
      <c r="C36" s="46">
        <v>3</v>
      </c>
      <c r="D36" s="46" t="s">
        <v>128</v>
      </c>
      <c r="E36" s="47" t="s">
        <v>359</v>
      </c>
      <c r="F36" s="47" t="s">
        <v>365</v>
      </c>
      <c r="G36" s="59" t="str">
        <f t="shared" si="278"/>
        <v>[effect:enhance_enemy, target:myself, turn:-1, status:defense, val:100000, calc:add, animation:enemy_enhance_defense]</v>
      </c>
      <c r="H36" s="59">
        <f t="shared" si="279"/>
        <v>9</v>
      </c>
      <c r="I36" s="59">
        <f t="shared" si="280"/>
        <v>22</v>
      </c>
      <c r="J36" s="59">
        <f t="shared" si="281"/>
        <v>31</v>
      </c>
      <c r="K36" s="59">
        <f t="shared" si="282"/>
        <v>37</v>
      </c>
      <c r="L36" s="59" t="str">
        <f>IFERROR(VLOOKUP(MID(G36,J36,K36-J36),[5]skilldef!$C:$D,2,FALSE),"-") &amp; " / " &amp; IFERROR(VLOOKUP(MID(G36,H36,I36-H36),[5]skilldef!$A:$B,2,FALSE),"-")</f>
        <v>自分自身に / ステータス強化</v>
      </c>
      <c r="M36" s="59" t="str">
        <f t="shared" si="283"/>
        <v>none</v>
      </c>
      <c r="N36" s="44" t="str">
        <f>IFERROR(LEFT(M36,FIND("],",M36)+S52),M36)</f>
        <v>none</v>
      </c>
      <c r="O36" s="59" t="e">
        <f t="shared" si="284"/>
        <v>#VALUE!</v>
      </c>
      <c r="P36" s="59">
        <f t="shared" si="285"/>
        <v>4</v>
      </c>
      <c r="Q36" s="59" t="e">
        <f t="shared" si="286"/>
        <v>#VALUE!</v>
      </c>
      <c r="R36" s="59" t="e">
        <f t="shared" si="287"/>
        <v>#VALUE!</v>
      </c>
      <c r="S36" s="59" t="str">
        <f>IFERROR(VLOOKUP(MID(N36,Q36,R36-Q36),[5]skilldef!$C:$D,2,FALSE),"-") &amp; " / " &amp; IFERROR(VLOOKUP(MID(N36,O36,P36-O36),[5]skilldef!$A:$B,2,FALSE),"-")</f>
        <v>- / -</v>
      </c>
      <c r="T36" s="44" t="str">
        <f t="shared" si="288"/>
        <v>none</v>
      </c>
      <c r="U36" s="59" t="e">
        <f t="shared" si="289"/>
        <v>#VALUE!</v>
      </c>
      <c r="V36" s="59">
        <f t="shared" si="290"/>
        <v>4</v>
      </c>
      <c r="W36" s="59" t="e">
        <f t="shared" si="291"/>
        <v>#VALUE!</v>
      </c>
      <c r="X36" s="59" t="e">
        <f t="shared" si="292"/>
        <v>#VALUE!</v>
      </c>
      <c r="Y36" s="59" t="str">
        <f>IFERROR(VLOOKUP(MID(T36,W36,X36-W36),[5]skilldef!$C:$D,2,FALSE),"-") &amp; " / " &amp; IFERROR(VLOOKUP(MID(T36,U36,V36-U36),[5]skilldef!$A:$B,2,FALSE),"-")</f>
        <v>- / -</v>
      </c>
      <c r="Z36" s="46"/>
      <c r="AA36" s="48"/>
      <c r="AB36" s="46"/>
    </row>
    <row r="37" spans="1:28" ht="21" customHeight="1" x14ac:dyDescent="0.15">
      <c r="A37" s="180">
        <v>15028036</v>
      </c>
      <c r="B37" s="43" t="s">
        <v>373</v>
      </c>
      <c r="C37" s="46">
        <v>3</v>
      </c>
      <c r="D37" s="46" t="s">
        <v>128</v>
      </c>
      <c r="E37" s="47" t="s">
        <v>323</v>
      </c>
      <c r="F37" s="47" t="s">
        <v>216</v>
      </c>
      <c r="G37" s="59" t="str">
        <f t="shared" ref="G37:G38" si="293">IFERROR(LEFT(B37,FIND("],",B37)),B37)</f>
        <v>[effect:heal, target:enemy_all, val:0.2, animation:enemy_heal]</v>
      </c>
      <c r="H37" s="59">
        <f t="shared" ref="H37:H38" si="294">FIND("effect:",G37)+7</f>
        <v>9</v>
      </c>
      <c r="I37" s="59">
        <f t="shared" ref="I37:I38" si="295">IFERROR(FIND(",",G37),LEN(G37))</f>
        <v>13</v>
      </c>
      <c r="J37" s="59">
        <f t="shared" ref="J37:J38" si="296">FIND("target:",G37)+7</f>
        <v>22</v>
      </c>
      <c r="K37" s="59">
        <f t="shared" ref="K37:K38" si="297">FIND(",",G37,I37+1)</f>
        <v>31</v>
      </c>
      <c r="L37" s="59" t="str">
        <f>IFERROR(VLOOKUP(MID(G37,J37,K37-J37),[5]skilldef!$C:$D,2,FALSE),"-") &amp; " / " &amp; IFERROR(VLOOKUP(MID(G37,H37,I37-H37),[5]skilldef!$A:$B,2,FALSE),"-")</f>
        <v>敵全体に / 回復</v>
      </c>
      <c r="M37" s="59" t="str">
        <f t="shared" ref="M37:M38" si="298">IFERROR(RIGHT(B37,LEN(B37)-FIND("],",B37)-1),"none")</f>
        <v>none</v>
      </c>
      <c r="N37" s="44" t="str">
        <f>IFERROR(LEFT(M37,FIND("],",M37)+S53),M37)</f>
        <v>none</v>
      </c>
      <c r="O37" s="59" t="e">
        <f t="shared" ref="O37:O38" si="299">FIND("effect:",N37)+7</f>
        <v>#VALUE!</v>
      </c>
      <c r="P37" s="59">
        <f t="shared" ref="P37:P38" si="300">IFERROR(FIND(",",N37),LEN(N37))</f>
        <v>4</v>
      </c>
      <c r="Q37" s="59" t="e">
        <f t="shared" ref="Q37:Q38" si="301">FIND("target:",N37)+7</f>
        <v>#VALUE!</v>
      </c>
      <c r="R37" s="59" t="e">
        <f t="shared" ref="R37:R38" si="302">FIND(",",N37,P37+1)</f>
        <v>#VALUE!</v>
      </c>
      <c r="S37" s="59" t="str">
        <f>IFERROR(VLOOKUP(MID(N37,Q37,R37-Q37),[5]skilldef!$C:$D,2,FALSE),"-") &amp; " / " &amp; IFERROR(VLOOKUP(MID(N37,O37,P37-O37),[5]skilldef!$A:$B,2,FALSE),"-")</f>
        <v>- / -</v>
      </c>
      <c r="T37" s="44" t="str">
        <f t="shared" ref="T37:T38" si="303">IFERROR(RIGHT(M37,LEN(M37)-FIND("],",M37)-1),"none")</f>
        <v>none</v>
      </c>
      <c r="U37" s="59" t="e">
        <f t="shared" ref="U37:U38" si="304">FIND("effect:",T37)+7</f>
        <v>#VALUE!</v>
      </c>
      <c r="V37" s="59">
        <f t="shared" ref="V37:V38" si="305">IFERROR(FIND(",",T37),LEN(T37))</f>
        <v>4</v>
      </c>
      <c r="W37" s="59" t="e">
        <f t="shared" ref="W37:W38" si="306">FIND("target:",T37)+7</f>
        <v>#VALUE!</v>
      </c>
      <c r="X37" s="59" t="e">
        <f t="shared" ref="X37:X38" si="307">FIND(",",T37,V37+1)</f>
        <v>#VALUE!</v>
      </c>
      <c r="Y37" s="59" t="str">
        <f>IFERROR(VLOOKUP(MID(T37,W37,X37-W37),[5]skilldef!$C:$D,2,FALSE),"-") &amp; " / " &amp; IFERROR(VLOOKUP(MID(T37,U37,V37-U37),[5]skilldef!$A:$B,2,FALSE),"-")</f>
        <v>- / -</v>
      </c>
      <c r="Z37" s="46"/>
      <c r="AA37" s="48"/>
      <c r="AB37" s="46"/>
    </row>
    <row r="38" spans="1:28" ht="21" customHeight="1" x14ac:dyDescent="0.15">
      <c r="A38" s="180">
        <v>15028037</v>
      </c>
      <c r="B38" s="43" t="s">
        <v>271</v>
      </c>
      <c r="C38" s="46">
        <v>3</v>
      </c>
      <c r="D38" s="46" t="s">
        <v>128</v>
      </c>
      <c r="E38" s="47" t="s">
        <v>325</v>
      </c>
      <c r="F38" s="47" t="s">
        <v>234</v>
      </c>
      <c r="G38" s="59" t="str">
        <f t="shared" si="293"/>
        <v>[effect:freq_turn, target:myself, turn:-1, val:1, animation:enemy_freq_turn]</v>
      </c>
      <c r="H38" s="59">
        <f t="shared" si="294"/>
        <v>9</v>
      </c>
      <c r="I38" s="59">
        <f t="shared" si="295"/>
        <v>18</v>
      </c>
      <c r="J38" s="59">
        <f t="shared" si="296"/>
        <v>27</v>
      </c>
      <c r="K38" s="59">
        <f t="shared" si="297"/>
        <v>33</v>
      </c>
      <c r="L38" s="59" t="str">
        <f>IFERROR(VLOOKUP(MID(G38,J38,K38-J38),[5]skilldef!$C:$D,2,FALSE),"-") &amp; " / " &amp; IFERROR(VLOOKUP(MID(G38,H38,I38-H38),[5]skilldef!$A:$B,2,FALSE),"-")</f>
        <v>自分自身に / 攻撃頻度がUP</v>
      </c>
      <c r="M38" s="59" t="str">
        <f t="shared" si="298"/>
        <v>none</v>
      </c>
      <c r="N38" s="44" t="str">
        <f>IFERROR(LEFT(M38,FIND("],",M38)+S55),M38)</f>
        <v>none</v>
      </c>
      <c r="O38" s="59" t="e">
        <f t="shared" si="299"/>
        <v>#VALUE!</v>
      </c>
      <c r="P38" s="59">
        <f t="shared" si="300"/>
        <v>4</v>
      </c>
      <c r="Q38" s="59" t="e">
        <f t="shared" si="301"/>
        <v>#VALUE!</v>
      </c>
      <c r="R38" s="59" t="e">
        <f t="shared" si="302"/>
        <v>#VALUE!</v>
      </c>
      <c r="S38" s="59" t="str">
        <f>IFERROR(VLOOKUP(MID(N38,Q38,R38-Q38),[5]skilldef!$C:$D,2,FALSE),"-") &amp; " / " &amp; IFERROR(VLOOKUP(MID(N38,O38,P38-O38),[5]skilldef!$A:$B,2,FALSE),"-")</f>
        <v>- / -</v>
      </c>
      <c r="T38" s="44" t="str">
        <f t="shared" si="303"/>
        <v>none</v>
      </c>
      <c r="U38" s="59" t="e">
        <f t="shared" si="304"/>
        <v>#VALUE!</v>
      </c>
      <c r="V38" s="59">
        <f t="shared" si="305"/>
        <v>4</v>
      </c>
      <c r="W38" s="59" t="e">
        <f t="shared" si="306"/>
        <v>#VALUE!</v>
      </c>
      <c r="X38" s="59" t="e">
        <f t="shared" si="307"/>
        <v>#VALUE!</v>
      </c>
      <c r="Y38" s="59" t="str">
        <f>IFERROR(VLOOKUP(MID(T38,W38,X38-W38),[5]skilldef!$C:$D,2,FALSE),"-") &amp; " / " &amp; IFERROR(VLOOKUP(MID(T38,U38,V38-U38),[5]skilldef!$A:$B,2,FALSE),"-")</f>
        <v>- / -</v>
      </c>
      <c r="Z38" s="46"/>
      <c r="AA38" s="48"/>
      <c r="AB38" s="46"/>
    </row>
    <row r="39" spans="1:28" ht="21" customHeight="1" x14ac:dyDescent="0.15">
      <c r="A39" s="180">
        <v>15028038</v>
      </c>
      <c r="B39" s="43" t="s">
        <v>327</v>
      </c>
      <c r="C39" s="46">
        <v>3</v>
      </c>
      <c r="D39" s="46" t="s">
        <v>128</v>
      </c>
      <c r="E39" s="47" t="s">
        <v>328</v>
      </c>
      <c r="F39" s="47" t="s">
        <v>216</v>
      </c>
      <c r="G39" s="59" t="str">
        <f t="shared" ref="G39" si="308">IFERROR(LEFT(B39,FIND("],",B39)),B39)</f>
        <v>[effect:heal, target:enemy_all, val:0.3, animation:enemy_heal]</v>
      </c>
      <c r="H39" s="59">
        <f t="shared" ref="H39" si="309">FIND("effect:",G39)+7</f>
        <v>9</v>
      </c>
      <c r="I39" s="59">
        <f t="shared" ref="I39" si="310">IFERROR(FIND(",",G39),LEN(G39))</f>
        <v>13</v>
      </c>
      <c r="J39" s="59">
        <f t="shared" ref="J39" si="311">FIND("target:",G39)+7</f>
        <v>22</v>
      </c>
      <c r="K39" s="59">
        <f t="shared" ref="K39" si="312">FIND(",",G39,I39+1)</f>
        <v>31</v>
      </c>
      <c r="L39" s="59" t="str">
        <f>IFERROR(VLOOKUP(MID(G39,J39,K39-J39),[5]skilldef!$C:$D,2,FALSE),"-") &amp; " / " &amp; IFERROR(VLOOKUP(MID(G39,H39,I39-H39),[5]skilldef!$A:$B,2,FALSE),"-")</f>
        <v>敵全体に / 回復</v>
      </c>
      <c r="M39" s="59" t="str">
        <f t="shared" ref="M39" si="313">IFERROR(RIGHT(B39,LEN(B39)-FIND("],",B39)-1),"none")</f>
        <v>none</v>
      </c>
      <c r="N39" s="44" t="str">
        <f>IFERROR(LEFT(M39,FIND("],",M39)+S56),M39)</f>
        <v>none</v>
      </c>
      <c r="O39" s="59" t="e">
        <f t="shared" ref="O39" si="314">FIND("effect:",N39)+7</f>
        <v>#VALUE!</v>
      </c>
      <c r="P39" s="59">
        <f t="shared" ref="P39" si="315">IFERROR(FIND(",",N39),LEN(N39))</f>
        <v>4</v>
      </c>
      <c r="Q39" s="59" t="e">
        <f t="shared" ref="Q39" si="316">FIND("target:",N39)+7</f>
        <v>#VALUE!</v>
      </c>
      <c r="R39" s="59" t="e">
        <f t="shared" ref="R39" si="317">FIND(",",N39,P39+1)</f>
        <v>#VALUE!</v>
      </c>
      <c r="S39" s="59" t="str">
        <f>IFERROR(VLOOKUP(MID(N39,Q39,R39-Q39),[5]skilldef!$C:$D,2,FALSE),"-") &amp; " / " &amp; IFERROR(VLOOKUP(MID(N39,O39,P39-O39),[5]skilldef!$A:$B,2,FALSE),"-")</f>
        <v>- / -</v>
      </c>
      <c r="T39" s="44" t="str">
        <f t="shared" ref="T39" si="318">IFERROR(RIGHT(M39,LEN(M39)-FIND("],",M39)-1),"none")</f>
        <v>none</v>
      </c>
      <c r="U39" s="59" t="e">
        <f t="shared" ref="U39" si="319">FIND("effect:",T39)+7</f>
        <v>#VALUE!</v>
      </c>
      <c r="V39" s="59">
        <f t="shared" ref="V39" si="320">IFERROR(FIND(",",T39),LEN(T39))</f>
        <v>4</v>
      </c>
      <c r="W39" s="59" t="e">
        <f t="shared" ref="W39" si="321">FIND("target:",T39)+7</f>
        <v>#VALUE!</v>
      </c>
      <c r="X39" s="59" t="e">
        <f t="shared" ref="X39" si="322">FIND(",",T39,V39+1)</f>
        <v>#VALUE!</v>
      </c>
      <c r="Y39" s="59" t="str">
        <f>IFERROR(VLOOKUP(MID(T39,W39,X39-W39),[5]skilldef!$C:$D,2,FALSE),"-") &amp; " / " &amp; IFERROR(VLOOKUP(MID(T39,U39,V39-U39),[5]skilldef!$A:$B,2,FALSE),"-")</f>
        <v>- / -</v>
      </c>
      <c r="Z39" s="46"/>
      <c r="AA39" s="48"/>
      <c r="AB39" s="46"/>
    </row>
    <row r="40" spans="1:28" ht="21" customHeight="1" x14ac:dyDescent="0.15">
      <c r="A40" s="180">
        <v>15028039</v>
      </c>
      <c r="B40" s="43" t="s">
        <v>340</v>
      </c>
      <c r="C40" s="46">
        <v>3</v>
      </c>
      <c r="D40" s="46" t="s">
        <v>128</v>
      </c>
      <c r="E40" s="47" t="s">
        <v>324</v>
      </c>
      <c r="F40" s="47" t="s">
        <v>341</v>
      </c>
      <c r="G40" s="59" t="str">
        <f t="shared" ref="G40" si="323">IFERROR(LEFT(B40,FIND("],",B40)),B40)</f>
        <v>[effect:rush, count:5, val:0.24]</v>
      </c>
      <c r="H40" s="59">
        <f t="shared" ref="H40" si="324">FIND("effect:",G40)+7</f>
        <v>9</v>
      </c>
      <c r="I40" s="59">
        <f t="shared" ref="I40" si="325">IFERROR(FIND(",",G40),LEN(G40))</f>
        <v>13</v>
      </c>
      <c r="J40" s="59" t="e">
        <f t="shared" ref="J40" si="326">FIND("target:",G40)+7</f>
        <v>#VALUE!</v>
      </c>
      <c r="K40" s="59">
        <f t="shared" ref="K40" si="327">FIND(",",G40,I40+1)</f>
        <v>22</v>
      </c>
      <c r="L40" s="59" t="str">
        <f>IFERROR(VLOOKUP(MID(G40,J40,K40-J40),[5]skilldef!$C:$D,2,FALSE),"-") &amp; " / " &amp; IFERROR(VLOOKUP(MID(G40,H40,I40-H40),[5]skilldef!$A:$B,2,FALSE),"-")</f>
        <v>- / 連続攻撃</v>
      </c>
      <c r="M40" s="59" t="str">
        <f t="shared" ref="M40" si="328">IFERROR(RIGHT(B40,LEN(B40)-FIND("],",B40)-1),"none")</f>
        <v>none</v>
      </c>
      <c r="N40" s="44" t="str">
        <f>IFERROR(LEFT(M40,FIND("],",M40)+S55),M40)</f>
        <v>none</v>
      </c>
      <c r="O40" s="59" t="e">
        <f t="shared" ref="O40" si="329">FIND("effect:",N40)+7</f>
        <v>#VALUE!</v>
      </c>
      <c r="P40" s="59">
        <f t="shared" ref="P40" si="330">IFERROR(FIND(",",N40),LEN(N40))</f>
        <v>4</v>
      </c>
      <c r="Q40" s="59" t="e">
        <f t="shared" ref="Q40" si="331">FIND("target:",N40)+7</f>
        <v>#VALUE!</v>
      </c>
      <c r="R40" s="59" t="e">
        <f t="shared" ref="R40" si="332">FIND(",",N40,P40+1)</f>
        <v>#VALUE!</v>
      </c>
      <c r="S40" s="59" t="str">
        <f>IFERROR(VLOOKUP(MID(N40,Q40,R40-Q40),[5]skilldef!$C:$D,2,FALSE),"-") &amp; " / " &amp; IFERROR(VLOOKUP(MID(N40,O40,P40-O40),[5]skilldef!$A:$B,2,FALSE),"-")</f>
        <v>- / -</v>
      </c>
      <c r="T40" s="44" t="str">
        <f t="shared" ref="T40" si="333">IFERROR(RIGHT(M40,LEN(M40)-FIND("],",M40)-1),"none")</f>
        <v>none</v>
      </c>
      <c r="U40" s="59" t="e">
        <f t="shared" ref="U40" si="334">FIND("effect:",T40)+7</f>
        <v>#VALUE!</v>
      </c>
      <c r="V40" s="59">
        <f t="shared" ref="V40" si="335">IFERROR(FIND(",",T40),LEN(T40))</f>
        <v>4</v>
      </c>
      <c r="W40" s="59" t="e">
        <f t="shared" ref="W40" si="336">FIND("target:",T40)+7</f>
        <v>#VALUE!</v>
      </c>
      <c r="X40" s="59" t="e">
        <f t="shared" ref="X40" si="337">FIND(",",T40,V40+1)</f>
        <v>#VALUE!</v>
      </c>
      <c r="Y40" s="59" t="str">
        <f>IFERROR(VLOOKUP(MID(T40,W40,X40-W40),[5]skilldef!$C:$D,2,FALSE),"-") &amp; " / " &amp; IFERROR(VLOOKUP(MID(T40,U40,V40-U40),[5]skilldef!$A:$B,2,FALSE),"-")</f>
        <v>- / -</v>
      </c>
      <c r="Z40" s="46"/>
      <c r="AA40" s="48"/>
      <c r="AB40" s="46"/>
    </row>
    <row r="41" spans="1:28" ht="21" customHeight="1" x14ac:dyDescent="0.15">
      <c r="A41" s="180">
        <v>15028040</v>
      </c>
      <c r="B41" s="43" t="s">
        <v>238</v>
      </c>
      <c r="C41" s="46">
        <v>3</v>
      </c>
      <c r="D41" s="46" t="s">
        <v>128</v>
      </c>
      <c r="E41" s="47" t="s">
        <v>322</v>
      </c>
      <c r="F41" s="47" t="s">
        <v>216</v>
      </c>
      <c r="G41" s="59" t="str">
        <f t="shared" ref="G41:G42" si="338">IFERROR(LEFT(B41,FIND("],",B41)),B41)</f>
        <v>[effect:heal, target:myself, val:0.3, animation:enemy_heal]</v>
      </c>
      <c r="H41" s="59">
        <f t="shared" ref="H41:H42" si="339">FIND("effect:",G41)+7</f>
        <v>9</v>
      </c>
      <c r="I41" s="59">
        <f t="shared" ref="I41:I42" si="340">IFERROR(FIND(",",G41),LEN(G41))</f>
        <v>13</v>
      </c>
      <c r="J41" s="59">
        <f t="shared" ref="J41:J42" si="341">FIND("target:",G41)+7</f>
        <v>22</v>
      </c>
      <c r="K41" s="59">
        <f t="shared" ref="K41:K42" si="342">FIND(",",G41,I41+1)</f>
        <v>28</v>
      </c>
      <c r="L41" s="59" t="str">
        <f>IFERROR(VLOOKUP(MID(G41,J41,K41-J41),[5]skilldef!$C:$D,2,FALSE),"-") &amp; " / " &amp; IFERROR(VLOOKUP(MID(G41,H41,I41-H41),[5]skilldef!$A:$B,2,FALSE),"-")</f>
        <v>自分自身に / 回復</v>
      </c>
      <c r="M41" s="59" t="str">
        <f t="shared" ref="M41:M42" si="343">IFERROR(RIGHT(B41,LEN(B41)-FIND("],",B41)-1),"none")</f>
        <v>none</v>
      </c>
      <c r="N41" s="44" t="str">
        <f>IFERROR(LEFT(M41,FIND("],",M41)+#REF!),M41)</f>
        <v>none</v>
      </c>
      <c r="O41" s="59" t="e">
        <f t="shared" ref="O41:O42" si="344">FIND("effect:",N41)+7</f>
        <v>#VALUE!</v>
      </c>
      <c r="P41" s="59">
        <f t="shared" ref="P41:P42" si="345">IFERROR(FIND(",",N41),LEN(N41))</f>
        <v>4</v>
      </c>
      <c r="Q41" s="59" t="e">
        <f t="shared" ref="Q41:Q42" si="346">FIND("target:",N41)+7</f>
        <v>#VALUE!</v>
      </c>
      <c r="R41" s="59" t="e">
        <f t="shared" ref="R41:R42" si="347">FIND(",",N41,P41+1)</f>
        <v>#VALUE!</v>
      </c>
      <c r="S41" s="59" t="str">
        <f>IFERROR(VLOOKUP(MID(N41,Q41,R41-Q41),[5]skilldef!$C:$D,2,FALSE),"-") &amp; " / " &amp; IFERROR(VLOOKUP(MID(N41,O41,P41-O41),[5]skilldef!$A:$B,2,FALSE),"-")</f>
        <v>- / -</v>
      </c>
      <c r="T41" s="44" t="str">
        <f t="shared" ref="T41:T42" si="348">IFERROR(RIGHT(M41,LEN(M41)-FIND("],",M41)-1),"none")</f>
        <v>none</v>
      </c>
      <c r="U41" s="59" t="e">
        <f t="shared" ref="U41:U42" si="349">FIND("effect:",T41)+7</f>
        <v>#VALUE!</v>
      </c>
      <c r="V41" s="59">
        <f t="shared" ref="V41:V42" si="350">IFERROR(FIND(",",T41),LEN(T41))</f>
        <v>4</v>
      </c>
      <c r="W41" s="59" t="e">
        <f t="shared" ref="W41:W42" si="351">FIND("target:",T41)+7</f>
        <v>#VALUE!</v>
      </c>
      <c r="X41" s="59" t="e">
        <f t="shared" ref="X41:X42" si="352">FIND(",",T41,V41+1)</f>
        <v>#VALUE!</v>
      </c>
      <c r="Y41" s="59" t="str">
        <f>IFERROR(VLOOKUP(MID(T41,W41,X41-W41),[5]skilldef!$C:$D,2,FALSE),"-") &amp; " / " &amp; IFERROR(VLOOKUP(MID(T41,U41,V41-U41),[5]skilldef!$A:$B,2,FALSE),"-")</f>
        <v>- / -</v>
      </c>
      <c r="Z41" s="46"/>
      <c r="AA41" s="48"/>
      <c r="AB41" s="46"/>
    </row>
    <row r="42" spans="1:28" ht="21" customHeight="1" x14ac:dyDescent="0.15">
      <c r="A42" s="180">
        <v>15028041</v>
      </c>
      <c r="B42" s="43" t="s">
        <v>286</v>
      </c>
      <c r="C42" s="46">
        <v>3</v>
      </c>
      <c r="D42" s="46" t="s">
        <v>128</v>
      </c>
      <c r="E42" s="47" t="s">
        <v>272</v>
      </c>
      <c r="F42" s="47" t="s">
        <v>288</v>
      </c>
      <c r="G42" s="59" t="str">
        <f t="shared" si="338"/>
        <v>[effect:critical, val:1.5]</v>
      </c>
      <c r="H42" s="59">
        <f t="shared" si="339"/>
        <v>9</v>
      </c>
      <c r="I42" s="59">
        <f t="shared" si="340"/>
        <v>17</v>
      </c>
      <c r="J42" s="59" t="e">
        <f t="shared" si="341"/>
        <v>#VALUE!</v>
      </c>
      <c r="K42" s="59" t="e">
        <f t="shared" si="342"/>
        <v>#VALUE!</v>
      </c>
      <c r="L42" s="59" t="str">
        <f>IFERROR(VLOOKUP(MID(G42,J42,K42-J42),[5]skilldef!$C:$D,2,FALSE),"-") &amp; " / " &amp; IFERROR(VLOOKUP(MID(G42,H42,I42-H42),[5]skilldef!$A:$B,2,FALSE),"-")</f>
        <v>- / 大攻撃</v>
      </c>
      <c r="M42" s="59" t="str">
        <f t="shared" si="343"/>
        <v>none</v>
      </c>
      <c r="N42" s="44" t="str">
        <f>IFERROR(LEFT(M42,FIND("],",M42)+S56),M42)</f>
        <v>none</v>
      </c>
      <c r="O42" s="59" t="e">
        <f t="shared" si="344"/>
        <v>#VALUE!</v>
      </c>
      <c r="P42" s="59">
        <f t="shared" si="345"/>
        <v>4</v>
      </c>
      <c r="Q42" s="59" t="e">
        <f t="shared" si="346"/>
        <v>#VALUE!</v>
      </c>
      <c r="R42" s="59" t="e">
        <f t="shared" si="347"/>
        <v>#VALUE!</v>
      </c>
      <c r="S42" s="59" t="str">
        <f>IFERROR(VLOOKUP(MID(N42,Q42,R42-Q42),[5]skilldef!$C:$D,2,FALSE),"-") &amp; " / " &amp; IFERROR(VLOOKUP(MID(N42,O42,P42-O42),[5]skilldef!$A:$B,2,FALSE),"-")</f>
        <v>- / -</v>
      </c>
      <c r="T42" s="44" t="str">
        <f t="shared" si="348"/>
        <v>none</v>
      </c>
      <c r="U42" s="59" t="e">
        <f t="shared" si="349"/>
        <v>#VALUE!</v>
      </c>
      <c r="V42" s="59">
        <f t="shared" si="350"/>
        <v>4</v>
      </c>
      <c r="W42" s="59" t="e">
        <f t="shared" si="351"/>
        <v>#VALUE!</v>
      </c>
      <c r="X42" s="59" t="e">
        <f t="shared" si="352"/>
        <v>#VALUE!</v>
      </c>
      <c r="Y42" s="59" t="str">
        <f>IFERROR(VLOOKUP(MID(T42,W42,X42-W42),[5]skilldef!$C:$D,2,FALSE),"-") &amp; " / " &amp; IFERROR(VLOOKUP(MID(T42,U42,V42-U42),[5]skilldef!$A:$B,2,FALSE),"-")</f>
        <v>- / -</v>
      </c>
      <c r="Z42" s="46"/>
      <c r="AA42" s="48"/>
      <c r="AB42" s="46"/>
    </row>
    <row r="43" spans="1:28" ht="21" customHeight="1" x14ac:dyDescent="0.15">
      <c r="A43" s="180">
        <v>15028042</v>
      </c>
      <c r="B43" s="43" t="s">
        <v>333</v>
      </c>
      <c r="C43" s="46">
        <v>3</v>
      </c>
      <c r="D43" s="46" t="s">
        <v>128</v>
      </c>
      <c r="E43" s="47" t="s">
        <v>270</v>
      </c>
      <c r="F43" s="47" t="s">
        <v>366</v>
      </c>
      <c r="G43" s="59" t="str">
        <f t="shared" ref="G43" si="353">IFERROR(LEFT(B43,FIND("],",B43)),B43)</f>
        <v>[effect:heal, target:enemy_all, val:0.2, animation:enemy_heal]</v>
      </c>
      <c r="H43" s="59">
        <f t="shared" ref="H43" si="354">FIND("effect:",G43)+7</f>
        <v>9</v>
      </c>
      <c r="I43" s="59">
        <f t="shared" ref="I43" si="355">IFERROR(FIND(",",G43),LEN(G43))</f>
        <v>13</v>
      </c>
      <c r="J43" s="59">
        <f t="shared" ref="J43" si="356">FIND("target:",G43)+7</f>
        <v>22</v>
      </c>
      <c r="K43" s="59">
        <f t="shared" ref="K43" si="357">FIND(",",G43,I43+1)</f>
        <v>31</v>
      </c>
      <c r="L43" s="59" t="str">
        <f>IFERROR(VLOOKUP(MID(G43,J43,K43-J43),[5]skilldef!$C:$D,2,FALSE),"-") &amp; " / " &amp; IFERROR(VLOOKUP(MID(G43,H43,I43-H43),[5]skilldef!$A:$B,2,FALSE),"-")</f>
        <v>敵全体に / 回復</v>
      </c>
      <c r="M43" s="59" t="str">
        <f t="shared" ref="M43" si="358">IFERROR(RIGHT(B43,LEN(B43)-FIND("],",B43)-1),"none")</f>
        <v>[effect:enhance_enemy, target:enemy_all, turn:1, status:defense, val:500, calc:add, animation:enemy_enhance_defense]</v>
      </c>
      <c r="N43" s="44" t="str">
        <f>IFERROR(LEFT(M43,FIND("],",M43)+S57),M43)</f>
        <v>[effect:enhance_enemy, target:enemy_all, turn:1, status:defense, val:500, calc:add, animation:enemy_enhance_defense]</v>
      </c>
      <c r="O43" s="59">
        <f t="shared" ref="O43" si="359">FIND("effect:",N43)+7</f>
        <v>9</v>
      </c>
      <c r="P43" s="59">
        <f t="shared" ref="P43" si="360">IFERROR(FIND(",",N43),LEN(N43))</f>
        <v>22</v>
      </c>
      <c r="Q43" s="59">
        <f t="shared" ref="Q43" si="361">FIND("target:",N43)+7</f>
        <v>31</v>
      </c>
      <c r="R43" s="59">
        <f t="shared" ref="R43" si="362">FIND(",",N43,P43+1)</f>
        <v>40</v>
      </c>
      <c r="S43" s="59" t="str">
        <f>IFERROR(VLOOKUP(MID(N43,Q43,R43-Q43),[5]skilldef!$C:$D,2,FALSE),"-") &amp; " / " &amp; IFERROR(VLOOKUP(MID(N43,O43,P43-O43),[5]skilldef!$A:$B,2,FALSE),"-")</f>
        <v>敵全体に / ステータス強化</v>
      </c>
      <c r="T43" s="44" t="str">
        <f t="shared" ref="T43" si="363">IFERROR(RIGHT(M43,LEN(M43)-FIND("],",M43)-1),"none")</f>
        <v>none</v>
      </c>
      <c r="U43" s="59" t="e">
        <f t="shared" ref="U43" si="364">FIND("effect:",T43)+7</f>
        <v>#VALUE!</v>
      </c>
      <c r="V43" s="59">
        <f t="shared" ref="V43" si="365">IFERROR(FIND(",",T43),LEN(T43))</f>
        <v>4</v>
      </c>
      <c r="W43" s="59" t="e">
        <f t="shared" ref="W43" si="366">FIND("target:",T43)+7</f>
        <v>#VALUE!</v>
      </c>
      <c r="X43" s="59" t="e">
        <f t="shared" ref="X43" si="367">FIND(",",T43,V43+1)</f>
        <v>#VALUE!</v>
      </c>
      <c r="Y43" s="59" t="str">
        <f>IFERROR(VLOOKUP(MID(T43,W43,X43-W43),[5]skilldef!$C:$D,2,FALSE),"-") &amp; " / " &amp; IFERROR(VLOOKUP(MID(T43,U43,V43-U43),[5]skilldef!$A:$B,2,FALSE),"-")</f>
        <v>- / -</v>
      </c>
      <c r="Z43" s="46"/>
      <c r="AA43" s="48"/>
      <c r="AB43" s="46"/>
    </row>
    <row r="44" spans="1:28" ht="21" customHeight="1" x14ac:dyDescent="0.15">
      <c r="A44" s="180">
        <v>15028043</v>
      </c>
      <c r="B44" s="43" t="s">
        <v>334</v>
      </c>
      <c r="C44" s="46">
        <v>3</v>
      </c>
      <c r="D44" s="46" t="s">
        <v>128</v>
      </c>
      <c r="E44" s="47" t="s">
        <v>273</v>
      </c>
      <c r="F44" s="47" t="s">
        <v>367</v>
      </c>
      <c r="G44" s="59" t="str">
        <f t="shared" ref="G44:G56" si="368">IFERROR(LEFT(B44,FIND("],",B44)),B44)</f>
        <v>[effect:freq_turn, target:enemy_all, turn:1, val:1, animation:enemy_freq_turn]</v>
      </c>
      <c r="H44" s="59">
        <f t="shared" ref="H44:H56" si="369">FIND("effect:",G44)+7</f>
        <v>9</v>
      </c>
      <c r="I44" s="59">
        <f t="shared" ref="I44:I56" si="370">IFERROR(FIND(",",G44),LEN(G44))</f>
        <v>18</v>
      </c>
      <c r="J44" s="59">
        <f t="shared" ref="J44:J56" si="371">FIND("target:",G44)+7</f>
        <v>27</v>
      </c>
      <c r="K44" s="59">
        <f t="shared" ref="K44:K56" si="372">FIND(",",G44,I44+1)</f>
        <v>36</v>
      </c>
      <c r="L44" s="59" t="str">
        <f>IFERROR(VLOOKUP(MID(G44,J44,K44-J44),[5]skilldef!$C:$D,2,FALSE),"-") &amp; " / " &amp; IFERROR(VLOOKUP(MID(G44,H44,I44-H44),[5]skilldef!$A:$B,2,FALSE),"-")</f>
        <v>敵全体に / 攻撃頻度がUP</v>
      </c>
      <c r="M44" s="59" t="str">
        <f t="shared" ref="M44:M56" si="373">IFERROR(RIGHT(B44,LEN(B44)-FIND("],",B44)-1),"none")</f>
        <v>[effect:enhance_enemy, target:enemy_all, turn:1, status:attack, val:0.2, animation:enemy_enhance_attack]</v>
      </c>
      <c r="N44" s="44" t="str">
        <f t="shared" ref="N44:N55" si="374">IFERROR(LEFT(M44,FIND("],",M44)+S59),M44)</f>
        <v>[effect:enhance_enemy, target:enemy_all, turn:1, status:attack, val:0.2, animation:enemy_enhance_attack]</v>
      </c>
      <c r="O44" s="59">
        <f t="shared" ref="O44:O56" si="375">FIND("effect:",N44)+7</f>
        <v>9</v>
      </c>
      <c r="P44" s="59">
        <f t="shared" ref="P44:P56" si="376">IFERROR(FIND(",",N44),LEN(N44))</f>
        <v>22</v>
      </c>
      <c r="Q44" s="59">
        <f t="shared" ref="Q44:Q56" si="377">FIND("target:",N44)+7</f>
        <v>31</v>
      </c>
      <c r="R44" s="59">
        <f t="shared" ref="R44:R56" si="378">FIND(",",N44,P44+1)</f>
        <v>40</v>
      </c>
      <c r="S44" s="59" t="str">
        <f>IFERROR(VLOOKUP(MID(N44,Q44,R44-Q44),[5]skilldef!$C:$D,2,FALSE),"-") &amp; " / " &amp; IFERROR(VLOOKUP(MID(N44,O44,P44-O44),[5]skilldef!$A:$B,2,FALSE),"-")</f>
        <v>敵全体に / ステータス強化</v>
      </c>
      <c r="T44" s="44" t="str">
        <f t="shared" ref="T44:T56" si="379">IFERROR(RIGHT(M44,LEN(M44)-FIND("],",M44)-1),"none")</f>
        <v>none</v>
      </c>
      <c r="U44" s="59" t="e">
        <f t="shared" ref="U44:U56" si="380">FIND("effect:",T44)+7</f>
        <v>#VALUE!</v>
      </c>
      <c r="V44" s="59">
        <f t="shared" ref="V44:V56" si="381">IFERROR(FIND(",",T44),LEN(T44))</f>
        <v>4</v>
      </c>
      <c r="W44" s="59" t="e">
        <f t="shared" ref="W44:W56" si="382">FIND("target:",T44)+7</f>
        <v>#VALUE!</v>
      </c>
      <c r="X44" s="59" t="e">
        <f t="shared" ref="X44:X56" si="383">FIND(",",T44,V44+1)</f>
        <v>#VALUE!</v>
      </c>
      <c r="Y44" s="59" t="str">
        <f>IFERROR(VLOOKUP(MID(T44,W44,X44-W44),[5]skilldef!$C:$D,2,FALSE),"-") &amp; " / " &amp; IFERROR(VLOOKUP(MID(T44,U44,V44-U44),[5]skilldef!$A:$B,2,FALSE),"-")</f>
        <v>- / -</v>
      </c>
      <c r="Z44" s="46"/>
      <c r="AA44" s="48"/>
      <c r="AB44" s="46"/>
    </row>
    <row r="45" spans="1:28" ht="21" customHeight="1" x14ac:dyDescent="0.15">
      <c r="A45" s="180">
        <v>15028044</v>
      </c>
      <c r="B45" s="43" t="s">
        <v>345</v>
      </c>
      <c r="C45" s="46">
        <v>3</v>
      </c>
      <c r="D45" s="46" t="s">
        <v>128</v>
      </c>
      <c r="E45" s="47" t="s">
        <v>275</v>
      </c>
      <c r="F45" s="47" t="s">
        <v>368</v>
      </c>
      <c r="G45" s="59" t="str">
        <f t="shared" si="368"/>
        <v>[effect:break_heal_ratio, val:0.04, lowest_val:5000, count:10, block:block_heart, target:enemy_all, animation:enemy_heal]</v>
      </c>
      <c r="H45" s="59">
        <f t="shared" si="369"/>
        <v>9</v>
      </c>
      <c r="I45" s="59">
        <f t="shared" si="370"/>
        <v>25</v>
      </c>
      <c r="J45" s="59">
        <f t="shared" si="371"/>
        <v>90</v>
      </c>
      <c r="K45" s="59">
        <f t="shared" si="372"/>
        <v>35</v>
      </c>
      <c r="L45" s="59" t="str">
        <f>IFERROR(VLOOKUP(MID(G45,J45,K45-J45),[5]skilldef!$C:$D,2,FALSE),"-") &amp; " / " &amp; IFERROR(VLOOKUP(MID(G45,H45,I45-H45),[5]skilldef!$A:$B,2,FALSE),"-")</f>
        <v>- / -</v>
      </c>
      <c r="M45" s="59" t="str">
        <f t="shared" si="373"/>
        <v>none</v>
      </c>
      <c r="N45" s="44" t="str">
        <f t="shared" si="374"/>
        <v>none</v>
      </c>
      <c r="O45" s="59" t="e">
        <f t="shared" si="375"/>
        <v>#VALUE!</v>
      </c>
      <c r="P45" s="59">
        <f t="shared" si="376"/>
        <v>4</v>
      </c>
      <c r="Q45" s="59" t="e">
        <f t="shared" si="377"/>
        <v>#VALUE!</v>
      </c>
      <c r="R45" s="59" t="e">
        <f t="shared" si="378"/>
        <v>#VALUE!</v>
      </c>
      <c r="S45" s="59" t="str">
        <f>IFERROR(VLOOKUP(MID(N45,Q45,R45-Q45),[5]skilldef!$C:$D,2,FALSE),"-") &amp; " / " &amp; IFERROR(VLOOKUP(MID(N45,O45,P45-O45),[5]skilldef!$A:$B,2,FALSE),"-")</f>
        <v>- / -</v>
      </c>
      <c r="T45" s="44" t="str">
        <f t="shared" si="379"/>
        <v>none</v>
      </c>
      <c r="U45" s="59" t="e">
        <f t="shared" si="380"/>
        <v>#VALUE!</v>
      </c>
      <c r="V45" s="59">
        <f t="shared" si="381"/>
        <v>4</v>
      </c>
      <c r="W45" s="59" t="e">
        <f t="shared" si="382"/>
        <v>#VALUE!</v>
      </c>
      <c r="X45" s="59" t="e">
        <f t="shared" si="383"/>
        <v>#VALUE!</v>
      </c>
      <c r="Y45" s="59" t="str">
        <f>IFERROR(VLOOKUP(MID(T45,W45,X45-W45),[5]skilldef!$C:$D,2,FALSE),"-") &amp; " / " &amp; IFERROR(VLOOKUP(MID(T45,U45,V45-U45),[5]skilldef!$A:$B,2,FALSE),"-")</f>
        <v>- / -</v>
      </c>
      <c r="Z45" s="46"/>
      <c r="AA45" s="48"/>
      <c r="AB45" s="46"/>
    </row>
    <row r="46" spans="1:28" ht="21" customHeight="1" x14ac:dyDescent="0.15">
      <c r="A46" s="180">
        <v>15028045</v>
      </c>
      <c r="B46" s="43" t="s">
        <v>277</v>
      </c>
      <c r="C46" s="46">
        <v>3</v>
      </c>
      <c r="D46" s="46" t="s">
        <v>128</v>
      </c>
      <c r="E46" s="47" t="s">
        <v>276</v>
      </c>
      <c r="F46" s="47" t="s">
        <v>369</v>
      </c>
      <c r="G46" s="59" t="str">
        <f t="shared" si="368"/>
        <v>[effect:remove_enhancement, target:enemy_all, target_effect:all]</v>
      </c>
      <c r="H46" s="59">
        <f t="shared" si="369"/>
        <v>9</v>
      </c>
      <c r="I46" s="59">
        <f t="shared" si="370"/>
        <v>27</v>
      </c>
      <c r="J46" s="59">
        <f t="shared" si="371"/>
        <v>36</v>
      </c>
      <c r="K46" s="59">
        <f t="shared" si="372"/>
        <v>45</v>
      </c>
      <c r="L46" s="59" t="str">
        <f>IFERROR(VLOOKUP(MID(G46,J46,K46-J46),[5]skilldef!$C:$D,2,FALSE),"-") &amp; " / " &amp; IFERROR(VLOOKUP(MID(G46,H46,I46-H46),[5]skilldef!$A:$B,2,FALSE),"-")</f>
        <v>敵全体に / -</v>
      </c>
      <c r="M46" s="59" t="str">
        <f t="shared" si="373"/>
        <v>[effect:spread, val:0.3]</v>
      </c>
      <c r="N46" s="44" t="str">
        <f t="shared" si="374"/>
        <v>[effect:spread, val:0.3]</v>
      </c>
      <c r="O46" s="59">
        <f t="shared" si="375"/>
        <v>9</v>
      </c>
      <c r="P46" s="59">
        <f t="shared" si="376"/>
        <v>15</v>
      </c>
      <c r="Q46" s="59" t="e">
        <f t="shared" si="377"/>
        <v>#VALUE!</v>
      </c>
      <c r="R46" s="59" t="e">
        <f t="shared" si="378"/>
        <v>#VALUE!</v>
      </c>
      <c r="S46" s="59" t="str">
        <f>IFERROR(VLOOKUP(MID(N46,Q46,R46-Q46),[5]skilldef!$C:$D,2,FALSE),"-") &amp; " / " &amp; IFERROR(VLOOKUP(MID(N46,O46,P46-O46),[5]skilldef!$A:$B,2,FALSE),"-")</f>
        <v>- / 全体攻撃</v>
      </c>
      <c r="T46" s="44" t="str">
        <f t="shared" si="379"/>
        <v>none</v>
      </c>
      <c r="U46" s="59" t="e">
        <f t="shared" si="380"/>
        <v>#VALUE!</v>
      </c>
      <c r="V46" s="59">
        <f t="shared" si="381"/>
        <v>4</v>
      </c>
      <c r="W46" s="59" t="e">
        <f t="shared" si="382"/>
        <v>#VALUE!</v>
      </c>
      <c r="X46" s="59" t="e">
        <f t="shared" si="383"/>
        <v>#VALUE!</v>
      </c>
      <c r="Y46" s="59" t="str">
        <f>IFERROR(VLOOKUP(MID(T46,W46,X46-W46),[5]skilldef!$C:$D,2,FALSE),"-") &amp; " / " &amp; IFERROR(VLOOKUP(MID(T46,U46,V46-U46),[5]skilldef!$A:$B,2,FALSE),"-")</f>
        <v>- / -</v>
      </c>
      <c r="Z46" s="46"/>
      <c r="AA46" s="48"/>
      <c r="AB46" s="46"/>
    </row>
    <row r="47" spans="1:28" ht="21" customHeight="1" x14ac:dyDescent="0.15">
      <c r="A47" s="180">
        <v>15028046</v>
      </c>
      <c r="B47" s="43" t="s">
        <v>337</v>
      </c>
      <c r="C47" s="46">
        <v>3</v>
      </c>
      <c r="D47" s="46" t="s">
        <v>128</v>
      </c>
      <c r="E47" s="47" t="s">
        <v>278</v>
      </c>
      <c r="F47" s="47" t="s">
        <v>291</v>
      </c>
      <c r="G47" s="59" t="str">
        <f t="shared" si="368"/>
        <v>[effect:spread, val:0.15]</v>
      </c>
      <c r="H47" s="59">
        <f t="shared" si="369"/>
        <v>9</v>
      </c>
      <c r="I47" s="59">
        <f t="shared" si="370"/>
        <v>15</v>
      </c>
      <c r="J47" s="59" t="e">
        <f t="shared" si="371"/>
        <v>#VALUE!</v>
      </c>
      <c r="K47" s="59" t="e">
        <f t="shared" si="372"/>
        <v>#VALUE!</v>
      </c>
      <c r="L47" s="59" t="str">
        <f>IFERROR(VLOOKUP(MID(G47,J47,K47-J47),[5]skilldef!$C:$D,2,FALSE),"-") &amp; " / " &amp; IFERROR(VLOOKUP(MID(G47,H47,I47-H47),[5]skilldef!$A:$B,2,FALSE),"-")</f>
        <v>- / 全体攻撃</v>
      </c>
      <c r="M47" s="59" t="str">
        <f t="shared" si="373"/>
        <v>[effect:spread, val:0.15],[effect:fix_speed, target:myself, turn:2]</v>
      </c>
      <c r="N47" s="44" t="str">
        <f t="shared" si="374"/>
        <v>[effect:spread, val:0.15]</v>
      </c>
      <c r="O47" s="59">
        <f t="shared" si="375"/>
        <v>9</v>
      </c>
      <c r="P47" s="59">
        <f t="shared" si="376"/>
        <v>15</v>
      </c>
      <c r="Q47" s="59" t="e">
        <f t="shared" si="377"/>
        <v>#VALUE!</v>
      </c>
      <c r="R47" s="59" t="e">
        <f t="shared" si="378"/>
        <v>#VALUE!</v>
      </c>
      <c r="S47" s="59" t="str">
        <f>IFERROR(VLOOKUP(MID(N47,Q47,R47-Q47),[5]skilldef!$C:$D,2,FALSE),"-") &amp; " / " &amp; IFERROR(VLOOKUP(MID(N47,O47,P47-O47),[5]skilldef!$A:$B,2,FALSE),"-")</f>
        <v>- / 全体攻撃</v>
      </c>
      <c r="T47" s="44" t="str">
        <f t="shared" si="379"/>
        <v>[effect:fix_speed, target:myself, turn:2]</v>
      </c>
      <c r="U47" s="59">
        <f t="shared" si="380"/>
        <v>9</v>
      </c>
      <c r="V47" s="59">
        <f t="shared" si="381"/>
        <v>18</v>
      </c>
      <c r="W47" s="59">
        <f t="shared" si="382"/>
        <v>27</v>
      </c>
      <c r="X47" s="59">
        <f t="shared" si="383"/>
        <v>33</v>
      </c>
      <c r="Y47" s="59" t="str">
        <f>IFERROR(VLOOKUP(MID(T47,W47,X47-W47),[5]skilldef!$C:$D,2,FALSE),"-") &amp; " / " &amp; IFERROR(VLOOKUP(MID(T47,U47,V47-U47),[5]skilldef!$A:$B,2,FALSE),"-")</f>
        <v>自分自身に / 行動値設定</v>
      </c>
      <c r="Z47" s="46"/>
      <c r="AA47" s="48"/>
      <c r="AB47" s="46"/>
    </row>
    <row r="48" spans="1:28" ht="21" customHeight="1" x14ac:dyDescent="0.15">
      <c r="A48" s="180">
        <v>15028047</v>
      </c>
      <c r="B48" s="43" t="s">
        <v>318</v>
      </c>
      <c r="C48" s="46">
        <v>3</v>
      </c>
      <c r="D48" s="46" t="s">
        <v>128</v>
      </c>
      <c r="E48" s="47" t="s">
        <v>298</v>
      </c>
      <c r="F48" s="47" t="s">
        <v>371</v>
      </c>
      <c r="G48" s="59" t="str">
        <f t="shared" si="368"/>
        <v>[effect:rush, count:2, val:0.5]</v>
      </c>
      <c r="H48" s="59">
        <f t="shared" si="369"/>
        <v>9</v>
      </c>
      <c r="I48" s="59">
        <f t="shared" si="370"/>
        <v>13</v>
      </c>
      <c r="J48" s="59" t="e">
        <f t="shared" si="371"/>
        <v>#VALUE!</v>
      </c>
      <c r="K48" s="59">
        <f t="shared" si="372"/>
        <v>22</v>
      </c>
      <c r="L48" s="59" t="str">
        <f>IFERROR(VLOOKUP(MID(G48,J48,K48-J48),[5]skilldef!$C:$D,2,FALSE),"-") &amp; " / " &amp; IFERROR(VLOOKUP(MID(G48,H48,I48-H48),[5]skilldef!$A:$B,2,FALSE),"-")</f>
        <v>- / 連続攻撃</v>
      </c>
      <c r="M48" s="59" t="str">
        <f t="shared" si="373"/>
        <v>[effect:change_block, new_block:block_green, target:block_all, count:12, val:0, animation:change_block]</v>
      </c>
      <c r="N48" s="44" t="str">
        <f t="shared" si="374"/>
        <v>[effect:change_block, new_block:block_green, target:block_all, count:12, val:0, animation:change_block]</v>
      </c>
      <c r="O48" s="59">
        <f t="shared" si="375"/>
        <v>9</v>
      </c>
      <c r="P48" s="59">
        <f t="shared" si="376"/>
        <v>21</v>
      </c>
      <c r="Q48" s="59">
        <f t="shared" si="377"/>
        <v>53</v>
      </c>
      <c r="R48" s="59">
        <f t="shared" si="378"/>
        <v>44</v>
      </c>
      <c r="S48" s="59" t="str">
        <f>IFERROR(VLOOKUP(MID(N48,Q48,R48-Q48),[5]skilldef!$C:$D,2,FALSE),"-") &amp; " / " &amp; IFERROR(VLOOKUP(MID(N48,O48,P48-O48),[5]skilldef!$A:$B,2,FALSE),"-")</f>
        <v>- / ブロック変換</v>
      </c>
      <c r="T48" s="44" t="str">
        <f t="shared" si="379"/>
        <v>none</v>
      </c>
      <c r="U48" s="59" t="e">
        <f t="shared" si="380"/>
        <v>#VALUE!</v>
      </c>
      <c r="V48" s="59">
        <f t="shared" si="381"/>
        <v>4</v>
      </c>
      <c r="W48" s="59" t="e">
        <f t="shared" si="382"/>
        <v>#VALUE!</v>
      </c>
      <c r="X48" s="59" t="e">
        <f t="shared" si="383"/>
        <v>#VALUE!</v>
      </c>
      <c r="Y48" s="59" t="str">
        <f>IFERROR(VLOOKUP(MID(T48,W48,X48-W48),[5]skilldef!$C:$D,2,FALSE),"-") &amp; " / " &amp; IFERROR(VLOOKUP(MID(T48,U48,V48-U48),[5]skilldef!$A:$B,2,FALSE),"-")</f>
        <v>- / -</v>
      </c>
      <c r="Z48" s="46"/>
      <c r="AA48" s="48"/>
      <c r="AB48" s="46"/>
    </row>
    <row r="49" spans="1:28" ht="21" customHeight="1" x14ac:dyDescent="0.15">
      <c r="A49" s="180">
        <v>15028048</v>
      </c>
      <c r="B49" s="43" t="s">
        <v>304</v>
      </c>
      <c r="C49" s="46">
        <v>3</v>
      </c>
      <c r="D49" s="46" t="s">
        <v>128</v>
      </c>
      <c r="E49" s="47" t="s">
        <v>316</v>
      </c>
      <c r="F49" s="47" t="s">
        <v>399</v>
      </c>
      <c r="G49" s="59" t="str">
        <f t="shared" si="368"/>
        <v>[effect:break_attack, val:0.05, lowest_val:0.05, count:-1, block:block_green, target:unit_all]</v>
      </c>
      <c r="H49" s="59">
        <f t="shared" si="369"/>
        <v>9</v>
      </c>
      <c r="I49" s="59">
        <f t="shared" si="370"/>
        <v>21</v>
      </c>
      <c r="J49" s="59">
        <f t="shared" si="371"/>
        <v>86</v>
      </c>
      <c r="K49" s="59">
        <f t="shared" si="372"/>
        <v>31</v>
      </c>
      <c r="L49" s="59" t="str">
        <f>IFERROR(VLOOKUP(MID(G49,J49,K49-J49),[5]skilldef!$C:$D,2,FALSE),"-") &amp; " / " &amp; IFERROR(VLOOKUP(MID(G49,H49,I49-H49),[5]skilldef!$A:$B,2,FALSE),"-")</f>
        <v>- / -</v>
      </c>
      <c r="M49" s="59" t="str">
        <f t="shared" si="373"/>
        <v>[effect:damage_anti_color, target:unit_all, color:green, val1:2, val2:0.1]</v>
      </c>
      <c r="N49" s="44" t="str">
        <f t="shared" si="374"/>
        <v>[effect:damage_anti_color, target:unit_all, color:green, val1:2, val2:0.1]</v>
      </c>
      <c r="O49" s="59">
        <f t="shared" si="375"/>
        <v>9</v>
      </c>
      <c r="P49" s="59">
        <f t="shared" si="376"/>
        <v>26</v>
      </c>
      <c r="Q49" s="59">
        <f t="shared" si="377"/>
        <v>35</v>
      </c>
      <c r="R49" s="59">
        <f t="shared" si="378"/>
        <v>43</v>
      </c>
      <c r="S49" s="59" t="str">
        <f>IFERROR(VLOOKUP(MID(N49,Q49,R49-Q49),[5]skilldef!$C:$D,2,FALSE),"-") &amp; " / " &amp; IFERROR(VLOOKUP(MID(N49,O49,P49-O49),[5]skilldef!$A:$B,2,FALSE),"-")</f>
        <v>味方全体に / 属性キラー</v>
      </c>
      <c r="T49" s="44" t="str">
        <f t="shared" si="379"/>
        <v>none</v>
      </c>
      <c r="U49" s="59" t="e">
        <f t="shared" si="380"/>
        <v>#VALUE!</v>
      </c>
      <c r="V49" s="59">
        <f t="shared" si="381"/>
        <v>4</v>
      </c>
      <c r="W49" s="59" t="e">
        <f t="shared" si="382"/>
        <v>#VALUE!</v>
      </c>
      <c r="X49" s="59" t="e">
        <f t="shared" si="383"/>
        <v>#VALUE!</v>
      </c>
      <c r="Y49" s="59" t="str">
        <f>IFERROR(VLOOKUP(MID(T49,W49,X49-W49),[5]skilldef!$C:$D,2,FALSE),"-") &amp; " / " &amp; IFERROR(VLOOKUP(MID(T49,U49,V49-U49),[5]skilldef!$A:$B,2,FALSE),"-")</f>
        <v>- / -</v>
      </c>
      <c r="Z49" s="46"/>
      <c r="AA49" s="48"/>
      <c r="AB49" s="46"/>
    </row>
    <row r="50" spans="1:28" ht="21" customHeight="1" x14ac:dyDescent="0.15">
      <c r="A50" s="180">
        <v>15028049</v>
      </c>
      <c r="B50" s="43" t="s">
        <v>344</v>
      </c>
      <c r="C50" s="46">
        <v>3</v>
      </c>
      <c r="D50" s="46" t="s">
        <v>128</v>
      </c>
      <c r="E50" s="47" t="s">
        <v>282</v>
      </c>
      <c r="F50" s="47" t="s">
        <v>370</v>
      </c>
      <c r="G50" s="59" t="str">
        <f t="shared" si="368"/>
        <v>[effect:change_block, new_block:jammer, target:block_heart, count:14, val:0, animation:change_block]</v>
      </c>
      <c r="H50" s="59">
        <f t="shared" si="369"/>
        <v>9</v>
      </c>
      <c r="I50" s="59">
        <f t="shared" si="370"/>
        <v>21</v>
      </c>
      <c r="J50" s="59">
        <f t="shared" si="371"/>
        <v>48</v>
      </c>
      <c r="K50" s="59">
        <f t="shared" si="372"/>
        <v>39</v>
      </c>
      <c r="L50" s="59" t="str">
        <f>IFERROR(VLOOKUP(MID(G50,J50,K50-J50),[5]skilldef!$C:$D,2,FALSE),"-") &amp; " / " &amp; IFERROR(VLOOKUP(MID(G50,H50,I50-H50),[5]skilldef!$A:$B,2,FALSE),"-")</f>
        <v>- / ブロック変換</v>
      </c>
      <c r="M50" s="59" t="str">
        <f t="shared" si="373"/>
        <v>none</v>
      </c>
      <c r="N50" s="44" t="str">
        <f t="shared" si="374"/>
        <v>none</v>
      </c>
      <c r="O50" s="59" t="e">
        <f t="shared" si="375"/>
        <v>#VALUE!</v>
      </c>
      <c r="P50" s="59">
        <f t="shared" si="376"/>
        <v>4</v>
      </c>
      <c r="Q50" s="59" t="e">
        <f t="shared" si="377"/>
        <v>#VALUE!</v>
      </c>
      <c r="R50" s="59" t="e">
        <f t="shared" si="378"/>
        <v>#VALUE!</v>
      </c>
      <c r="S50" s="59" t="str">
        <f>IFERROR(VLOOKUP(MID(N50,Q50,R50-Q50),[5]skilldef!$C:$D,2,FALSE),"-") &amp; " / " &amp; IFERROR(VLOOKUP(MID(N50,O50,P50-O50),[5]skilldef!$A:$B,2,FALSE),"-")</f>
        <v>- / -</v>
      </c>
      <c r="T50" s="44" t="str">
        <f t="shared" si="379"/>
        <v>none</v>
      </c>
      <c r="U50" s="59" t="e">
        <f t="shared" si="380"/>
        <v>#VALUE!</v>
      </c>
      <c r="V50" s="59">
        <f t="shared" si="381"/>
        <v>4</v>
      </c>
      <c r="W50" s="59" t="e">
        <f t="shared" si="382"/>
        <v>#VALUE!</v>
      </c>
      <c r="X50" s="59" t="e">
        <f t="shared" si="383"/>
        <v>#VALUE!</v>
      </c>
      <c r="Y50" s="59" t="str">
        <f>IFERROR(VLOOKUP(MID(T50,W50,X50-W50),[5]skilldef!$C:$D,2,FALSE),"-") &amp; " / " &amp; IFERROR(VLOOKUP(MID(T50,U50,V50-U50),[5]skilldef!$A:$B,2,FALSE),"-")</f>
        <v>- / -</v>
      </c>
      <c r="Z50" s="46"/>
      <c r="AA50" s="48"/>
      <c r="AB50" s="46"/>
    </row>
    <row r="51" spans="1:28" ht="21" customHeight="1" x14ac:dyDescent="0.15">
      <c r="A51" s="180">
        <v>15028050</v>
      </c>
      <c r="B51" s="43" t="s">
        <v>285</v>
      </c>
      <c r="C51" s="46">
        <v>3</v>
      </c>
      <c r="D51" s="46" t="s">
        <v>128</v>
      </c>
      <c r="E51" s="47" t="s">
        <v>283</v>
      </c>
      <c r="F51" s="47" t="s">
        <v>372</v>
      </c>
      <c r="G51" s="59" t="str">
        <f t="shared" si="368"/>
        <v>[effect:enhance_enemy, target:enemy_green, turn:3, status:attack, val:0.2, animation:enemy_enhance_attack]</v>
      </c>
      <c r="H51" s="59">
        <f t="shared" si="369"/>
        <v>9</v>
      </c>
      <c r="I51" s="59">
        <f t="shared" si="370"/>
        <v>22</v>
      </c>
      <c r="J51" s="59">
        <f t="shared" si="371"/>
        <v>31</v>
      </c>
      <c r="K51" s="59">
        <f t="shared" si="372"/>
        <v>42</v>
      </c>
      <c r="L51" s="59" t="str">
        <f>IFERROR(VLOOKUP(MID(G51,J51,K51-J51),[5]skilldef!$C:$D,2,FALSE),"-") &amp; " / " &amp; IFERROR(VLOOKUP(MID(G51,H51,I51-H51),[5]skilldef!$A:$B,2,FALSE),"-")</f>
        <v>緑の敵に / ステータス強化</v>
      </c>
      <c r="M51" s="59" t="str">
        <f t="shared" si="373"/>
        <v>none</v>
      </c>
      <c r="N51" s="44" t="str">
        <f t="shared" si="374"/>
        <v>none</v>
      </c>
      <c r="O51" s="59" t="e">
        <f t="shared" si="375"/>
        <v>#VALUE!</v>
      </c>
      <c r="P51" s="59">
        <f t="shared" si="376"/>
        <v>4</v>
      </c>
      <c r="Q51" s="59" t="e">
        <f t="shared" si="377"/>
        <v>#VALUE!</v>
      </c>
      <c r="R51" s="59" t="e">
        <f t="shared" si="378"/>
        <v>#VALUE!</v>
      </c>
      <c r="S51" s="59" t="str">
        <f>IFERROR(VLOOKUP(MID(N51,Q51,R51-Q51),[5]skilldef!$C:$D,2,FALSE),"-") &amp; " / " &amp; IFERROR(VLOOKUP(MID(N51,O51,P51-O51),[5]skilldef!$A:$B,2,FALSE),"-")</f>
        <v>- / -</v>
      </c>
      <c r="T51" s="44" t="str">
        <f t="shared" si="379"/>
        <v>none</v>
      </c>
      <c r="U51" s="59" t="e">
        <f t="shared" si="380"/>
        <v>#VALUE!</v>
      </c>
      <c r="V51" s="59">
        <f t="shared" si="381"/>
        <v>4</v>
      </c>
      <c r="W51" s="59" t="e">
        <f t="shared" si="382"/>
        <v>#VALUE!</v>
      </c>
      <c r="X51" s="59" t="e">
        <f t="shared" si="383"/>
        <v>#VALUE!</v>
      </c>
      <c r="Y51" s="59" t="str">
        <f>IFERROR(VLOOKUP(MID(T51,W51,X51-W51),[5]skilldef!$C:$D,2,FALSE),"-") &amp; " / " &amp; IFERROR(VLOOKUP(MID(T51,U51,V51-U51),[5]skilldef!$A:$B,2,FALSE),"-")</f>
        <v>- / -</v>
      </c>
      <c r="Z51" s="46"/>
      <c r="AA51" s="48"/>
      <c r="AB51" s="46"/>
    </row>
    <row r="52" spans="1:28" ht="21" customHeight="1" x14ac:dyDescent="0.15">
      <c r="A52" s="180">
        <v>15028051</v>
      </c>
      <c r="B52" s="43" t="s">
        <v>287</v>
      </c>
      <c r="C52" s="46">
        <v>3</v>
      </c>
      <c r="D52" s="46" t="s">
        <v>128</v>
      </c>
      <c r="E52" s="47" t="s">
        <v>284</v>
      </c>
      <c r="F52" s="47" t="s">
        <v>289</v>
      </c>
      <c r="G52" s="59" t="str">
        <f t="shared" si="368"/>
        <v>[effect:critical, val:1.5]</v>
      </c>
      <c r="H52" s="59">
        <f t="shared" si="369"/>
        <v>9</v>
      </c>
      <c r="I52" s="59">
        <f t="shared" si="370"/>
        <v>17</v>
      </c>
      <c r="J52" s="59" t="e">
        <f t="shared" si="371"/>
        <v>#VALUE!</v>
      </c>
      <c r="K52" s="59" t="e">
        <f t="shared" si="372"/>
        <v>#VALUE!</v>
      </c>
      <c r="L52" s="59" t="str">
        <f>IFERROR(VLOOKUP(MID(G52,J52,K52-J52),[5]skilldef!$C:$D,2,FALSE),"-") &amp; " / " &amp; IFERROR(VLOOKUP(MID(G52,H52,I52-H52),[5]skilldef!$A:$B,2,FALSE),"-")</f>
        <v>- / 大攻撃</v>
      </c>
      <c r="M52" s="59" t="str">
        <f t="shared" si="373"/>
        <v>none</v>
      </c>
      <c r="N52" s="44" t="str">
        <f t="shared" si="374"/>
        <v>none</v>
      </c>
      <c r="O52" s="59" t="e">
        <f t="shared" si="375"/>
        <v>#VALUE!</v>
      </c>
      <c r="P52" s="59">
        <f t="shared" si="376"/>
        <v>4</v>
      </c>
      <c r="Q52" s="59" t="e">
        <f t="shared" si="377"/>
        <v>#VALUE!</v>
      </c>
      <c r="R52" s="59" t="e">
        <f t="shared" si="378"/>
        <v>#VALUE!</v>
      </c>
      <c r="S52" s="59" t="str">
        <f>IFERROR(VLOOKUP(MID(N52,Q52,R52-Q52),[5]skilldef!$C:$D,2,FALSE),"-") &amp; " / " &amp; IFERROR(VLOOKUP(MID(N52,O52,P52-O52),[5]skilldef!$A:$B,2,FALSE),"-")</f>
        <v>- / -</v>
      </c>
      <c r="T52" s="44" t="str">
        <f t="shared" si="379"/>
        <v>none</v>
      </c>
      <c r="U52" s="59" t="e">
        <f t="shared" si="380"/>
        <v>#VALUE!</v>
      </c>
      <c r="V52" s="59">
        <f t="shared" si="381"/>
        <v>4</v>
      </c>
      <c r="W52" s="59" t="e">
        <f t="shared" si="382"/>
        <v>#VALUE!</v>
      </c>
      <c r="X52" s="59" t="e">
        <f t="shared" si="383"/>
        <v>#VALUE!</v>
      </c>
      <c r="Y52" s="59" t="str">
        <f>IFERROR(VLOOKUP(MID(T52,W52,X52-W52),[5]skilldef!$C:$D,2,FALSE),"-") &amp; " / " &amp; IFERROR(VLOOKUP(MID(T52,U52,V52-U52),[5]skilldef!$A:$B,2,FALSE),"-")</f>
        <v>- / -</v>
      </c>
      <c r="Z52" s="46"/>
      <c r="AA52" s="48"/>
      <c r="AB52" s="46"/>
    </row>
    <row r="53" spans="1:28" ht="21" customHeight="1" x14ac:dyDescent="0.15">
      <c r="A53" s="180">
        <v>15028052</v>
      </c>
      <c r="B53" s="43" t="s">
        <v>299</v>
      </c>
      <c r="C53" s="46">
        <v>3</v>
      </c>
      <c r="D53" s="46" t="s">
        <v>128</v>
      </c>
      <c r="E53" s="47" t="s">
        <v>329</v>
      </c>
      <c r="F53" s="47" t="s">
        <v>300</v>
      </c>
      <c r="G53" s="59" t="str">
        <f t="shared" si="368"/>
        <v>[effect:invalidate_change_block, target:unit_all, block_type01:block_all, turn:4, animation:panel_conversion_off]</v>
      </c>
      <c r="H53" s="59">
        <f t="shared" si="369"/>
        <v>9</v>
      </c>
      <c r="I53" s="59">
        <f t="shared" si="370"/>
        <v>32</v>
      </c>
      <c r="J53" s="59">
        <f t="shared" si="371"/>
        <v>41</v>
      </c>
      <c r="K53" s="59">
        <f t="shared" si="372"/>
        <v>49</v>
      </c>
      <c r="L53" s="59" t="str">
        <f>IFERROR(VLOOKUP(MID(G53,J53,K53-J53),[5]skilldef!$C:$D,2,FALSE),"-") &amp; " / " &amp; IFERROR(VLOOKUP(MID(G53,H53,I53-H53),[5]skilldef!$A:$B,2,FALSE),"-")</f>
        <v>味方全体に / -</v>
      </c>
      <c r="M53" s="59" t="str">
        <f t="shared" si="373"/>
        <v>none</v>
      </c>
      <c r="N53" s="44" t="str">
        <f t="shared" si="374"/>
        <v>none</v>
      </c>
      <c r="O53" s="59" t="e">
        <f t="shared" si="375"/>
        <v>#VALUE!</v>
      </c>
      <c r="P53" s="59">
        <f t="shared" si="376"/>
        <v>4</v>
      </c>
      <c r="Q53" s="59" t="e">
        <f t="shared" si="377"/>
        <v>#VALUE!</v>
      </c>
      <c r="R53" s="59" t="e">
        <f t="shared" si="378"/>
        <v>#VALUE!</v>
      </c>
      <c r="S53" s="59" t="str">
        <f>IFERROR(VLOOKUP(MID(N53,Q53,R53-Q53),[5]skilldef!$C:$D,2,FALSE),"-") &amp; " / " &amp; IFERROR(VLOOKUP(MID(N53,O53,P53-O53),[5]skilldef!$A:$B,2,FALSE),"-")</f>
        <v>- / -</v>
      </c>
      <c r="T53" s="44" t="str">
        <f t="shared" si="379"/>
        <v>none</v>
      </c>
      <c r="U53" s="59" t="e">
        <f t="shared" si="380"/>
        <v>#VALUE!</v>
      </c>
      <c r="V53" s="59">
        <f t="shared" si="381"/>
        <v>4</v>
      </c>
      <c r="W53" s="59" t="e">
        <f t="shared" si="382"/>
        <v>#VALUE!</v>
      </c>
      <c r="X53" s="59" t="e">
        <f t="shared" si="383"/>
        <v>#VALUE!</v>
      </c>
      <c r="Y53" s="59" t="str">
        <f>IFERROR(VLOOKUP(MID(T53,W53,X53-W53),[5]skilldef!$C:$D,2,FALSE),"-") &amp; " / " &amp; IFERROR(VLOOKUP(MID(T53,U53,V53-U53),[5]skilldef!$A:$B,2,FALSE),"-")</f>
        <v>- / -</v>
      </c>
      <c r="Z53" s="46"/>
      <c r="AA53" s="48"/>
      <c r="AB53" s="46"/>
    </row>
    <row r="54" spans="1:28" ht="21" customHeight="1" x14ac:dyDescent="0.15">
      <c r="A54" s="180">
        <v>15028053</v>
      </c>
      <c r="B54" s="43" t="s">
        <v>356</v>
      </c>
      <c r="C54" s="46">
        <v>3</v>
      </c>
      <c r="D54" s="46" t="s">
        <v>128</v>
      </c>
      <c r="E54" s="47" t="s">
        <v>319</v>
      </c>
      <c r="F54" s="47" t="s">
        <v>305</v>
      </c>
      <c r="G54" s="59" t="str">
        <f t="shared" si="368"/>
        <v>[effect:spread, val:0.3]</v>
      </c>
      <c r="H54" s="59">
        <f t="shared" si="369"/>
        <v>9</v>
      </c>
      <c r="I54" s="59">
        <f t="shared" si="370"/>
        <v>15</v>
      </c>
      <c r="J54" s="59" t="e">
        <f t="shared" si="371"/>
        <v>#VALUE!</v>
      </c>
      <c r="K54" s="59" t="e">
        <f t="shared" si="372"/>
        <v>#VALUE!</v>
      </c>
      <c r="L54" s="59" t="str">
        <f>IFERROR(VLOOKUP(MID(G54,J54,K54-J54),[5]skilldef!$C:$D,2,FALSE),"-") &amp; " / " &amp; IFERROR(VLOOKUP(MID(G54,H54,I54-H54),[5]skilldef!$A:$B,2,FALSE),"-")</f>
        <v>- / 全体攻撃</v>
      </c>
      <c r="M54" s="59" t="str">
        <f t="shared" si="373"/>
        <v>[effect:degrade_unit, target:unit_all, turn:2, status:attack, val:0.7, calc:mul]</v>
      </c>
      <c r="N54" s="44" t="str">
        <f t="shared" si="374"/>
        <v>[effect:degrade_unit, target:unit_all, turn:2, status:attack, val:0.7, calc:mul]</v>
      </c>
      <c r="O54" s="59">
        <f t="shared" si="375"/>
        <v>9</v>
      </c>
      <c r="P54" s="59">
        <f t="shared" si="376"/>
        <v>21</v>
      </c>
      <c r="Q54" s="59">
        <f t="shared" si="377"/>
        <v>30</v>
      </c>
      <c r="R54" s="59">
        <f t="shared" si="378"/>
        <v>38</v>
      </c>
      <c r="S54" s="59" t="str">
        <f>IFERROR(VLOOKUP(MID(N54,Q54,R54-Q54),[5]skilldef!$C:$D,2,FALSE),"-") &amp; " / " &amp; IFERROR(VLOOKUP(MID(N54,O54,P54-O54),[5]skilldef!$A:$B,2,FALSE),"-")</f>
        <v>味方全体に / ステータスDOWN</v>
      </c>
      <c r="T54" s="44" t="str">
        <f t="shared" si="379"/>
        <v>none</v>
      </c>
      <c r="U54" s="59" t="e">
        <f t="shared" si="380"/>
        <v>#VALUE!</v>
      </c>
      <c r="V54" s="59">
        <f t="shared" si="381"/>
        <v>4</v>
      </c>
      <c r="W54" s="59" t="e">
        <f t="shared" si="382"/>
        <v>#VALUE!</v>
      </c>
      <c r="X54" s="59" t="e">
        <f t="shared" si="383"/>
        <v>#VALUE!</v>
      </c>
      <c r="Y54" s="59" t="str">
        <f>IFERROR(VLOOKUP(MID(T54,W54,X54-W54),[5]skilldef!$C:$D,2,FALSE),"-") &amp; " / " &amp; IFERROR(VLOOKUP(MID(T54,U54,V54-U54),[5]skilldef!$A:$B,2,FALSE),"-")</f>
        <v>- / -</v>
      </c>
      <c r="Z54" s="46"/>
      <c r="AA54" s="48"/>
      <c r="AB54" s="46"/>
    </row>
    <row r="55" spans="1:28" ht="21" customHeight="1" x14ac:dyDescent="0.15">
      <c r="A55" s="180">
        <v>15028054</v>
      </c>
      <c r="B55" s="43" t="s">
        <v>303</v>
      </c>
      <c r="C55" s="46">
        <v>3</v>
      </c>
      <c r="D55" s="46" t="s">
        <v>128</v>
      </c>
      <c r="E55" s="47" t="s">
        <v>301</v>
      </c>
      <c r="F55" s="47" t="s">
        <v>306</v>
      </c>
      <c r="G55" s="59" t="str">
        <f t="shared" si="368"/>
        <v>[effect:dis_panel, target:block_green, turn:-1, animation:enemy_dis_green]</v>
      </c>
      <c r="H55" s="59">
        <f t="shared" si="369"/>
        <v>9</v>
      </c>
      <c r="I55" s="59">
        <f t="shared" si="370"/>
        <v>18</v>
      </c>
      <c r="J55" s="59">
        <f t="shared" si="371"/>
        <v>27</v>
      </c>
      <c r="K55" s="59">
        <f t="shared" si="372"/>
        <v>38</v>
      </c>
      <c r="L55" s="59" t="str">
        <f>IFERROR(VLOOKUP(MID(G55,J55,K55-J55),[5]skilldef!$C:$D,2,FALSE),"-") &amp; " / " &amp; IFERROR(VLOOKUP(MID(G55,H55,I55-H55),[5]skilldef!$A:$B,2,FALSE),"-")</f>
        <v>緑パネルを / ディスパネル</v>
      </c>
      <c r="M55" s="59" t="str">
        <f t="shared" si="373"/>
        <v>none</v>
      </c>
      <c r="N55" s="44" t="str">
        <f t="shared" si="374"/>
        <v>none</v>
      </c>
      <c r="O55" s="59" t="e">
        <f t="shared" si="375"/>
        <v>#VALUE!</v>
      </c>
      <c r="P55" s="59">
        <f t="shared" si="376"/>
        <v>4</v>
      </c>
      <c r="Q55" s="59" t="e">
        <f t="shared" si="377"/>
        <v>#VALUE!</v>
      </c>
      <c r="R55" s="59" t="e">
        <f t="shared" si="378"/>
        <v>#VALUE!</v>
      </c>
      <c r="S55" s="59" t="str">
        <f>IFERROR(VLOOKUP(MID(N55,Q55,R55-Q55),[5]skilldef!$C:$D,2,FALSE),"-") &amp; " / " &amp; IFERROR(VLOOKUP(MID(N55,O55,P55-O55),[5]skilldef!$A:$B,2,FALSE),"-")</f>
        <v>- / -</v>
      </c>
      <c r="T55" s="44" t="str">
        <f t="shared" si="379"/>
        <v>none</v>
      </c>
      <c r="U55" s="59" t="e">
        <f t="shared" si="380"/>
        <v>#VALUE!</v>
      </c>
      <c r="V55" s="59">
        <f t="shared" si="381"/>
        <v>4</v>
      </c>
      <c r="W55" s="59" t="e">
        <f t="shared" si="382"/>
        <v>#VALUE!</v>
      </c>
      <c r="X55" s="59" t="e">
        <f t="shared" si="383"/>
        <v>#VALUE!</v>
      </c>
      <c r="Y55" s="59" t="str">
        <f>IFERROR(VLOOKUP(MID(T55,W55,X55-W55),[5]skilldef!$C:$D,2,FALSE),"-") &amp; " / " &amp; IFERROR(VLOOKUP(MID(T55,U55,V55-U55),[5]skilldef!$A:$B,2,FALSE),"-")</f>
        <v>- / -</v>
      </c>
      <c r="Z55" s="46"/>
      <c r="AA55" s="48"/>
      <c r="AB55" s="46"/>
    </row>
    <row r="56" spans="1:28" ht="21" customHeight="1" x14ac:dyDescent="0.15">
      <c r="A56" s="180">
        <v>15028055</v>
      </c>
      <c r="B56" s="43" t="s">
        <v>375</v>
      </c>
      <c r="C56" s="46">
        <v>3</v>
      </c>
      <c r="D56" s="46" t="s">
        <v>374</v>
      </c>
      <c r="E56" s="47" t="s">
        <v>302</v>
      </c>
      <c r="F56" s="47" t="s">
        <v>400</v>
      </c>
      <c r="G56" s="59" t="str">
        <f t="shared" si="368"/>
        <v>[effect:break_attack, val:0.03, lowest_val:0.05, count:20, block:block_green, target:unit_all]</v>
      </c>
      <c r="H56" s="59">
        <f t="shared" si="369"/>
        <v>9</v>
      </c>
      <c r="I56" s="59">
        <f t="shared" si="370"/>
        <v>21</v>
      </c>
      <c r="J56" s="59">
        <f t="shared" si="371"/>
        <v>86</v>
      </c>
      <c r="K56" s="59">
        <f t="shared" si="372"/>
        <v>31</v>
      </c>
      <c r="L56" s="59" t="str">
        <f>IFERROR(VLOOKUP(MID(G56,J56,K56-J56),[5]skilldef!$C:$D,2,FALSE),"-") &amp; " / " &amp; IFERROR(VLOOKUP(MID(G56,H56,I56-H56),[5]skilldef!$A:$B,2,FALSE),"-")</f>
        <v>- / -</v>
      </c>
      <c r="M56" s="59" t="str">
        <f t="shared" si="373"/>
        <v>none</v>
      </c>
      <c r="N56" s="44" t="str">
        <f>IFERROR(LEFT(M56,FIND("],",M56)+S72),M56)</f>
        <v>none</v>
      </c>
      <c r="O56" s="59" t="e">
        <f t="shared" si="375"/>
        <v>#VALUE!</v>
      </c>
      <c r="P56" s="59">
        <f t="shared" si="376"/>
        <v>4</v>
      </c>
      <c r="Q56" s="59" t="e">
        <f t="shared" si="377"/>
        <v>#VALUE!</v>
      </c>
      <c r="R56" s="59" t="e">
        <f t="shared" si="378"/>
        <v>#VALUE!</v>
      </c>
      <c r="S56" s="59" t="str">
        <f>IFERROR(VLOOKUP(MID(N56,Q56,R56-Q56),[5]skilldef!$C:$D,2,FALSE),"-") &amp; " / " &amp; IFERROR(VLOOKUP(MID(N56,O56,P56-O56),[5]skilldef!$A:$B,2,FALSE),"-")</f>
        <v>- / -</v>
      </c>
      <c r="T56" s="44" t="str">
        <f t="shared" si="379"/>
        <v>none</v>
      </c>
      <c r="U56" s="59" t="e">
        <f t="shared" si="380"/>
        <v>#VALUE!</v>
      </c>
      <c r="V56" s="59">
        <f t="shared" si="381"/>
        <v>4</v>
      </c>
      <c r="W56" s="59" t="e">
        <f t="shared" si="382"/>
        <v>#VALUE!</v>
      </c>
      <c r="X56" s="59" t="e">
        <f t="shared" si="383"/>
        <v>#VALUE!</v>
      </c>
      <c r="Y56" s="59" t="str">
        <f>IFERROR(VLOOKUP(MID(T56,W56,X56-W56),[5]skilldef!$C:$D,2,FALSE),"-") &amp; " / " &amp; IFERROR(VLOOKUP(MID(T56,U56,V56-U56),[5]skilldef!$A:$B,2,FALSE),"-")</f>
        <v>- / -</v>
      </c>
      <c r="Z56" s="46"/>
      <c r="AA56" s="48"/>
      <c r="AB56" s="46"/>
    </row>
  </sheetData>
  <autoFilter ref="A1:AB1"/>
  <phoneticPr fontId="6"/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9"/>
  <sheetViews>
    <sheetView showGridLines="0" workbookViewId="0">
      <pane ySplit="1" topLeftCell="A32" activePane="bottomLeft" state="frozenSplit"/>
      <selection pane="bottomLeft" activeCell="D46" sqref="D46"/>
    </sheetView>
  </sheetViews>
  <sheetFormatPr baseColWidth="12" defaultColWidth="12.83203125" defaultRowHeight="21" customHeight="1" x14ac:dyDescent="0.15"/>
  <cols>
    <col min="1" max="1" width="16.1640625" style="45" bestFit="1" customWidth="1"/>
    <col min="2" max="2" width="13.33203125" style="45" bestFit="1" customWidth="1"/>
    <col min="3" max="3" width="11.83203125" style="45" bestFit="1" customWidth="1"/>
    <col min="4" max="4" width="14.6640625" style="45" bestFit="1" customWidth="1"/>
    <col min="5" max="5" width="15.6640625" style="45" bestFit="1" customWidth="1"/>
    <col min="6" max="6" width="17" style="45" bestFit="1" customWidth="1"/>
    <col min="7" max="7" width="15.6640625" style="45" bestFit="1" customWidth="1"/>
    <col min="8" max="9" width="14.6640625" style="45" customWidth="1"/>
    <col min="10" max="10" width="14.6640625" style="45" bestFit="1" customWidth="1"/>
    <col min="11" max="11" width="22.83203125" style="35" bestFit="1" customWidth="1"/>
    <col min="12" max="16384" width="12.83203125" style="41"/>
  </cols>
  <sheetData>
    <row r="1" spans="1:11" ht="21" customHeight="1" x14ac:dyDescent="0.15">
      <c r="A1" s="38" t="s">
        <v>84</v>
      </c>
      <c r="B1" s="38" t="s">
        <v>85</v>
      </c>
      <c r="C1" s="38" t="s">
        <v>86</v>
      </c>
      <c r="D1" s="38" t="s">
        <v>87</v>
      </c>
      <c r="E1" s="38" t="s">
        <v>70</v>
      </c>
      <c r="F1" s="49" t="s">
        <v>71</v>
      </c>
      <c r="G1" s="49" t="s">
        <v>72</v>
      </c>
      <c r="H1" s="38" t="s">
        <v>73</v>
      </c>
      <c r="I1" s="38" t="s">
        <v>74</v>
      </c>
      <c r="J1" s="38" t="s">
        <v>75</v>
      </c>
      <c r="K1" s="50" t="s">
        <v>88</v>
      </c>
    </row>
    <row r="2" spans="1:11" ht="21" customHeight="1" x14ac:dyDescent="0.15">
      <c r="A2" s="92">
        <v>15028001</v>
      </c>
      <c r="B2" s="43">
        <v>0</v>
      </c>
      <c r="C2" s="43" t="s">
        <v>89</v>
      </c>
      <c r="D2" s="43">
        <v>100</v>
      </c>
      <c r="E2" s="43">
        <v>70</v>
      </c>
      <c r="F2" s="43" t="s">
        <v>90</v>
      </c>
      <c r="G2" s="43" t="s">
        <v>53</v>
      </c>
      <c r="H2" s="43" t="s">
        <v>90</v>
      </c>
      <c r="I2" s="43" t="s">
        <v>90</v>
      </c>
      <c r="J2" s="44">
        <f t="shared" ref="J2" si="0">D2</f>
        <v>100</v>
      </c>
    </row>
    <row r="3" spans="1:11" ht="21" customHeight="1" x14ac:dyDescent="0.15">
      <c r="A3" s="92">
        <v>15028002</v>
      </c>
      <c r="B3" s="43">
        <v>0</v>
      </c>
      <c r="C3" s="43" t="s">
        <v>89</v>
      </c>
      <c r="D3" s="43">
        <v>50</v>
      </c>
      <c r="E3" s="43" t="s">
        <v>213</v>
      </c>
      <c r="F3" s="43" t="s">
        <v>90</v>
      </c>
      <c r="G3" s="43" t="s">
        <v>213</v>
      </c>
      <c r="H3" s="43" t="s">
        <v>217</v>
      </c>
      <c r="I3" s="43" t="s">
        <v>90</v>
      </c>
      <c r="J3" s="44">
        <f t="shared" ref="J3" si="1">D3</f>
        <v>50</v>
      </c>
    </row>
    <row r="4" spans="1:11" ht="21" customHeight="1" x14ac:dyDescent="0.15">
      <c r="A4" s="92">
        <v>15028003</v>
      </c>
      <c r="B4" s="43">
        <v>0</v>
      </c>
      <c r="C4" s="43" t="s">
        <v>89</v>
      </c>
      <c r="D4" s="43">
        <v>50</v>
      </c>
      <c r="E4" s="43" t="s">
        <v>213</v>
      </c>
      <c r="F4" s="43" t="s">
        <v>90</v>
      </c>
      <c r="G4" s="43" t="s">
        <v>213</v>
      </c>
      <c r="H4" s="43" t="s">
        <v>218</v>
      </c>
      <c r="I4" s="43" t="s">
        <v>90</v>
      </c>
      <c r="J4" s="44">
        <f t="shared" ref="J4:J13" si="2">D4</f>
        <v>50</v>
      </c>
    </row>
    <row r="5" spans="1:11" ht="21" customHeight="1" x14ac:dyDescent="0.15">
      <c r="A5" s="92">
        <v>15028004</v>
      </c>
      <c r="B5" s="43">
        <v>0</v>
      </c>
      <c r="C5" s="43" t="s">
        <v>53</v>
      </c>
      <c r="D5" s="43">
        <v>30</v>
      </c>
      <c r="E5" s="43" t="s">
        <v>53</v>
      </c>
      <c r="F5" s="43" t="s">
        <v>90</v>
      </c>
      <c r="G5" s="43" t="s">
        <v>53</v>
      </c>
      <c r="H5" s="43" t="s">
        <v>53</v>
      </c>
      <c r="I5" s="43" t="s">
        <v>90</v>
      </c>
      <c r="J5" s="44">
        <f t="shared" ref="J5:J10" si="3">D5</f>
        <v>30</v>
      </c>
    </row>
    <row r="6" spans="1:11" ht="21" customHeight="1" x14ac:dyDescent="0.15">
      <c r="A6" s="92">
        <v>15028005</v>
      </c>
      <c r="B6" s="43">
        <v>0</v>
      </c>
      <c r="C6" s="43" t="s">
        <v>349</v>
      </c>
      <c r="D6" s="43">
        <v>30</v>
      </c>
      <c r="E6" s="43" t="s">
        <v>53</v>
      </c>
      <c r="F6" s="43" t="s">
        <v>90</v>
      </c>
      <c r="G6" s="43" t="s">
        <v>53</v>
      </c>
      <c r="H6" s="43" t="s">
        <v>53</v>
      </c>
      <c r="I6" s="43" t="s">
        <v>90</v>
      </c>
      <c r="J6" s="44">
        <f t="shared" si="3"/>
        <v>30</v>
      </c>
    </row>
    <row r="7" spans="1:11" ht="21" customHeight="1" x14ac:dyDescent="0.15">
      <c r="A7" s="92">
        <v>15028006</v>
      </c>
      <c r="B7" s="43">
        <v>0</v>
      </c>
      <c r="C7" s="43" t="s">
        <v>349</v>
      </c>
      <c r="D7" s="43">
        <v>50</v>
      </c>
      <c r="E7" s="43" t="s">
        <v>53</v>
      </c>
      <c r="F7" s="43" t="s">
        <v>90</v>
      </c>
      <c r="G7" s="43" t="s">
        <v>53</v>
      </c>
      <c r="H7" s="43" t="s">
        <v>53</v>
      </c>
      <c r="I7" s="43" t="s">
        <v>90</v>
      </c>
      <c r="J7" s="44">
        <f t="shared" si="3"/>
        <v>50</v>
      </c>
    </row>
    <row r="8" spans="1:11" ht="21" customHeight="1" x14ac:dyDescent="0.15">
      <c r="A8" s="92">
        <v>15028007</v>
      </c>
      <c r="B8" s="43">
        <v>0</v>
      </c>
      <c r="C8" s="43" t="s">
        <v>350</v>
      </c>
      <c r="D8" s="43">
        <v>100</v>
      </c>
      <c r="E8" s="43" t="s">
        <v>53</v>
      </c>
      <c r="F8" s="43" t="s">
        <v>90</v>
      </c>
      <c r="G8" s="43" t="s">
        <v>53</v>
      </c>
      <c r="H8" s="43">
        <v>4</v>
      </c>
      <c r="I8" s="43" t="s">
        <v>90</v>
      </c>
      <c r="J8" s="44">
        <f t="shared" si="3"/>
        <v>100</v>
      </c>
    </row>
    <row r="9" spans="1:11" ht="21" customHeight="1" x14ac:dyDescent="0.15">
      <c r="A9" s="92">
        <v>15028008</v>
      </c>
      <c r="B9" s="43">
        <v>0</v>
      </c>
      <c r="C9" s="43" t="s">
        <v>350</v>
      </c>
      <c r="D9" s="43">
        <v>50</v>
      </c>
      <c r="E9" s="43">
        <v>50</v>
      </c>
      <c r="F9" s="43" t="s">
        <v>90</v>
      </c>
      <c r="G9" s="43">
        <v>1</v>
      </c>
      <c r="H9" s="43" t="s">
        <v>53</v>
      </c>
      <c r="I9" s="43" t="s">
        <v>90</v>
      </c>
      <c r="J9" s="44">
        <f t="shared" si="3"/>
        <v>50</v>
      </c>
    </row>
    <row r="10" spans="1:11" ht="21" customHeight="1" x14ac:dyDescent="0.15">
      <c r="A10" s="92">
        <v>15028009</v>
      </c>
      <c r="B10" s="43">
        <v>0</v>
      </c>
      <c r="C10" s="43" t="s">
        <v>53</v>
      </c>
      <c r="D10" s="43">
        <v>70</v>
      </c>
      <c r="E10" s="43" t="s">
        <v>53</v>
      </c>
      <c r="F10" s="43" t="s">
        <v>90</v>
      </c>
      <c r="G10" s="43" t="s">
        <v>53</v>
      </c>
      <c r="H10" s="43" t="s">
        <v>53</v>
      </c>
      <c r="I10" s="43" t="s">
        <v>90</v>
      </c>
      <c r="J10" s="44">
        <f t="shared" si="3"/>
        <v>70</v>
      </c>
    </row>
    <row r="11" spans="1:11" ht="21" customHeight="1" x14ac:dyDescent="0.15">
      <c r="A11" s="92">
        <v>15028010</v>
      </c>
      <c r="B11" s="43">
        <v>0</v>
      </c>
      <c r="C11" s="43" t="s">
        <v>89</v>
      </c>
      <c r="D11" s="43">
        <v>70</v>
      </c>
      <c r="E11" s="43" t="s">
        <v>213</v>
      </c>
      <c r="F11" s="43" t="s">
        <v>90</v>
      </c>
      <c r="G11" s="43" t="s">
        <v>213</v>
      </c>
      <c r="H11" s="43" t="s">
        <v>218</v>
      </c>
      <c r="I11" s="43" t="s">
        <v>90</v>
      </c>
      <c r="J11" s="44">
        <f t="shared" si="2"/>
        <v>70</v>
      </c>
    </row>
    <row r="12" spans="1:11" ht="21" customHeight="1" x14ac:dyDescent="0.15">
      <c r="A12" s="92">
        <v>15028011</v>
      </c>
      <c r="B12" s="43">
        <v>0</v>
      </c>
      <c r="C12" s="43" t="s">
        <v>53</v>
      </c>
      <c r="D12" s="43">
        <v>100</v>
      </c>
      <c r="E12" s="43">
        <v>30</v>
      </c>
      <c r="F12" s="43" t="s">
        <v>90</v>
      </c>
      <c r="G12" s="43" t="s">
        <v>224</v>
      </c>
      <c r="H12" s="43" t="s">
        <v>90</v>
      </c>
      <c r="I12" s="43" t="s">
        <v>90</v>
      </c>
      <c r="J12" s="44">
        <f t="shared" si="2"/>
        <v>100</v>
      </c>
    </row>
    <row r="13" spans="1:11" ht="21" customHeight="1" x14ac:dyDescent="0.15">
      <c r="A13" s="92">
        <v>15028012</v>
      </c>
      <c r="B13" s="43">
        <v>0</v>
      </c>
      <c r="C13" s="43" t="s">
        <v>89</v>
      </c>
      <c r="D13" s="43">
        <v>70</v>
      </c>
      <c r="E13" s="43" t="s">
        <v>213</v>
      </c>
      <c r="F13" s="43" t="s">
        <v>90</v>
      </c>
      <c r="G13" s="43" t="s">
        <v>213</v>
      </c>
      <c r="H13" s="43" t="s">
        <v>225</v>
      </c>
      <c r="I13" s="43" t="s">
        <v>90</v>
      </c>
      <c r="J13" s="44">
        <f t="shared" si="2"/>
        <v>70</v>
      </c>
    </row>
    <row r="14" spans="1:11" ht="21" customHeight="1" x14ac:dyDescent="0.15">
      <c r="A14" s="92">
        <v>15028013</v>
      </c>
      <c r="B14" s="43">
        <v>1</v>
      </c>
      <c r="C14" s="43" t="s">
        <v>53</v>
      </c>
      <c r="D14" s="43">
        <v>100</v>
      </c>
      <c r="E14" s="43" t="s">
        <v>53</v>
      </c>
      <c r="F14" s="43" t="s">
        <v>90</v>
      </c>
      <c r="G14" s="43">
        <v>1</v>
      </c>
      <c r="H14" s="43" t="s">
        <v>53</v>
      </c>
      <c r="I14" s="43" t="s">
        <v>90</v>
      </c>
      <c r="J14" s="44">
        <f t="shared" ref="J14" si="4">D14</f>
        <v>100</v>
      </c>
    </row>
    <row r="15" spans="1:11" ht="21" customHeight="1" x14ac:dyDescent="0.15">
      <c r="A15" s="92">
        <v>15028014</v>
      </c>
      <c r="B15" s="43">
        <v>0</v>
      </c>
      <c r="C15" s="43" t="s">
        <v>89</v>
      </c>
      <c r="D15" s="43">
        <v>100</v>
      </c>
      <c r="E15" s="43" t="s">
        <v>213</v>
      </c>
      <c r="F15" s="43" t="s">
        <v>90</v>
      </c>
      <c r="G15" s="43">
        <v>1</v>
      </c>
      <c r="H15" s="43">
        <v>1</v>
      </c>
      <c r="I15" s="43" t="s">
        <v>90</v>
      </c>
      <c r="J15" s="44">
        <f t="shared" ref="J15" si="5">D15</f>
        <v>100</v>
      </c>
    </row>
    <row r="16" spans="1:11" ht="21" customHeight="1" x14ac:dyDescent="0.15">
      <c r="A16" s="92">
        <v>15028015</v>
      </c>
      <c r="B16" s="43">
        <v>0</v>
      </c>
      <c r="C16" s="43" t="s">
        <v>53</v>
      </c>
      <c r="D16" s="43">
        <v>100</v>
      </c>
      <c r="E16" s="43" t="s">
        <v>53</v>
      </c>
      <c r="F16" s="43" t="s">
        <v>90</v>
      </c>
      <c r="G16" s="43">
        <v>1</v>
      </c>
      <c r="H16" s="43">
        <v>2</v>
      </c>
      <c r="I16" s="43" t="s">
        <v>90</v>
      </c>
      <c r="J16" s="44">
        <f t="shared" ref="J16:J17" si="6">D16</f>
        <v>100</v>
      </c>
    </row>
    <row r="17" spans="1:10" ht="21" customHeight="1" x14ac:dyDescent="0.15">
      <c r="A17" s="92">
        <v>15028016</v>
      </c>
      <c r="B17" s="43">
        <v>1</v>
      </c>
      <c r="C17" s="43" t="s">
        <v>53</v>
      </c>
      <c r="D17" s="43">
        <v>100</v>
      </c>
      <c r="E17" s="43" t="s">
        <v>53</v>
      </c>
      <c r="F17" s="43" t="s">
        <v>90</v>
      </c>
      <c r="G17" s="43">
        <v>1</v>
      </c>
      <c r="H17" s="43" t="s">
        <v>232</v>
      </c>
      <c r="I17" s="43" t="s">
        <v>90</v>
      </c>
      <c r="J17" s="44">
        <f t="shared" si="6"/>
        <v>100</v>
      </c>
    </row>
    <row r="18" spans="1:10" ht="21" customHeight="1" x14ac:dyDescent="0.15">
      <c r="A18" s="92">
        <v>15028017</v>
      </c>
      <c r="B18" s="43">
        <v>0</v>
      </c>
      <c r="C18" s="43">
        <v>6</v>
      </c>
      <c r="D18" s="43">
        <v>100</v>
      </c>
      <c r="E18" s="43" t="s">
        <v>53</v>
      </c>
      <c r="F18" s="43" t="s">
        <v>90</v>
      </c>
      <c r="G18" s="43">
        <v>1</v>
      </c>
      <c r="H18" s="43">
        <v>1</v>
      </c>
      <c r="I18" s="43" t="s">
        <v>90</v>
      </c>
      <c r="J18" s="44">
        <f t="shared" ref="J18" si="7">D18</f>
        <v>100</v>
      </c>
    </row>
    <row r="19" spans="1:10" ht="21" customHeight="1" x14ac:dyDescent="0.15">
      <c r="A19" s="92">
        <v>15028018</v>
      </c>
      <c r="B19" s="43">
        <v>0</v>
      </c>
      <c r="C19" s="43">
        <v>5</v>
      </c>
      <c r="D19" s="43">
        <v>100</v>
      </c>
      <c r="E19" s="43" t="s">
        <v>53</v>
      </c>
      <c r="F19" s="43" t="s">
        <v>90</v>
      </c>
      <c r="G19" s="43">
        <v>1</v>
      </c>
      <c r="H19" s="43">
        <v>1</v>
      </c>
      <c r="I19" s="43" t="s">
        <v>90</v>
      </c>
      <c r="J19" s="44">
        <f t="shared" ref="J19" si="8">D19</f>
        <v>100</v>
      </c>
    </row>
    <row r="20" spans="1:10" ht="21" customHeight="1" x14ac:dyDescent="0.15">
      <c r="A20" s="92">
        <v>15028019</v>
      </c>
      <c r="B20" s="43">
        <v>0</v>
      </c>
      <c r="C20" s="43">
        <v>4</v>
      </c>
      <c r="D20" s="43">
        <v>100</v>
      </c>
      <c r="E20" s="43" t="s">
        <v>53</v>
      </c>
      <c r="F20" s="43" t="s">
        <v>90</v>
      </c>
      <c r="G20" s="43">
        <v>1</v>
      </c>
      <c r="H20" s="43">
        <v>1</v>
      </c>
      <c r="I20" s="43" t="s">
        <v>90</v>
      </c>
      <c r="J20" s="44">
        <f t="shared" ref="J20:J22" si="9">D20</f>
        <v>100</v>
      </c>
    </row>
    <row r="21" spans="1:10" ht="21" customHeight="1" x14ac:dyDescent="0.15">
      <c r="A21" s="92">
        <v>15028020</v>
      </c>
      <c r="B21" s="43">
        <v>0</v>
      </c>
      <c r="C21" s="43">
        <v>3</v>
      </c>
      <c r="D21" s="43">
        <v>100</v>
      </c>
      <c r="E21" s="43" t="s">
        <v>53</v>
      </c>
      <c r="F21" s="43" t="s">
        <v>90</v>
      </c>
      <c r="G21" s="43">
        <v>1</v>
      </c>
      <c r="H21" s="43">
        <v>1</v>
      </c>
      <c r="I21" s="43" t="s">
        <v>90</v>
      </c>
      <c r="J21" s="44">
        <f t="shared" si="9"/>
        <v>100</v>
      </c>
    </row>
    <row r="22" spans="1:10" ht="21" customHeight="1" x14ac:dyDescent="0.15">
      <c r="A22" s="92">
        <v>15028021</v>
      </c>
      <c r="B22" s="43">
        <v>0</v>
      </c>
      <c r="C22" s="43">
        <v>2</v>
      </c>
      <c r="D22" s="43">
        <v>100</v>
      </c>
      <c r="E22" s="43" t="s">
        <v>53</v>
      </c>
      <c r="F22" s="43" t="s">
        <v>90</v>
      </c>
      <c r="G22" s="43">
        <v>1</v>
      </c>
      <c r="H22" s="43">
        <v>1</v>
      </c>
      <c r="I22" s="43" t="s">
        <v>90</v>
      </c>
      <c r="J22" s="44">
        <f t="shared" si="9"/>
        <v>100</v>
      </c>
    </row>
    <row r="23" spans="1:10" ht="21" customHeight="1" x14ac:dyDescent="0.15">
      <c r="A23" s="92">
        <v>15028022</v>
      </c>
      <c r="B23" s="43">
        <v>0</v>
      </c>
      <c r="C23" s="43">
        <v>1</v>
      </c>
      <c r="D23" s="43">
        <v>100</v>
      </c>
      <c r="E23" s="43" t="s">
        <v>53</v>
      </c>
      <c r="F23" s="43" t="s">
        <v>90</v>
      </c>
      <c r="G23" s="43" t="s">
        <v>237</v>
      </c>
      <c r="H23" s="43">
        <v>1</v>
      </c>
      <c r="I23" s="43" t="s">
        <v>90</v>
      </c>
      <c r="J23" s="44">
        <f t="shared" ref="J23" si="10">D23</f>
        <v>100</v>
      </c>
    </row>
    <row r="24" spans="1:10" ht="21" customHeight="1" x14ac:dyDescent="0.15">
      <c r="A24" s="92">
        <v>15028023</v>
      </c>
      <c r="B24" s="43">
        <v>0</v>
      </c>
      <c r="C24" s="43" t="s">
        <v>53</v>
      </c>
      <c r="D24" s="43">
        <v>100</v>
      </c>
      <c r="E24" s="43" t="s">
        <v>53</v>
      </c>
      <c r="F24" s="43" t="s">
        <v>90</v>
      </c>
      <c r="G24" s="43">
        <v>1</v>
      </c>
      <c r="H24" s="43">
        <v>1</v>
      </c>
      <c r="I24" s="43" t="s">
        <v>90</v>
      </c>
      <c r="J24" s="44">
        <f t="shared" ref="J24" si="11">D24</f>
        <v>100</v>
      </c>
    </row>
    <row r="25" spans="1:10" ht="21" customHeight="1" x14ac:dyDescent="0.15">
      <c r="A25" s="92">
        <v>15028024</v>
      </c>
      <c r="B25" s="43">
        <v>0</v>
      </c>
      <c r="C25" s="43" t="s">
        <v>53</v>
      </c>
      <c r="D25" s="43">
        <v>100</v>
      </c>
      <c r="E25" s="43" t="s">
        <v>53</v>
      </c>
      <c r="F25" s="43" t="s">
        <v>90</v>
      </c>
      <c r="G25" s="43" t="s">
        <v>232</v>
      </c>
      <c r="H25" s="43" t="s">
        <v>233</v>
      </c>
      <c r="I25" s="43" t="s">
        <v>90</v>
      </c>
      <c r="J25" s="44">
        <f t="shared" ref="J25" si="12">D25</f>
        <v>100</v>
      </c>
    </row>
    <row r="26" spans="1:10" ht="21" customHeight="1" x14ac:dyDescent="0.15">
      <c r="A26" s="92">
        <v>15028025</v>
      </c>
      <c r="B26" s="43">
        <v>0</v>
      </c>
      <c r="C26" s="43" t="s">
        <v>53</v>
      </c>
      <c r="D26" s="43">
        <v>70</v>
      </c>
      <c r="E26" s="43" t="s">
        <v>53</v>
      </c>
      <c r="F26" s="43" t="s">
        <v>90</v>
      </c>
      <c r="G26" s="43" t="s">
        <v>217</v>
      </c>
      <c r="H26" s="43" t="s">
        <v>217</v>
      </c>
      <c r="I26" s="43" t="s">
        <v>90</v>
      </c>
      <c r="J26" s="44">
        <f t="shared" ref="J26:J32" si="13">D26</f>
        <v>70</v>
      </c>
    </row>
    <row r="27" spans="1:10" ht="21" customHeight="1" x14ac:dyDescent="0.15">
      <c r="A27" s="92">
        <v>15028026</v>
      </c>
      <c r="B27" s="43">
        <v>0</v>
      </c>
      <c r="C27" s="43" t="s">
        <v>53</v>
      </c>
      <c r="D27" s="43">
        <v>100</v>
      </c>
      <c r="E27" s="43" t="s">
        <v>53</v>
      </c>
      <c r="F27" s="43" t="s">
        <v>90</v>
      </c>
      <c r="G27" s="43">
        <v>1</v>
      </c>
      <c r="H27" s="43" t="s">
        <v>53</v>
      </c>
      <c r="I27" s="43" t="s">
        <v>90</v>
      </c>
      <c r="J27" s="44">
        <f t="shared" ref="J27" si="14">D27</f>
        <v>100</v>
      </c>
    </row>
    <row r="28" spans="1:10" ht="21" customHeight="1" x14ac:dyDescent="0.15">
      <c r="A28" s="92">
        <v>15028027</v>
      </c>
      <c r="B28" s="43">
        <v>1</v>
      </c>
      <c r="C28" s="43" t="s">
        <v>53</v>
      </c>
      <c r="D28" s="43">
        <v>100</v>
      </c>
      <c r="E28" s="43" t="s">
        <v>53</v>
      </c>
      <c r="F28" s="43" t="s">
        <v>90</v>
      </c>
      <c r="G28" s="43">
        <v>1</v>
      </c>
      <c r="H28" s="43" t="s">
        <v>53</v>
      </c>
      <c r="I28" s="43" t="s">
        <v>90</v>
      </c>
      <c r="J28" s="44">
        <f t="shared" ref="J28:J29" si="15">D28</f>
        <v>100</v>
      </c>
    </row>
    <row r="29" spans="1:10" ht="21" customHeight="1" x14ac:dyDescent="0.15">
      <c r="A29" s="92">
        <v>15028028</v>
      </c>
      <c r="B29" s="43">
        <v>0</v>
      </c>
      <c r="C29" s="43" t="s">
        <v>53</v>
      </c>
      <c r="D29" s="43">
        <v>100</v>
      </c>
      <c r="E29" s="43" t="s">
        <v>53</v>
      </c>
      <c r="F29" s="43" t="s">
        <v>90</v>
      </c>
      <c r="G29" s="43" t="s">
        <v>53</v>
      </c>
      <c r="H29" s="43" t="s">
        <v>53</v>
      </c>
      <c r="I29" s="43" t="s">
        <v>90</v>
      </c>
      <c r="J29" s="44">
        <f t="shared" si="15"/>
        <v>100</v>
      </c>
    </row>
    <row r="30" spans="1:10" ht="21" customHeight="1" x14ac:dyDescent="0.15">
      <c r="A30" s="92">
        <v>15028029</v>
      </c>
      <c r="B30" s="43">
        <v>1</v>
      </c>
      <c r="C30" s="43" t="s">
        <v>53</v>
      </c>
      <c r="D30" s="43">
        <v>100</v>
      </c>
      <c r="E30" s="43" t="s">
        <v>53</v>
      </c>
      <c r="F30" s="43" t="s">
        <v>90</v>
      </c>
      <c r="G30" s="43">
        <v>1</v>
      </c>
      <c r="H30" s="43" t="s">
        <v>232</v>
      </c>
      <c r="I30" s="43" t="s">
        <v>90</v>
      </c>
      <c r="J30" s="44">
        <f t="shared" si="13"/>
        <v>100</v>
      </c>
    </row>
    <row r="31" spans="1:10" ht="21" customHeight="1" x14ac:dyDescent="0.15">
      <c r="A31" s="92">
        <v>15028030</v>
      </c>
      <c r="B31" s="43">
        <v>0</v>
      </c>
      <c r="C31" s="43" t="s">
        <v>231</v>
      </c>
      <c r="D31" s="43">
        <v>100</v>
      </c>
      <c r="E31" s="43" t="s">
        <v>53</v>
      </c>
      <c r="F31" s="43" t="s">
        <v>90</v>
      </c>
      <c r="G31" s="43">
        <v>1</v>
      </c>
      <c r="H31" s="43">
        <v>1</v>
      </c>
      <c r="I31" s="43" t="s">
        <v>90</v>
      </c>
      <c r="J31" s="44">
        <f t="shared" si="13"/>
        <v>100</v>
      </c>
    </row>
    <row r="32" spans="1:10" ht="21" customHeight="1" x14ac:dyDescent="0.15">
      <c r="A32" s="92">
        <v>15028031</v>
      </c>
      <c r="B32" s="43">
        <v>0</v>
      </c>
      <c r="C32" s="43" t="s">
        <v>53</v>
      </c>
      <c r="D32" s="43">
        <v>100</v>
      </c>
      <c r="E32" s="43" t="s">
        <v>53</v>
      </c>
      <c r="F32" s="43" t="s">
        <v>90</v>
      </c>
      <c r="G32" s="43" t="s">
        <v>232</v>
      </c>
      <c r="H32" s="43" t="s">
        <v>233</v>
      </c>
      <c r="I32" s="43" t="s">
        <v>90</v>
      </c>
      <c r="J32" s="44">
        <f t="shared" si="13"/>
        <v>100</v>
      </c>
    </row>
    <row r="33" spans="1:10" ht="21" customHeight="1" x14ac:dyDescent="0.15">
      <c r="A33" s="92">
        <v>15028032</v>
      </c>
      <c r="B33" s="43">
        <v>1</v>
      </c>
      <c r="C33" s="43" t="s">
        <v>53</v>
      </c>
      <c r="D33" s="43">
        <v>100</v>
      </c>
      <c r="E33" s="43" t="s">
        <v>53</v>
      </c>
      <c r="F33" s="43" t="s">
        <v>90</v>
      </c>
      <c r="G33" s="43">
        <v>1</v>
      </c>
      <c r="H33" s="43" t="s">
        <v>232</v>
      </c>
      <c r="I33" s="43" t="s">
        <v>90</v>
      </c>
      <c r="J33" s="44">
        <f t="shared" ref="J33:J34" si="16">D33</f>
        <v>100</v>
      </c>
    </row>
    <row r="34" spans="1:10" ht="21" customHeight="1" x14ac:dyDescent="0.15">
      <c r="A34" s="92">
        <v>15028033</v>
      </c>
      <c r="B34" s="43">
        <v>0</v>
      </c>
      <c r="C34" s="43" t="s">
        <v>53</v>
      </c>
      <c r="D34" s="43">
        <v>50</v>
      </c>
      <c r="E34" s="43" t="s">
        <v>53</v>
      </c>
      <c r="F34" s="43" t="s">
        <v>90</v>
      </c>
      <c r="G34" s="43" t="s">
        <v>232</v>
      </c>
      <c r="H34" s="43" t="s">
        <v>233</v>
      </c>
      <c r="I34" s="43" t="s">
        <v>90</v>
      </c>
      <c r="J34" s="44">
        <f t="shared" si="16"/>
        <v>50</v>
      </c>
    </row>
    <row r="35" spans="1:10" ht="21" customHeight="1" x14ac:dyDescent="0.15">
      <c r="A35" s="92">
        <v>15028034</v>
      </c>
      <c r="B35" s="43">
        <v>0</v>
      </c>
      <c r="C35" s="43" t="s">
        <v>53</v>
      </c>
      <c r="D35" s="43">
        <v>100</v>
      </c>
      <c r="E35" s="43" t="s">
        <v>53</v>
      </c>
      <c r="F35" s="43" t="s">
        <v>90</v>
      </c>
      <c r="G35" s="43" t="s">
        <v>232</v>
      </c>
      <c r="H35" s="43" t="s">
        <v>233</v>
      </c>
      <c r="I35" s="43" t="s">
        <v>90</v>
      </c>
      <c r="J35" s="44">
        <f t="shared" ref="J35:J36" si="17">D35</f>
        <v>100</v>
      </c>
    </row>
    <row r="36" spans="1:10" ht="21" customHeight="1" x14ac:dyDescent="0.15">
      <c r="A36" s="92">
        <v>15028035</v>
      </c>
      <c r="B36" s="43">
        <v>1</v>
      </c>
      <c r="C36" s="43" t="s">
        <v>53</v>
      </c>
      <c r="D36" s="43">
        <v>100</v>
      </c>
      <c r="E36" s="43" t="s">
        <v>53</v>
      </c>
      <c r="F36" s="43" t="s">
        <v>90</v>
      </c>
      <c r="G36" s="43">
        <v>1</v>
      </c>
      <c r="H36" s="43" t="s">
        <v>233</v>
      </c>
      <c r="I36" s="43" t="s">
        <v>90</v>
      </c>
      <c r="J36" s="44">
        <f t="shared" si="17"/>
        <v>100</v>
      </c>
    </row>
    <row r="37" spans="1:10" ht="21" customHeight="1" x14ac:dyDescent="0.15">
      <c r="A37" s="92">
        <v>15028036</v>
      </c>
      <c r="B37" s="43">
        <v>0</v>
      </c>
      <c r="C37" s="43" t="s">
        <v>53</v>
      </c>
      <c r="D37" s="43">
        <v>100</v>
      </c>
      <c r="E37" s="43" t="s">
        <v>53</v>
      </c>
      <c r="F37" s="43" t="s">
        <v>90</v>
      </c>
      <c r="G37" s="43" t="s">
        <v>232</v>
      </c>
      <c r="H37" s="43" t="s">
        <v>233</v>
      </c>
      <c r="I37" s="43" t="s">
        <v>90</v>
      </c>
      <c r="J37" s="44">
        <f t="shared" ref="J37:J38" si="18">D37</f>
        <v>100</v>
      </c>
    </row>
    <row r="38" spans="1:10" ht="21" customHeight="1" x14ac:dyDescent="0.15">
      <c r="A38" s="92">
        <v>15028037</v>
      </c>
      <c r="B38" s="43">
        <v>1</v>
      </c>
      <c r="C38" s="43" t="s">
        <v>53</v>
      </c>
      <c r="D38" s="43">
        <v>100</v>
      </c>
      <c r="E38" s="43" t="s">
        <v>53</v>
      </c>
      <c r="F38" s="43" t="s">
        <v>90</v>
      </c>
      <c r="G38" s="43">
        <v>1</v>
      </c>
      <c r="H38" s="43" t="s">
        <v>232</v>
      </c>
      <c r="I38" s="43" t="s">
        <v>90</v>
      </c>
      <c r="J38" s="44">
        <f t="shared" si="18"/>
        <v>100</v>
      </c>
    </row>
    <row r="39" spans="1:10" ht="21" customHeight="1" x14ac:dyDescent="0.15">
      <c r="A39" s="92">
        <v>15028038</v>
      </c>
      <c r="B39" s="43">
        <v>0</v>
      </c>
      <c r="C39" s="43" t="s">
        <v>53</v>
      </c>
      <c r="D39" s="43">
        <v>100</v>
      </c>
      <c r="E39" s="43" t="s">
        <v>53</v>
      </c>
      <c r="F39" s="43" t="s">
        <v>53</v>
      </c>
      <c r="G39" s="43">
        <v>3</v>
      </c>
      <c r="H39" s="43">
        <v>5</v>
      </c>
      <c r="I39" s="43" t="s">
        <v>53</v>
      </c>
      <c r="J39" s="44">
        <f t="shared" ref="J39:J41" si="19">D39</f>
        <v>100</v>
      </c>
    </row>
    <row r="40" spans="1:10" ht="21" customHeight="1" x14ac:dyDescent="0.15">
      <c r="A40" s="92">
        <v>15028039</v>
      </c>
      <c r="B40" s="43">
        <v>0</v>
      </c>
      <c r="C40" s="43" t="s">
        <v>232</v>
      </c>
      <c r="D40" s="43">
        <v>50</v>
      </c>
      <c r="E40" s="43" t="s">
        <v>53</v>
      </c>
      <c r="F40" s="43" t="s">
        <v>53</v>
      </c>
      <c r="G40" s="43" t="s">
        <v>217</v>
      </c>
      <c r="H40" s="43" t="s">
        <v>232</v>
      </c>
      <c r="I40" s="43" t="s">
        <v>53</v>
      </c>
      <c r="J40" s="44">
        <f t="shared" si="19"/>
        <v>50</v>
      </c>
    </row>
    <row r="41" spans="1:10" ht="21" customHeight="1" x14ac:dyDescent="0.15">
      <c r="A41" s="92">
        <v>15028040</v>
      </c>
      <c r="B41" s="43">
        <v>0</v>
      </c>
      <c r="C41" s="43" t="s">
        <v>233</v>
      </c>
      <c r="D41" s="43">
        <v>70</v>
      </c>
      <c r="E41" s="43">
        <v>30</v>
      </c>
      <c r="F41" s="43" t="s">
        <v>53</v>
      </c>
      <c r="G41" s="43">
        <v>2</v>
      </c>
      <c r="H41" s="43">
        <v>1</v>
      </c>
      <c r="I41" s="43" t="s">
        <v>53</v>
      </c>
      <c r="J41" s="44">
        <f t="shared" si="19"/>
        <v>70</v>
      </c>
    </row>
    <row r="42" spans="1:10" ht="21" customHeight="1" x14ac:dyDescent="0.15">
      <c r="A42" s="92">
        <v>15028041</v>
      </c>
      <c r="B42" s="43">
        <v>0</v>
      </c>
      <c r="C42" s="43" t="s">
        <v>224</v>
      </c>
      <c r="D42" s="43">
        <v>40</v>
      </c>
      <c r="E42" s="43" t="s">
        <v>279</v>
      </c>
      <c r="F42" s="43" t="s">
        <v>53</v>
      </c>
      <c r="G42" s="43" t="s">
        <v>53</v>
      </c>
      <c r="H42" s="43" t="s">
        <v>224</v>
      </c>
      <c r="I42" s="43" t="s">
        <v>53</v>
      </c>
      <c r="J42" s="44">
        <f t="shared" ref="J42:J51" si="20">D42</f>
        <v>40</v>
      </c>
    </row>
    <row r="43" spans="1:10" ht="21" customHeight="1" x14ac:dyDescent="0.15">
      <c r="A43" s="92">
        <v>15028042</v>
      </c>
      <c r="B43" s="43">
        <v>0</v>
      </c>
      <c r="C43" s="43" t="s">
        <v>53</v>
      </c>
      <c r="D43" s="43">
        <v>40</v>
      </c>
      <c r="E43" s="43" t="s">
        <v>279</v>
      </c>
      <c r="F43" s="43" t="s">
        <v>53</v>
      </c>
      <c r="G43" s="43">
        <v>3</v>
      </c>
      <c r="H43" s="43" t="s">
        <v>279</v>
      </c>
      <c r="I43" s="43" t="s">
        <v>53</v>
      </c>
      <c r="J43" s="44">
        <f t="shared" ref="J43" si="21">D43</f>
        <v>40</v>
      </c>
    </row>
    <row r="44" spans="1:10" ht="21" customHeight="1" x14ac:dyDescent="0.15">
      <c r="A44" s="92">
        <v>15028043</v>
      </c>
      <c r="B44" s="43">
        <v>0</v>
      </c>
      <c r="C44" s="43" t="s">
        <v>224</v>
      </c>
      <c r="D44" s="43">
        <v>40</v>
      </c>
      <c r="E44" s="43" t="s">
        <v>279</v>
      </c>
      <c r="F44" s="43" t="s">
        <v>53</v>
      </c>
      <c r="G44" s="43">
        <v>3</v>
      </c>
      <c r="H44" s="43" t="s">
        <v>281</v>
      </c>
      <c r="I44" s="43" t="s">
        <v>53</v>
      </c>
      <c r="J44" s="44">
        <f t="shared" si="20"/>
        <v>40</v>
      </c>
    </row>
    <row r="45" spans="1:10" ht="21" customHeight="1" x14ac:dyDescent="0.15">
      <c r="A45" s="92">
        <v>15028044</v>
      </c>
      <c r="B45" s="43">
        <v>0</v>
      </c>
      <c r="C45" s="43" t="s">
        <v>224</v>
      </c>
      <c r="D45" s="43">
        <v>100</v>
      </c>
      <c r="E45" s="43">
        <v>30</v>
      </c>
      <c r="F45" s="43" t="s">
        <v>53</v>
      </c>
      <c r="G45" s="43">
        <v>2</v>
      </c>
      <c r="H45" s="43" t="s">
        <v>281</v>
      </c>
      <c r="I45" s="43" t="s">
        <v>53</v>
      </c>
      <c r="J45" s="44">
        <f t="shared" si="20"/>
        <v>100</v>
      </c>
    </row>
    <row r="46" spans="1:10" ht="21" customHeight="1" x14ac:dyDescent="0.15">
      <c r="A46" s="92">
        <v>15028045</v>
      </c>
      <c r="B46" s="43">
        <v>0</v>
      </c>
      <c r="C46" s="43" t="s">
        <v>224</v>
      </c>
      <c r="D46" s="43">
        <v>30</v>
      </c>
      <c r="E46" s="43" t="s">
        <v>279</v>
      </c>
      <c r="F46" s="43" t="s">
        <v>53</v>
      </c>
      <c r="G46" s="43">
        <v>1</v>
      </c>
      <c r="H46" s="43" t="s">
        <v>281</v>
      </c>
      <c r="I46" s="43" t="s">
        <v>53</v>
      </c>
      <c r="J46" s="44">
        <f t="shared" ref="J46" si="22">D46</f>
        <v>30</v>
      </c>
    </row>
    <row r="47" spans="1:10" ht="21" customHeight="1" x14ac:dyDescent="0.15">
      <c r="A47" s="92">
        <v>15028046</v>
      </c>
      <c r="B47" s="43">
        <v>0</v>
      </c>
      <c r="C47" s="43" t="s">
        <v>224</v>
      </c>
      <c r="D47" s="43">
        <v>100</v>
      </c>
      <c r="E47" s="43" t="s">
        <v>280</v>
      </c>
      <c r="F47" s="43" t="s">
        <v>53</v>
      </c>
      <c r="G47" s="43" t="s">
        <v>53</v>
      </c>
      <c r="H47" s="43" t="s">
        <v>224</v>
      </c>
      <c r="I47" s="43" t="s">
        <v>53</v>
      </c>
      <c r="J47" s="44">
        <f t="shared" si="20"/>
        <v>100</v>
      </c>
    </row>
    <row r="48" spans="1:10" ht="21" customHeight="1" x14ac:dyDescent="0.15">
      <c r="A48" s="92">
        <v>15028047</v>
      </c>
      <c r="B48" s="43">
        <v>1</v>
      </c>
      <c r="C48" s="43" t="s">
        <v>224</v>
      </c>
      <c r="D48" s="43">
        <v>100</v>
      </c>
      <c r="E48" s="43" t="s">
        <v>279</v>
      </c>
      <c r="F48" s="43" t="s">
        <v>53</v>
      </c>
      <c r="G48" s="43">
        <v>1</v>
      </c>
      <c r="H48" s="43" t="s">
        <v>224</v>
      </c>
      <c r="I48" s="43" t="s">
        <v>53</v>
      </c>
      <c r="J48" s="44">
        <f t="shared" si="20"/>
        <v>100</v>
      </c>
    </row>
    <row r="49" spans="1:10" ht="21" customHeight="1" x14ac:dyDescent="0.15">
      <c r="A49" s="92">
        <v>15028048</v>
      </c>
      <c r="B49" s="43">
        <v>0</v>
      </c>
      <c r="C49" s="43" t="s">
        <v>224</v>
      </c>
      <c r="D49" s="43">
        <v>50</v>
      </c>
      <c r="E49" s="43" t="s">
        <v>279</v>
      </c>
      <c r="F49" s="43" t="s">
        <v>53</v>
      </c>
      <c r="G49" s="43" t="s">
        <v>53</v>
      </c>
      <c r="H49" s="43" t="s">
        <v>224</v>
      </c>
      <c r="I49" s="43" t="s">
        <v>53</v>
      </c>
      <c r="J49" s="44">
        <f t="shared" ref="J49" si="23">D49</f>
        <v>50</v>
      </c>
    </row>
    <row r="50" spans="1:10" ht="21" customHeight="1" x14ac:dyDescent="0.15">
      <c r="A50" s="92">
        <v>15028049</v>
      </c>
      <c r="B50" s="43">
        <v>0</v>
      </c>
      <c r="C50" s="43" t="s">
        <v>224</v>
      </c>
      <c r="D50" s="43">
        <v>100</v>
      </c>
      <c r="E50" s="43">
        <v>30</v>
      </c>
      <c r="F50" s="43" t="s">
        <v>53</v>
      </c>
      <c r="G50" s="43">
        <v>1</v>
      </c>
      <c r="H50" s="43">
        <v>1</v>
      </c>
      <c r="I50" s="43" t="s">
        <v>53</v>
      </c>
      <c r="J50" s="44">
        <f t="shared" si="20"/>
        <v>100</v>
      </c>
    </row>
    <row r="51" spans="1:10" ht="21" customHeight="1" x14ac:dyDescent="0.15">
      <c r="A51" s="92">
        <v>15028050</v>
      </c>
      <c r="B51" s="43">
        <v>0</v>
      </c>
      <c r="C51" s="43" t="s">
        <v>224</v>
      </c>
      <c r="D51" s="43">
        <v>100</v>
      </c>
      <c r="E51" s="43">
        <v>30</v>
      </c>
      <c r="F51" s="43" t="s">
        <v>53</v>
      </c>
      <c r="G51" s="43">
        <v>1</v>
      </c>
      <c r="H51" s="43">
        <v>1</v>
      </c>
      <c r="I51" s="43" t="s">
        <v>53</v>
      </c>
      <c r="J51" s="44">
        <f t="shared" si="20"/>
        <v>100</v>
      </c>
    </row>
    <row r="52" spans="1:10" ht="21" customHeight="1" x14ac:dyDescent="0.15">
      <c r="A52" s="92">
        <v>15028051</v>
      </c>
      <c r="B52" s="43">
        <v>1</v>
      </c>
      <c r="C52" s="43" t="s">
        <v>224</v>
      </c>
      <c r="D52" s="43">
        <v>100</v>
      </c>
      <c r="E52" s="43" t="s">
        <v>279</v>
      </c>
      <c r="F52" s="43" t="s">
        <v>53</v>
      </c>
      <c r="G52" s="43">
        <v>1</v>
      </c>
      <c r="H52" s="43" t="s">
        <v>290</v>
      </c>
      <c r="I52" s="43" t="s">
        <v>53</v>
      </c>
      <c r="J52" s="44">
        <f t="shared" ref="J52:J54" si="24">D52</f>
        <v>100</v>
      </c>
    </row>
    <row r="53" spans="1:10" ht="21" customHeight="1" x14ac:dyDescent="0.15">
      <c r="A53" s="92">
        <v>15028052</v>
      </c>
      <c r="B53" s="43">
        <v>0</v>
      </c>
      <c r="C53" s="43" t="s">
        <v>224</v>
      </c>
      <c r="D53" s="43">
        <v>100</v>
      </c>
      <c r="E53" s="43" t="s">
        <v>279</v>
      </c>
      <c r="F53" s="43" t="s">
        <v>53</v>
      </c>
      <c r="G53" s="43">
        <v>1</v>
      </c>
      <c r="H53" s="43">
        <v>1</v>
      </c>
      <c r="I53" s="43" t="s">
        <v>53</v>
      </c>
      <c r="J53" s="44">
        <f t="shared" si="24"/>
        <v>100</v>
      </c>
    </row>
    <row r="54" spans="1:10" ht="21" customHeight="1" x14ac:dyDescent="0.15">
      <c r="A54" s="92">
        <v>15028053</v>
      </c>
      <c r="B54" s="43">
        <v>0</v>
      </c>
      <c r="C54" s="43" t="s">
        <v>224</v>
      </c>
      <c r="D54" s="43">
        <v>50</v>
      </c>
      <c r="E54" s="43" t="s">
        <v>279</v>
      </c>
      <c r="F54" s="43" t="s">
        <v>53</v>
      </c>
      <c r="G54" s="43" t="s">
        <v>53</v>
      </c>
      <c r="H54" s="43" t="s">
        <v>279</v>
      </c>
      <c r="I54" s="43" t="s">
        <v>53</v>
      </c>
      <c r="J54" s="44">
        <f t="shared" si="24"/>
        <v>50</v>
      </c>
    </row>
    <row r="55" spans="1:10" ht="21" customHeight="1" x14ac:dyDescent="0.15">
      <c r="A55" s="92">
        <v>15028054</v>
      </c>
      <c r="B55" s="43">
        <v>1</v>
      </c>
      <c r="C55" s="43" t="s">
        <v>224</v>
      </c>
      <c r="D55" s="43">
        <v>100</v>
      </c>
      <c r="E55" s="43" t="s">
        <v>279</v>
      </c>
      <c r="F55" s="43" t="s">
        <v>53</v>
      </c>
      <c r="G55" s="43">
        <v>1</v>
      </c>
      <c r="H55" s="43" t="s">
        <v>279</v>
      </c>
      <c r="I55" s="43" t="s">
        <v>53</v>
      </c>
      <c r="J55" s="44">
        <f t="shared" ref="J55:J59" si="25">D55</f>
        <v>100</v>
      </c>
    </row>
    <row r="56" spans="1:10" ht="21" customHeight="1" x14ac:dyDescent="0.15">
      <c r="A56" s="92">
        <v>15028055</v>
      </c>
      <c r="B56" s="43">
        <v>0</v>
      </c>
      <c r="C56" s="43" t="s">
        <v>224</v>
      </c>
      <c r="D56" s="43">
        <v>100</v>
      </c>
      <c r="E56" s="43" t="s">
        <v>279</v>
      </c>
      <c r="F56" s="43" t="s">
        <v>53</v>
      </c>
      <c r="G56" s="43" t="s">
        <v>53</v>
      </c>
      <c r="H56" s="43">
        <v>3</v>
      </c>
      <c r="I56" s="43" t="s">
        <v>53</v>
      </c>
      <c r="J56" s="44">
        <f t="shared" ref="J56" si="26">D56</f>
        <v>100</v>
      </c>
    </row>
    <row r="57" spans="1:10" ht="21" customHeight="1" x14ac:dyDescent="0.15">
      <c r="A57" s="92">
        <v>15028056</v>
      </c>
      <c r="B57" s="43">
        <v>0</v>
      </c>
      <c r="C57" s="43" t="s">
        <v>224</v>
      </c>
      <c r="D57" s="43">
        <v>30</v>
      </c>
      <c r="E57" s="43" t="s">
        <v>279</v>
      </c>
      <c r="F57" s="43" t="s">
        <v>53</v>
      </c>
      <c r="G57" s="43" t="s">
        <v>53</v>
      </c>
      <c r="H57" s="43" t="s">
        <v>279</v>
      </c>
      <c r="I57" s="43" t="s">
        <v>53</v>
      </c>
      <c r="J57" s="44">
        <f t="shared" si="25"/>
        <v>30</v>
      </c>
    </row>
    <row r="58" spans="1:10" ht="21" customHeight="1" x14ac:dyDescent="0.15">
      <c r="A58" s="92">
        <v>15028057</v>
      </c>
      <c r="B58" s="43">
        <v>1</v>
      </c>
      <c r="C58" s="43" t="s">
        <v>224</v>
      </c>
      <c r="D58" s="43">
        <v>100</v>
      </c>
      <c r="E58" s="43" t="s">
        <v>279</v>
      </c>
      <c r="F58" s="43" t="s">
        <v>53</v>
      </c>
      <c r="G58" s="43">
        <v>1</v>
      </c>
      <c r="H58" s="43" t="s">
        <v>279</v>
      </c>
      <c r="I58" s="43" t="s">
        <v>53</v>
      </c>
      <c r="J58" s="44">
        <f t="shared" si="25"/>
        <v>100</v>
      </c>
    </row>
    <row r="59" spans="1:10" ht="21" customHeight="1" x14ac:dyDescent="0.15">
      <c r="A59" s="92">
        <v>15028058</v>
      </c>
      <c r="B59" s="43">
        <v>0</v>
      </c>
      <c r="C59" s="43" t="s">
        <v>224</v>
      </c>
      <c r="D59" s="43">
        <v>50</v>
      </c>
      <c r="E59" s="43">
        <v>50</v>
      </c>
      <c r="F59" s="43" t="s">
        <v>53</v>
      </c>
      <c r="G59" s="43">
        <v>2</v>
      </c>
      <c r="H59" s="43">
        <v>2</v>
      </c>
      <c r="I59" s="43" t="s">
        <v>53</v>
      </c>
      <c r="J59" s="44">
        <f t="shared" si="25"/>
        <v>50</v>
      </c>
    </row>
  </sheetData>
  <autoFilter ref="A1:G1"/>
  <phoneticPr fontId="6"/>
  <conditionalFormatting sqref="K60:K1048576 K1:K2">
    <cfRule type="duplicateValues" dxfId="35" priority="58"/>
  </conditionalFormatting>
  <conditionalFormatting sqref="K3">
    <cfRule type="duplicateValues" dxfId="34" priority="57"/>
  </conditionalFormatting>
  <conditionalFormatting sqref="K15">
    <cfRule type="duplicateValues" dxfId="33" priority="55"/>
  </conditionalFormatting>
  <conditionalFormatting sqref="K4:K10">
    <cfRule type="duplicateValues" dxfId="32" priority="54"/>
  </conditionalFormatting>
  <conditionalFormatting sqref="K11">
    <cfRule type="duplicateValues" dxfId="31" priority="53"/>
  </conditionalFormatting>
  <conditionalFormatting sqref="K12">
    <cfRule type="duplicateValues" dxfId="30" priority="52"/>
  </conditionalFormatting>
  <conditionalFormatting sqref="K13">
    <cfRule type="duplicateValues" dxfId="29" priority="51"/>
  </conditionalFormatting>
  <conditionalFormatting sqref="K16">
    <cfRule type="duplicateValues" dxfId="28" priority="50"/>
  </conditionalFormatting>
  <conditionalFormatting sqref="K17">
    <cfRule type="duplicateValues" dxfId="27" priority="42"/>
  </conditionalFormatting>
  <conditionalFormatting sqref="K18">
    <cfRule type="duplicateValues" dxfId="26" priority="41"/>
  </conditionalFormatting>
  <conditionalFormatting sqref="K14">
    <cfRule type="duplicateValues" dxfId="25" priority="31"/>
  </conditionalFormatting>
  <conditionalFormatting sqref="K19">
    <cfRule type="duplicateValues" dxfId="24" priority="30"/>
  </conditionalFormatting>
  <conditionalFormatting sqref="K20">
    <cfRule type="duplicateValues" dxfId="23" priority="29"/>
  </conditionalFormatting>
  <conditionalFormatting sqref="K21:K26 K30:K35 K37:K41">
    <cfRule type="duplicateValues" dxfId="22" priority="28"/>
  </conditionalFormatting>
  <conditionalFormatting sqref="K27">
    <cfRule type="duplicateValues" dxfId="21" priority="24"/>
  </conditionalFormatting>
  <conditionalFormatting sqref="K28">
    <cfRule type="duplicateValues" dxfId="20" priority="23"/>
  </conditionalFormatting>
  <conditionalFormatting sqref="K29">
    <cfRule type="duplicateValues" dxfId="19" priority="22"/>
  </conditionalFormatting>
  <conditionalFormatting sqref="K42">
    <cfRule type="duplicateValues" dxfId="18" priority="21"/>
  </conditionalFormatting>
  <conditionalFormatting sqref="K44">
    <cfRule type="duplicateValues" dxfId="17" priority="19"/>
  </conditionalFormatting>
  <conditionalFormatting sqref="K45">
    <cfRule type="duplicateValues" dxfId="16" priority="18"/>
  </conditionalFormatting>
  <conditionalFormatting sqref="K47">
    <cfRule type="duplicateValues" dxfId="15" priority="17"/>
  </conditionalFormatting>
  <conditionalFormatting sqref="K48">
    <cfRule type="duplicateValues" dxfId="14" priority="16"/>
  </conditionalFormatting>
  <conditionalFormatting sqref="K50">
    <cfRule type="duplicateValues" dxfId="13" priority="15"/>
  </conditionalFormatting>
  <conditionalFormatting sqref="K51">
    <cfRule type="duplicateValues" dxfId="12" priority="14"/>
  </conditionalFormatting>
  <conditionalFormatting sqref="K46">
    <cfRule type="duplicateValues" dxfId="11" priority="13"/>
  </conditionalFormatting>
  <conditionalFormatting sqref="K49">
    <cfRule type="duplicateValues" dxfId="10" priority="12"/>
  </conditionalFormatting>
  <conditionalFormatting sqref="K52">
    <cfRule type="duplicateValues" dxfId="9" priority="11"/>
  </conditionalFormatting>
  <conditionalFormatting sqref="K53">
    <cfRule type="duplicateValues" dxfId="8" priority="10"/>
  </conditionalFormatting>
  <conditionalFormatting sqref="K54">
    <cfRule type="duplicateValues" dxfId="7" priority="9"/>
  </conditionalFormatting>
  <conditionalFormatting sqref="K55">
    <cfRule type="duplicateValues" dxfId="6" priority="8"/>
  </conditionalFormatting>
  <conditionalFormatting sqref="K57">
    <cfRule type="duplicateValues" dxfId="5" priority="7"/>
  </conditionalFormatting>
  <conditionalFormatting sqref="K58">
    <cfRule type="duplicateValues" dxfId="4" priority="6"/>
  </conditionalFormatting>
  <conditionalFormatting sqref="K59">
    <cfRule type="duplicateValues" dxfId="3" priority="5"/>
  </conditionalFormatting>
  <conditionalFormatting sqref="K56">
    <cfRule type="duplicateValues" dxfId="2" priority="4"/>
  </conditionalFormatting>
  <conditionalFormatting sqref="K43">
    <cfRule type="duplicateValues" dxfId="1" priority="3"/>
  </conditionalFormatting>
  <conditionalFormatting sqref="K36">
    <cfRule type="duplicateValues" dxfId="0" priority="1"/>
  </conditionalFormatting>
  <printOptions gridLines="1"/>
  <pageMargins left="0.75" right="0.75" top="1" bottom="1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1"/>
  <sheetViews>
    <sheetView showGridLines="0" workbookViewId="0">
      <pane xSplit="5" ySplit="1" topLeftCell="F34" activePane="bottomRight" state="frozen"/>
      <selection pane="topRight"/>
      <selection pane="bottomLeft"/>
      <selection pane="bottomRight" activeCell="D62" sqref="D62"/>
    </sheetView>
  </sheetViews>
  <sheetFormatPr baseColWidth="12" defaultColWidth="12.83203125" defaultRowHeight="21" customHeight="1" outlineLevelCol="1" x14ac:dyDescent="0.15"/>
  <cols>
    <col min="1" max="1" width="11.33203125" style="35" bestFit="1" customWidth="1"/>
    <col min="2" max="2" width="9.5" style="45" bestFit="1" customWidth="1"/>
    <col min="3" max="3" width="9.6640625" style="45" customWidth="1"/>
    <col min="4" max="4" width="18.5" style="45" customWidth="1" outlineLevel="1"/>
    <col min="5" max="5" width="44.1640625" style="45" bestFit="1" customWidth="1" outlineLevel="1"/>
    <col min="6" max="6" width="10.83203125" style="45" bestFit="1" customWidth="1"/>
    <col min="7" max="7" width="8.33203125" style="45" bestFit="1" customWidth="1" outlineLevel="1"/>
    <col min="8" max="9" width="12.83203125" style="45" outlineLevel="1"/>
    <col min="10" max="10" width="17.6640625" style="45" bestFit="1" customWidth="1" outlineLevel="1"/>
    <col min="11" max="15" width="12.83203125" style="45" outlineLevel="1"/>
    <col min="16" max="16" width="8.33203125" style="41" bestFit="1" customWidth="1"/>
    <col min="17" max="17" width="9.6640625" style="41" customWidth="1"/>
    <col min="18" max="18" width="56.5" style="41" bestFit="1" customWidth="1"/>
    <col min="19" max="16384" width="12.83203125" style="41"/>
  </cols>
  <sheetData>
    <row r="1" spans="1:18" ht="21" customHeight="1" x14ac:dyDescent="0.15">
      <c r="A1" s="35" t="s">
        <v>60</v>
      </c>
      <c r="B1" s="36" t="s">
        <v>61</v>
      </c>
      <c r="C1" s="36" t="s">
        <v>62</v>
      </c>
      <c r="D1" s="37" t="s">
        <v>63</v>
      </c>
      <c r="E1" s="37" t="s">
        <v>64</v>
      </c>
      <c r="F1" s="38" t="s">
        <v>65</v>
      </c>
      <c r="G1" s="39" t="s">
        <v>66</v>
      </c>
      <c r="H1" s="39" t="s">
        <v>68</v>
      </c>
      <c r="I1" s="39" t="s">
        <v>69</v>
      </c>
      <c r="J1" s="39" t="s">
        <v>70</v>
      </c>
      <c r="K1" s="40" t="s">
        <v>71</v>
      </c>
      <c r="L1" s="40" t="s">
        <v>72</v>
      </c>
      <c r="M1" s="39" t="s">
        <v>73</v>
      </c>
      <c r="N1" s="39" t="s">
        <v>74</v>
      </c>
      <c r="O1" s="39" t="s">
        <v>75</v>
      </c>
      <c r="P1" s="37" t="s">
        <v>76</v>
      </c>
      <c r="Q1" s="37" t="s">
        <v>77</v>
      </c>
      <c r="R1" s="37" t="s">
        <v>78</v>
      </c>
    </row>
    <row r="2" spans="1:18" ht="21" customHeight="1" x14ac:dyDescent="0.15">
      <c r="A2" s="35" t="str">
        <f t="shared" ref="A2" si="0">B2&amp;"_"&amp;C2</f>
        <v>15028001_15028001</v>
      </c>
      <c r="B2" s="43">
        <v>15028001</v>
      </c>
      <c r="C2" s="43">
        <v>15028001</v>
      </c>
      <c r="D2" s="42" t="str">
        <f ca="1">VLOOKUP($C2,OFFSET(enemy_skills!$A$1,0,0,COUNTA(enemy_skills!$A:$A),MATCH(D$1,enemy_skills!$1:$1,0)-MATCH("enemy_skill_id",enemy_skills!$1:$1,0)+1),MATCH(D$1,enemy_skills!$1:$1,0)-MATCH("enemy_skill_id",enemy_skills!$1:$1,0)+1,FALSE)</f>
        <v>回復封じ</v>
      </c>
      <c r="E2" s="42" t="str">
        <f ca="1">VLOOKUP($C2,OFFSET(enemy_skills!$A$1,0,0,COUNTA(enemy_skills!$A:$A),MATCH(E$1,enemy_skills!$1:$1,0)-MATCH("enemy_skill_id",enemy_skills!$1:$1,0)+1),MATCH(E$1,enemy_skills!$1:$1,0)-MATCH("enemy_skill_id",enemy_skills!$1:$1,0)+1,FALSE)</f>
        <v>4ターンハートパネルで回復できない！</v>
      </c>
      <c r="F2" s="43">
        <v>15028001</v>
      </c>
      <c r="G2" s="44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4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4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4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" s="44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4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4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4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4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3"/>
      <c r="Q2" s="43"/>
      <c r="R2" s="43"/>
    </row>
    <row r="3" spans="1:18" ht="21" customHeight="1" x14ac:dyDescent="0.15">
      <c r="A3" s="35" t="str">
        <f t="shared" ref="A3" si="1">B3&amp;"_"&amp;C3</f>
        <v>15028002_15028002</v>
      </c>
      <c r="B3" s="43">
        <v>15028002</v>
      </c>
      <c r="C3" s="43">
        <v>15028002</v>
      </c>
      <c r="D3" s="42" t="str">
        <f ca="1">VLOOKUP($C3,OFFSET(enemy_skills!$A$1,0,0,COUNTA(enemy_skills!$A:$A),MATCH(D$1,enemy_skills!$1:$1,0)-MATCH("enemy_skill_id",enemy_skills!$1:$1,0)+1),MATCH(D$1,enemy_skills!$1:$1,0)-MATCH("enemy_skill_id",enemy_skills!$1:$1,0)+1,FALSE)</f>
        <v>火遊び</v>
      </c>
      <c r="E3" s="42" t="str">
        <f ca="1">VLOOKUP($C3,OFFSET(enemy_skills!$A$1,0,0,COUNTA(enemy_skills!$A:$A),MATCH(E$1,enemy_skills!$1:$1,0)-MATCH("enemy_skill_id",enemy_skills!$1:$1,0)+1),MATCH(E$1,enemy_skills!$1:$1,0)-MATCH("enemy_skill_id",enemy_skills!$1:$1,0)+1,FALSE)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3" s="43">
        <v>15028002</v>
      </c>
      <c r="G3" s="44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4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4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4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4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4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4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4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4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3"/>
      <c r="Q3" s="43"/>
      <c r="R3" s="43"/>
    </row>
    <row r="4" spans="1:18" ht="21" customHeight="1" x14ac:dyDescent="0.15">
      <c r="A4" s="35" t="str">
        <f t="shared" ref="A4:A7" si="2">B4&amp;"_"&amp;C4</f>
        <v>15028003_15028003</v>
      </c>
      <c r="B4" s="43">
        <v>15028003</v>
      </c>
      <c r="C4" s="43">
        <v>15028003</v>
      </c>
      <c r="D4" s="42" t="str">
        <f ca="1">VLOOKUP($C4,OFFSET(enemy_skills!$A$1,0,0,COUNTA(enemy_skills!$A:$A),MATCH(D$1,enemy_skills!$1:$1,0)-MATCH("enemy_skill_id",enemy_skills!$1:$1,0)+1),MATCH(D$1,enemy_skills!$1:$1,0)-MATCH("enemy_skill_id",enemy_skills!$1:$1,0)+1,FALSE)</f>
        <v>風起こし</v>
      </c>
      <c r="E4" s="42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43">
        <v>15028003</v>
      </c>
      <c r="G4" s="44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4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4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4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4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4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4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4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4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3"/>
      <c r="Q4" s="43"/>
      <c r="R4" s="43"/>
    </row>
    <row r="5" spans="1:18" ht="21" customHeight="1" x14ac:dyDescent="0.15">
      <c r="A5" s="35" t="str">
        <f t="shared" si="2"/>
        <v>15028004_15028004</v>
      </c>
      <c r="B5" s="43">
        <v>15028004</v>
      </c>
      <c r="C5" s="43">
        <v>15028004</v>
      </c>
      <c r="D5" s="42" t="str">
        <f ca="1">VLOOKUP($C5,OFFSET(enemy_skills!$A$1,0,0,COUNTA(enemy_skills!$A:$A),MATCH(D$1,enemy_skills!$1:$1,0)-MATCH("enemy_skill_id",enemy_skills!$1:$1,0)+1),MATCH(D$1,enemy_skills!$1:$1,0)-MATCH("enemy_skill_id",enemy_skills!$1:$1,0)+1,FALSE)</f>
        <v>切り裂く</v>
      </c>
      <c r="E5" s="42" t="str">
        <f ca="1">VLOOKUP($C5,OFFSET(enemy_skills!$A$1,0,0,COUNTA(enemy_skills!$A:$A),MATCH(E$1,enemy_skills!$1:$1,0)-MATCH("enemy_skill_id",enemy_skills!$1:$1,0)+1),MATCH(E$1,enemy_skills!$1:$1,0)-MATCH("enemy_skill_id",enemy_skills!$1:$1,0)+1,FALSE)</f>
        <v>攻撃力×1.5倍の攻撃</v>
      </c>
      <c r="F5" s="43">
        <v>15028004</v>
      </c>
      <c r="G5" s="44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4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4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4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4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4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4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4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4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3"/>
      <c r="Q5" s="43"/>
      <c r="R5" s="43"/>
    </row>
    <row r="6" spans="1:18" ht="21" customHeight="1" x14ac:dyDescent="0.15">
      <c r="A6" s="35" t="str">
        <f t="shared" si="2"/>
        <v>15028005_15028005</v>
      </c>
      <c r="B6" s="43">
        <v>15028005</v>
      </c>
      <c r="C6" s="43">
        <v>15028005</v>
      </c>
      <c r="D6" s="42" t="str">
        <f ca="1">VLOOKUP($C6,OFFSET(enemy_skills!$A$1,0,0,COUNTA(enemy_skills!$A:$A),MATCH(D$1,enemy_skills!$1:$1,0)-MATCH("enemy_skill_id",enemy_skills!$1:$1,0)+1),MATCH(D$1,enemy_skills!$1:$1,0)-MATCH("enemy_skill_id",enemy_skills!$1:$1,0)+1,FALSE)</f>
        <v>崩拳</v>
      </c>
      <c r="E6" s="42" t="str">
        <f ca="1">VLOOKUP($C6,OFFSET(enemy_skills!$A$1,0,0,COUNTA(enemy_skills!$A:$A),MATCH(E$1,enemy_skills!$1:$1,0)-MATCH("enemy_skill_id",enemy_skills!$1:$1,0)+1),MATCH(E$1,enemy_skills!$1:$1,0)-MATCH("enemy_skill_id",enemy_skills!$1:$1,0)+1,FALSE)</f>
        <v>固定ダメージ</v>
      </c>
      <c r="F6" s="43">
        <v>15028005</v>
      </c>
      <c r="G6" s="4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4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" s="44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4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4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4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" s="43"/>
      <c r="Q6" s="43"/>
      <c r="R6" s="43"/>
    </row>
    <row r="7" spans="1:18" ht="21" customHeight="1" x14ac:dyDescent="0.15">
      <c r="A7" s="35" t="str">
        <f t="shared" si="2"/>
        <v>15028005_15028006</v>
      </c>
      <c r="B7" s="43">
        <v>15028005</v>
      </c>
      <c r="C7" s="43">
        <v>15028006</v>
      </c>
      <c r="D7" s="42" t="str">
        <f ca="1">VLOOKUP($C7,OFFSET(enemy_skills!$A$1,0,0,COUNTA(enemy_skills!$A:$A),MATCH(D$1,enemy_skills!$1:$1,0)-MATCH("enemy_skill_id",enemy_skills!$1:$1,0)+1),MATCH(D$1,enemy_skills!$1:$1,0)-MATCH("enemy_skill_id",enemy_skills!$1:$1,0)+1,FALSE)</f>
        <v>烈火拳</v>
      </c>
      <c r="E7" s="42" t="str">
        <f ca="1">VLOOKUP($C7,OFFSET(enemy_skills!$A$1,0,0,COUNTA(enemy_skills!$A:$A),MATCH(E$1,enemy_skills!$1:$1,0)-MATCH("enemy_skill_id",enemy_skills!$1:$1,0)+1),MATCH(E$1,enemy_skills!$1:$1,0)-MATCH("enemy_skill_id",enemy_skills!$1:$1,0)+1,FALSE)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" s="43">
        <v>15028006</v>
      </c>
      <c r="G7" s="44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4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4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" s="44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4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4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4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4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4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" s="43"/>
      <c r="Q7" s="43"/>
      <c r="R7" s="43"/>
    </row>
    <row r="8" spans="1:18" ht="21" customHeight="1" x14ac:dyDescent="0.15">
      <c r="A8" s="35" t="str">
        <f t="shared" ref="A8:A9" si="3">B8&amp;"_"&amp;C8</f>
        <v>15028005_15028007</v>
      </c>
      <c r="B8" s="43">
        <v>15028005</v>
      </c>
      <c r="C8" s="43">
        <v>15028007</v>
      </c>
      <c r="D8" s="42" t="str">
        <f ca="1">VLOOKUP($C8,OFFSET(enemy_skills!$A$1,0,0,COUNTA(enemy_skills!$A:$A),MATCH(D$1,enemy_skills!$1:$1,0)-MATCH("enemy_skill_id",enemy_skills!$1:$1,0)+1),MATCH(D$1,enemy_skills!$1:$1,0)-MATCH("enemy_skill_id",enemy_skills!$1:$1,0)+1,FALSE)</f>
        <v>必殺！</v>
      </c>
      <c r="E8" s="42" t="str">
        <f ca="1">VLOOKUP($C8,OFFSET(enemy_skills!$A$1,0,0,COUNTA(enemy_skills!$A:$A),MATCH(E$1,enemy_skills!$1:$1,0)-MATCH("enemy_skill_id",enemy_skills!$1:$1,0)+1),MATCH(E$1,enemy_skills!$1:$1,0)-MATCH("enemy_skill_id",enemy_skills!$1:$1,0)+1,FALSE)</f>
        <v>3回連続攻撃+かかと落としで追い打ち</v>
      </c>
      <c r="F8" s="43">
        <v>15028007</v>
      </c>
      <c r="G8" s="44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4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4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4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4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4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4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" s="44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4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3"/>
      <c r="Q8" s="43"/>
      <c r="R8" s="43"/>
    </row>
    <row r="9" spans="1:18" ht="21" customHeight="1" x14ac:dyDescent="0.15">
      <c r="A9" s="35" t="str">
        <f t="shared" si="3"/>
        <v>15028005_15028008</v>
      </c>
      <c r="B9" s="43">
        <v>15028005</v>
      </c>
      <c r="C9" s="43">
        <v>15028008</v>
      </c>
      <c r="D9" s="42" t="str">
        <f ca="1">VLOOKUP($C9,OFFSET(enemy_skills!$A$1,0,0,COUNTA(enemy_skills!$A:$A),MATCH(D$1,enemy_skills!$1:$1,0)-MATCH("enemy_skill_id",enemy_skills!$1:$1,0)+1),MATCH(D$1,enemy_skills!$1:$1,0)-MATCH("enemy_skill_id",enemy_skills!$1:$1,0)+1,FALSE)</f>
        <v>超必！</v>
      </c>
      <c r="E9" s="42" t="str">
        <f ca="1">VLOOKUP($C9,OFFSET(enemy_skills!$A$1,0,0,COUNTA(enemy_skills!$A:$A),MATCH(E$1,enemy_skills!$1:$1,0)-MATCH("enemy_skill_id",enemy_skills!$1:$1,0)+1),MATCH(E$1,enemy_skills!$1:$1,0)-MATCH("enemy_skill_id",enemy_skills!$1:$1,0)+1,FALSE)</f>
        <v>10回連続攻撃+強力な飛び蹴りで追い打ち</v>
      </c>
      <c r="F9" s="43">
        <v>15028008</v>
      </c>
      <c r="G9" s="44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4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4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4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4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4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4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4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4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3"/>
      <c r="Q9" s="43"/>
      <c r="R9" s="43"/>
    </row>
    <row r="10" spans="1:18" ht="21" customHeight="1" x14ac:dyDescent="0.15">
      <c r="A10" s="35" t="str">
        <f t="shared" ref="A10" si="4">B10&amp;"_"&amp;C10</f>
        <v>15028006_15028009</v>
      </c>
      <c r="B10" s="43">
        <v>15028006</v>
      </c>
      <c r="C10" s="43">
        <v>15028009</v>
      </c>
      <c r="D10" s="4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威嚇射撃</v>
      </c>
      <c r="E10" s="4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2ターン攻撃力が50%DOWN</v>
      </c>
      <c r="F10" s="43">
        <v>15028009</v>
      </c>
      <c r="G10" s="4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4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0" s="44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4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4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4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4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0" s="43"/>
      <c r="Q10" s="43"/>
      <c r="R10" s="43"/>
    </row>
    <row r="11" spans="1:18" ht="21" customHeight="1" x14ac:dyDescent="0.15">
      <c r="A11" s="35" t="str">
        <f t="shared" ref="A11" si="5">B11&amp;"_"&amp;C11</f>
        <v>15028007_15028010</v>
      </c>
      <c r="B11" s="43">
        <v>15028007</v>
      </c>
      <c r="C11" s="43">
        <v>15028010</v>
      </c>
      <c r="D11" s="42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革命の弾圧</v>
      </c>
      <c r="E11" s="42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2ターンCパネル生成延長</v>
      </c>
      <c r="F11" s="43">
        <v>15028010</v>
      </c>
      <c r="G11" s="44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4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4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1" s="44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4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4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4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4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4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1" s="43"/>
      <c r="Q11" s="43"/>
      <c r="R11" s="43"/>
    </row>
    <row r="12" spans="1:18" ht="21" customHeight="1" x14ac:dyDescent="0.15">
      <c r="A12" s="35" t="str">
        <f t="shared" ref="A12" si="6">B12&amp;"_"&amp;C12</f>
        <v>15028008_15028011</v>
      </c>
      <c r="B12" s="43">
        <v>15028008</v>
      </c>
      <c r="C12" s="43">
        <v>15028011</v>
      </c>
      <c r="D12" s="42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癒しの歌</v>
      </c>
      <c r="E12" s="42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回復</v>
      </c>
      <c r="F12" s="43">
        <v>15028011</v>
      </c>
      <c r="G12" s="44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4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4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4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2" s="44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4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4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4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4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3"/>
      <c r="Q12" s="43"/>
      <c r="R12" s="43"/>
    </row>
    <row r="13" spans="1:18" ht="21" customHeight="1" x14ac:dyDescent="0.15">
      <c r="A13" s="35" t="str">
        <f t="shared" ref="A13:A15" si="7">B13&amp;"_"&amp;C13</f>
        <v>15028008_15028012</v>
      </c>
      <c r="B13" s="43">
        <v>15028008</v>
      </c>
      <c r="C13" s="43">
        <v>15028012</v>
      </c>
      <c r="D13" s="4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縛りの奏</v>
      </c>
      <c r="E13" s="4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3ターンCパネル＆ボムパネル変換無効</v>
      </c>
      <c r="F13" s="43">
        <v>15028012</v>
      </c>
      <c r="G13" s="4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4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3" s="44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4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4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4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4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4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3" s="43"/>
      <c r="Q13" s="43"/>
      <c r="R13" s="43"/>
    </row>
    <row r="14" spans="1:18" ht="21" customHeight="1" x14ac:dyDescent="0.15">
      <c r="A14" s="35" t="str">
        <f t="shared" si="7"/>
        <v>15028009_15028013</v>
      </c>
      <c r="B14" s="43">
        <v>15028009</v>
      </c>
      <c r="C14" s="43">
        <v>15028013</v>
      </c>
      <c r="D14" s="4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妖しく微笑んでいる</v>
      </c>
      <c r="E14" s="4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辺りに人間が居ないか探しているようだ</v>
      </c>
      <c r="F14" s="43">
        <v>15028013</v>
      </c>
      <c r="G14" s="44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4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4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4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4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4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4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4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4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3"/>
      <c r="Q14" s="43"/>
      <c r="R14" s="43"/>
    </row>
    <row r="15" spans="1:18" ht="21" customHeight="1" x14ac:dyDescent="0.15">
      <c r="A15" s="35" t="str">
        <f t="shared" si="7"/>
        <v>15028009_15028014</v>
      </c>
      <c r="B15" s="43">
        <v>15028009</v>
      </c>
      <c r="C15" s="43">
        <v>15028014</v>
      </c>
      <c r="D15" s="42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標的に狙いを定めた</v>
      </c>
      <c r="E15" s="4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次ターンにこちらへと襲いかかってくる！</v>
      </c>
      <c r="F15" s="43">
        <v>15028014</v>
      </c>
      <c r="G15" s="44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4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4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4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4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4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4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4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4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3"/>
      <c r="Q15" s="43"/>
      <c r="R15" s="43"/>
    </row>
    <row r="16" spans="1:18" ht="21" customHeight="1" x14ac:dyDescent="0.15">
      <c r="A16" s="35" t="str">
        <f t="shared" ref="A16:A17" si="8">B16&amp;"_"&amp;C16</f>
        <v>15028009_15028015</v>
      </c>
      <c r="B16" s="43">
        <v>15028009</v>
      </c>
      <c r="C16" s="43">
        <v>15028015</v>
      </c>
      <c r="D16" s="4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バースト・インフェルノ</v>
      </c>
      <c r="E16" s="42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16" s="43">
        <v>15028015</v>
      </c>
      <c r="G16" s="44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4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4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4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4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4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4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4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4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3"/>
      <c r="Q16" s="43"/>
      <c r="R16" s="43"/>
    </row>
    <row r="17" spans="1:18" ht="21" customHeight="1" x14ac:dyDescent="0.15">
      <c r="A17" s="35" t="str">
        <f t="shared" si="8"/>
        <v>15028010_15028016</v>
      </c>
      <c r="B17" s="43">
        <v>15028010</v>
      </c>
      <c r="C17" s="43">
        <v>15028016</v>
      </c>
      <c r="D17" s="42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思想投影</v>
      </c>
      <c r="E17" s="42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3ターンの間バハムートの攻撃力と防御力が大UP</v>
      </c>
      <c r="F17" s="43">
        <v>15028016</v>
      </c>
      <c r="G17" s="4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4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4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4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4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4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4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3"/>
      <c r="Q17" s="43"/>
      <c r="R17" s="43"/>
    </row>
    <row r="18" spans="1:18" ht="21" customHeight="1" x14ac:dyDescent="0.15">
      <c r="A18" s="35" t="str">
        <f t="shared" ref="A18" si="9">B18&amp;"_"&amp;C18</f>
        <v>15028010_15028017</v>
      </c>
      <c r="B18" s="43">
        <v>15028010</v>
      </c>
      <c r="C18" s="43">
        <v>15028017</v>
      </c>
      <c r="D18" s="42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瞑想</v>
      </c>
      <c r="E18" s="4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2回連続攻撃&amp;3ターンの間攻撃と防御を小UP</v>
      </c>
      <c r="F18" s="43">
        <v>15028017</v>
      </c>
      <c r="G18" s="44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4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8" s="44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4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4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4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4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4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4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3"/>
      <c r="Q18" s="43"/>
      <c r="R18" s="43"/>
    </row>
    <row r="19" spans="1:18" ht="21" customHeight="1" x14ac:dyDescent="0.15">
      <c r="A19" s="35" t="str">
        <f t="shared" ref="A19:A27" si="10">B19&amp;"_"&amp;C19</f>
        <v>15028010_15028018</v>
      </c>
      <c r="B19" s="43">
        <v>15028010</v>
      </c>
      <c r="C19" s="43">
        <v>15028018</v>
      </c>
      <c r="D19" s="42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瞑想</v>
      </c>
      <c r="E19" s="4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2回連続攻撃&amp;3ターンの間攻撃と防御をUP</v>
      </c>
      <c r="F19" s="43">
        <v>15028018</v>
      </c>
      <c r="G19" s="44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4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9" s="44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4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4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4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4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4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4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3"/>
      <c r="Q19" s="43"/>
      <c r="R19" s="43"/>
    </row>
    <row r="20" spans="1:18" ht="21" customHeight="1" x14ac:dyDescent="0.15">
      <c r="A20" s="35" t="str">
        <f t="shared" si="10"/>
        <v>15028010_15028019</v>
      </c>
      <c r="B20" s="43">
        <v>15028010</v>
      </c>
      <c r="C20" s="43">
        <v>15028019</v>
      </c>
      <c r="D20" s="4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瞑想</v>
      </c>
      <c r="E20" s="42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2回連続攻撃&amp;3ターンの間攻撃と防御を大UP</v>
      </c>
      <c r="F20" s="43">
        <v>15028019</v>
      </c>
      <c r="G20" s="4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4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0" s="4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4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4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4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4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3"/>
      <c r="Q20" s="43"/>
      <c r="R20" s="43"/>
    </row>
    <row r="21" spans="1:18" ht="21" customHeight="1" x14ac:dyDescent="0.15">
      <c r="A21" s="35" t="str">
        <f t="shared" si="10"/>
        <v>15028010_15028020</v>
      </c>
      <c r="B21" s="43">
        <v>15028010</v>
      </c>
      <c r="C21" s="43">
        <v>15028020</v>
      </c>
      <c r="D21" s="4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瞑想</v>
      </c>
      <c r="E21" s="4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2回連続攻撃&amp;3ターンの間攻撃と防御を特大UP</v>
      </c>
      <c r="F21" s="43">
        <v>15028020</v>
      </c>
      <c r="G21" s="44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4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1" s="44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4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4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4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4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4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4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3"/>
      <c r="Q21" s="43"/>
      <c r="R21" s="43"/>
    </row>
    <row r="22" spans="1:18" ht="21" customHeight="1" x14ac:dyDescent="0.15">
      <c r="A22" s="35" t="str">
        <f t="shared" si="10"/>
        <v>15028010_15028021</v>
      </c>
      <c r="B22" s="43">
        <v>15028010</v>
      </c>
      <c r="C22" s="43">
        <v>15028021</v>
      </c>
      <c r="D22" s="42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瞑想</v>
      </c>
      <c r="E22" s="42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2回連続攻撃&amp;3ターンの間攻撃と防御を超大UP</v>
      </c>
      <c r="F22" s="43">
        <v>15028021</v>
      </c>
      <c r="G22" s="4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4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" s="4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4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4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4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4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3"/>
      <c r="Q22" s="43"/>
      <c r="R22" s="43"/>
    </row>
    <row r="23" spans="1:18" ht="21" customHeight="1" x14ac:dyDescent="0.15">
      <c r="A23" s="35" t="str">
        <f t="shared" si="10"/>
        <v>15028010_15028022</v>
      </c>
      <c r="B23" s="43">
        <v>15028010</v>
      </c>
      <c r="C23" s="43">
        <v>15028022</v>
      </c>
      <c r="D23" s="42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瞑想</v>
      </c>
      <c r="E23" s="42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2回連続攻撃&amp;3ターンの間攻撃と防御を激烈UP</v>
      </c>
      <c r="F23" s="43">
        <v>15028022</v>
      </c>
      <c r="G23" s="44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4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4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4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4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4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4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4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4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3"/>
      <c r="Q23" s="43"/>
      <c r="R23" s="43"/>
    </row>
    <row r="24" spans="1:18" ht="21" customHeight="1" x14ac:dyDescent="0.15">
      <c r="A24" s="35" t="str">
        <f t="shared" si="10"/>
        <v>15028011_15028023</v>
      </c>
      <c r="B24" s="43">
        <v>15028011</v>
      </c>
      <c r="C24" s="43">
        <v>15028023</v>
      </c>
      <c r="D24" s="42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竜骨の舞</v>
      </c>
      <c r="E24" s="4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3ターン敵の攻撃力と攻撃頻度がUP</v>
      </c>
      <c r="F24" s="43">
        <v>15028023</v>
      </c>
      <c r="G24" s="4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4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4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4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4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4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3"/>
      <c r="Q24" s="43"/>
      <c r="R24" s="43"/>
    </row>
    <row r="25" spans="1:18" ht="21" customHeight="1" x14ac:dyDescent="0.15">
      <c r="A25" s="35" t="str">
        <f t="shared" si="10"/>
        <v>15028012_15028024</v>
      </c>
      <c r="B25" s="43">
        <v>15028012</v>
      </c>
      <c r="C25" s="43">
        <v>15028024</v>
      </c>
      <c r="D25" s="4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ヒートブレス</v>
      </c>
      <c r="E25" s="4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5" s="43">
        <v>15028024</v>
      </c>
      <c r="G25" s="44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4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4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4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4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4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4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4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4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3"/>
      <c r="Q25" s="43"/>
      <c r="R25" s="43"/>
    </row>
    <row r="26" spans="1:18" ht="21" customHeight="1" x14ac:dyDescent="0.15">
      <c r="A26" s="35" t="str">
        <f t="shared" si="10"/>
        <v>15028013_15028025</v>
      </c>
      <c r="B26" s="43">
        <v>15028013</v>
      </c>
      <c r="C26" s="43">
        <v>15028025</v>
      </c>
      <c r="D26" s="4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封印</v>
      </c>
      <c r="E26" s="4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3ターンスキルが使えない！</v>
      </c>
      <c r="F26" s="43">
        <v>15028025</v>
      </c>
      <c r="G26" s="44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4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4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6" s="44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4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4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4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4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4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6" s="43"/>
      <c r="Q26" s="43"/>
      <c r="R26" s="43"/>
    </row>
    <row r="27" spans="1:18" ht="21" customHeight="1" x14ac:dyDescent="0.15">
      <c r="A27" s="35" t="str">
        <f t="shared" si="10"/>
        <v>15028014_15028026</v>
      </c>
      <c r="B27" s="43">
        <v>15028014</v>
      </c>
      <c r="C27" s="43">
        <v>15028026</v>
      </c>
      <c r="D27" s="42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現場急行</v>
      </c>
      <c r="E27" s="4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敵全体の行動頻度がUP</v>
      </c>
      <c r="F27" s="43">
        <v>15028026</v>
      </c>
      <c r="G27" s="44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4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4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4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4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4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4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4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4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3"/>
      <c r="Q27" s="43"/>
      <c r="R27" s="43"/>
    </row>
    <row r="28" spans="1:18" ht="21" customHeight="1" x14ac:dyDescent="0.15">
      <c r="A28" s="35" t="str">
        <f t="shared" ref="A28:A31" si="11">B28&amp;"_"&amp;C28</f>
        <v>15028015_15028027</v>
      </c>
      <c r="B28" s="43">
        <v>15028015</v>
      </c>
      <c r="C28" s="43">
        <v>15028027</v>
      </c>
      <c r="D28" s="4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目標捕捉</v>
      </c>
      <c r="E28" s="4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地雷を持って突進してきている！</v>
      </c>
      <c r="F28" s="43">
        <v>15028027</v>
      </c>
      <c r="G28" s="4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4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4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4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4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4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4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4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3"/>
      <c r="Q28" s="43"/>
      <c r="R28" s="43"/>
    </row>
    <row r="29" spans="1:18" ht="21" customHeight="1" x14ac:dyDescent="0.15">
      <c r="A29" s="35" t="str">
        <f t="shared" si="11"/>
        <v>15028015_15028028</v>
      </c>
      <c r="B29" s="43">
        <v>15028015</v>
      </c>
      <c r="C29" s="43">
        <v>15028028</v>
      </c>
      <c r="D29" s="42" t="str">
        <f ca="1">VLOOKUP($C29,OFFSET(enemy_skills!$A$1,0,0,COUNTA(enemy_skills!$A:$A),MATCH(D$1,enemy_skills!$1:$1,0)-MATCH("enemy_skill_id",enemy_skills!$1:$1,0)+1),MATCH(D$1,enemy_skills!$1:$1,0)-MATCH("enemy_skill_id",enemy_skills!$1:$1,0)+1,FALSE)</f>
        <v>Code：『Explosion 's art』</v>
      </c>
      <c r="E29" s="42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全体に強力な攻撃</v>
      </c>
      <c r="F29" s="43">
        <v>15028028</v>
      </c>
      <c r="G29" s="44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4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4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4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4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4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4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4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4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3"/>
      <c r="Q29" s="43"/>
      <c r="R29" s="43"/>
    </row>
    <row r="30" spans="1:18" ht="21" customHeight="1" x14ac:dyDescent="0.15">
      <c r="A30" s="35" t="str">
        <f t="shared" si="11"/>
        <v>15028016_15028029</v>
      </c>
      <c r="B30" s="43">
        <v>15028016</v>
      </c>
      <c r="C30" s="43">
        <v>15028029</v>
      </c>
      <c r="D30" s="42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うとうとしている・・・</v>
      </c>
      <c r="E30" s="42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規則ただしい寝息を立て始めた_x000D_　眠りはじめたようだ・・・</v>
      </c>
      <c r="F30" s="43">
        <v>15028029</v>
      </c>
      <c r="G30" s="44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4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4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4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4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4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4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4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4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3"/>
      <c r="Q30" s="43"/>
      <c r="R30" s="43"/>
    </row>
    <row r="31" spans="1:18" ht="21" customHeight="1" x14ac:dyDescent="0.15">
      <c r="A31" s="35" t="str">
        <f t="shared" si="11"/>
        <v>15028016_15028030</v>
      </c>
      <c r="B31" s="43">
        <v>15028016</v>
      </c>
      <c r="C31" s="43">
        <v>15028030</v>
      </c>
      <c r="D31" s="42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夜魔王の目覚め</v>
      </c>
      <c r="E31" s="4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解除するまで毎ターンダメージを受ける！</v>
      </c>
      <c r="F31" s="43">
        <v>15028030</v>
      </c>
      <c r="G31" s="44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4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4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4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4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4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4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4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4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3"/>
      <c r="Q31" s="43"/>
      <c r="R31" s="43"/>
    </row>
    <row r="32" spans="1:18" ht="21" customHeight="1" x14ac:dyDescent="0.15">
      <c r="A32" s="35" t="str">
        <f t="shared" ref="A32:A41" si="12">B32&amp;"_"&amp;C32</f>
        <v>15028016_15028031</v>
      </c>
      <c r="B32" s="43">
        <v>15028016</v>
      </c>
      <c r="C32" s="43">
        <v>15028031</v>
      </c>
      <c r="D32" s="42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八つ当たり</v>
      </c>
      <c r="E32" s="42" t="str">
        <f ca="1">VLOOKUP($C32,OFFSET(enemy_skills!$A$1,0,0,COUNTA(enemy_skills!$A:$A),MATCH(E$1,enemy_skills!$1:$1,0)-MATCH("enemy_skill_id",enemy_skills!$1:$1,0)+1),MATCH(E$1,enemy_skills!$1:$1,0)-MATCH("enemy_skill_id",enemy_skills!$1:$1,0)+1,FALSE)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32" s="43">
        <v>15028031</v>
      </c>
      <c r="G32" s="44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4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4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4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4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4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4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4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4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3"/>
      <c r="Q32" s="43"/>
      <c r="R32" s="43"/>
    </row>
    <row r="33" spans="1:18" ht="21" customHeight="1" x14ac:dyDescent="0.15">
      <c r="A33" s="35" t="str">
        <f t="shared" si="12"/>
        <v>15028017_15028032</v>
      </c>
      <c r="B33" s="43">
        <v>15028017</v>
      </c>
      <c r="C33" s="43">
        <v>15028032</v>
      </c>
      <c r="D33" s="4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ナイトメア・イリュージョン</v>
      </c>
      <c r="E33" s="4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全体攻撃&amp;低確率でスキルバインド状態にする！</v>
      </c>
      <c r="F33" s="43">
        <v>15028032</v>
      </c>
      <c r="G33" s="44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4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4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4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4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4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4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4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4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3"/>
      <c r="Q33" s="43"/>
      <c r="R33" s="43"/>
    </row>
    <row r="34" spans="1:18" ht="21" customHeight="1" x14ac:dyDescent="0.15">
      <c r="A34" s="35" t="str">
        <f t="shared" si="12"/>
        <v>15028017_15028033</v>
      </c>
      <c r="B34" s="43">
        <v>15028017</v>
      </c>
      <c r="C34" s="43">
        <v>15028033</v>
      </c>
      <c r="D34" s="42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エトワール・ド・ルミエール</v>
      </c>
      <c r="E34" s="42" t="str">
        <f ca="1">VLOOKUP($C34,OFFSET(enemy_skills!$A$1,0,0,COUNTA(enemy_skills!$A:$A),MATCH(E$1,enemy_skills!$1:$1,0)-MATCH("enemy_skill_id",enemy_skills!$1:$1,0)+1),MATCH(E$1,enemy_skills!$1:$1,0)-MATCH("enemy_skill_id",enemy_skills!$1:$1,0)+1,FALSE)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4" s="43">
        <v>15028033</v>
      </c>
      <c r="G34" s="44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4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4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4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4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4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4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4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4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3"/>
      <c r="Q34" s="43"/>
      <c r="R34" s="43"/>
    </row>
    <row r="35" spans="1:18" ht="21" customHeight="1" x14ac:dyDescent="0.15">
      <c r="A35" s="35" t="str">
        <f t="shared" si="12"/>
        <v>15028017_15028034</v>
      </c>
      <c r="B35" s="43">
        <v>15028017</v>
      </c>
      <c r="C35" s="43">
        <v>15028034</v>
      </c>
      <c r="D35" s="42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ライアー・ドリーム</v>
      </c>
      <c r="E35" s="42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全てのユニットを一定確率で2ターンスリープ！</v>
      </c>
      <c r="F35" s="43">
        <v>15028034</v>
      </c>
      <c r="G35" s="44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4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4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4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4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4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4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4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4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3"/>
      <c r="Q35" s="43"/>
      <c r="R35" s="43"/>
    </row>
    <row r="36" spans="1:18" ht="21" customHeight="1" x14ac:dyDescent="0.15">
      <c r="A36" s="35" t="str">
        <f t="shared" ref="A36" si="13">B36&amp;"_"&amp;C36</f>
        <v>15028018_15028035</v>
      </c>
      <c r="B36" s="43">
        <v>15028018</v>
      </c>
      <c r="C36" s="43">
        <v>15028035</v>
      </c>
      <c r="D36" s="42" t="str">
        <f ca="1">VLOOKUP($C36,OFFSET(enemy_skills!$A$1,0,0,COUNTA(enemy_skills!$A:$A),MATCH(D$1,enemy_skills!$1:$1,0)-MATCH("enemy_skill_id",enemy_skills!$1:$1,0)+1),MATCH(D$1,enemy_skills!$1:$1,0)-MATCH("enemy_skill_id",enemy_skills!$1:$1,0)+1,FALSE)</f>
        <v>Gビット</v>
      </c>
      <c r="E36" s="42" t="str">
        <f ca="1">VLOOKUP($C36,OFFSET(enemy_skills!$A$1,0,0,COUNTA(enemy_skills!$A:$A),MATCH(E$1,enemy_skills!$1:$1,0)-MATCH("enemy_skill_id",enemy_skills!$1:$1,0)+1),MATCH(E$1,enemy_skills!$1:$1,0)-MATCH("enemy_skill_id",enemy_skills!$1:$1,0)+1,FALSE)</f>
        <v>解除されるまで防御力究極UP</v>
      </c>
      <c r="F36" s="43">
        <v>15028035</v>
      </c>
      <c r="G36" s="44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4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4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4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4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4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4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4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4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3"/>
      <c r="Q36" s="43"/>
      <c r="R36" s="43"/>
    </row>
    <row r="37" spans="1:18" ht="21" customHeight="1" x14ac:dyDescent="0.15">
      <c r="A37" s="35" t="str">
        <f t="shared" si="12"/>
        <v>15028018_15028036</v>
      </c>
      <c r="B37" s="43">
        <v>15028018</v>
      </c>
      <c r="C37" s="43">
        <v>15028036</v>
      </c>
      <c r="D37" s="42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回復指令</v>
      </c>
      <c r="E37" s="4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回復</v>
      </c>
      <c r="F37" s="43">
        <v>15028036</v>
      </c>
      <c r="G37" s="44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4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4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4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4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4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4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4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4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3"/>
      <c r="Q37" s="43"/>
      <c r="R37" s="43"/>
    </row>
    <row r="38" spans="1:18" ht="21" customHeight="1" x14ac:dyDescent="0.15">
      <c r="A38" s="35" t="str">
        <f t="shared" si="12"/>
        <v>15028019_15028037</v>
      </c>
      <c r="B38" s="43">
        <v>15028019</v>
      </c>
      <c r="C38" s="43">
        <v>15028037</v>
      </c>
      <c r="D38" s="42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セルフチューニング</v>
      </c>
      <c r="E38" s="42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行動頻度がUP</v>
      </c>
      <c r="F38" s="43">
        <v>15028037</v>
      </c>
      <c r="G38" s="44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4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4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4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4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4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4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4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4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3"/>
      <c r="Q38" s="43"/>
      <c r="R38" s="43"/>
    </row>
    <row r="39" spans="1:18" ht="21" customHeight="1" x14ac:dyDescent="0.15">
      <c r="A39" s="35" t="str">
        <f t="shared" si="12"/>
        <v>15028019_15028038</v>
      </c>
      <c r="B39" s="43">
        <v>15028019</v>
      </c>
      <c r="C39" s="43">
        <v>15028038</v>
      </c>
      <c r="D39" s="42" t="str">
        <f ca="1">VLOOKUP($C39,OFFSET(enemy_skills!$A$1,0,0,COUNTA(enemy_skills!$A:$A),MATCH(D$1,enemy_skills!$1:$1,0)-MATCH("enemy_skill_id",enemy_skills!$1:$1,0)+1),MATCH(D$1,enemy_skills!$1:$1,0)-MATCH("enemy_skill_id",enemy_skills!$1:$1,0)+1,FALSE)</f>
        <v>Hビット</v>
      </c>
      <c r="E39" s="4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回復</v>
      </c>
      <c r="F39" s="43">
        <v>15028038</v>
      </c>
      <c r="G39" s="44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4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4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4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4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4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9" s="44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9" s="44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4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3"/>
      <c r="Q39" s="43"/>
      <c r="R39" s="43"/>
    </row>
    <row r="40" spans="1:18" ht="21" customHeight="1" x14ac:dyDescent="0.15">
      <c r="A40" s="35" t="str">
        <f t="shared" si="12"/>
        <v>15028019_15028039</v>
      </c>
      <c r="B40" s="43">
        <v>15028019</v>
      </c>
      <c r="C40" s="43">
        <v>15028039</v>
      </c>
      <c r="D40" s="42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テイクオフ</v>
      </c>
      <c r="E40" s="42" t="str">
        <f ca="1">VLOOKUP($C40,OFFSET(enemy_skills!$A$1,0,0,COUNTA(enemy_skills!$A:$A),MATCH(E$1,enemy_skills!$1:$1,0)-MATCH("enemy_skill_id",enemy_skills!$1:$1,0)+1),MATCH(E$1,enemy_skills!$1:$1,0)-MATCH("enemy_skill_id",enemy_skills!$1:$1,0)+1,FALSE)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0" s="43">
        <v>15028039</v>
      </c>
      <c r="G40" s="44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4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4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0" s="44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4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4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4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4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4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0" s="43"/>
      <c r="Q40" s="43"/>
      <c r="R40" s="43"/>
    </row>
    <row r="41" spans="1:18" ht="21" customHeight="1" x14ac:dyDescent="0.15">
      <c r="A41" s="35" t="str">
        <f t="shared" si="12"/>
        <v>15028019_15028040</v>
      </c>
      <c r="B41" s="43">
        <v>15028019</v>
      </c>
      <c r="C41" s="43">
        <v>15028040</v>
      </c>
      <c r="D41" s="42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メンテナンス</v>
      </c>
      <c r="E41" s="42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回復</v>
      </c>
      <c r="F41" s="43">
        <v>15028040</v>
      </c>
      <c r="G41" s="44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4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4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41" s="44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1" s="44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4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1" s="44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4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4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41" s="43"/>
      <c r="Q41" s="43"/>
      <c r="R41" s="43"/>
    </row>
    <row r="42" spans="1:18" ht="21" customHeight="1" x14ac:dyDescent="0.15">
      <c r="A42" s="35" t="str">
        <f t="shared" ref="A42:A51" si="14">B42&amp;"_"&amp;C42</f>
        <v>15028020_15028041</v>
      </c>
      <c r="B42" s="43">
        <v>15028020</v>
      </c>
      <c r="C42" s="43">
        <v>15028041</v>
      </c>
      <c r="D42" s="42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スターマイン</v>
      </c>
      <c r="E42" s="42" t="str">
        <f ca="1">VLOOKUP($C42,OFFSET(enemy_skills!$A$1,0,0,COUNTA(enemy_skills!$A:$A),MATCH(E$1,enemy_skills!$1:$1,0)-MATCH("enemy_skill_id",enemy_skills!$1:$1,0)+1),MATCH(E$1,enemy_skills!$1:$1,0)-MATCH("enemy_skill_id",enemy_skills!$1:$1,0)+1,FALSE)</f>
        <v>攻撃力×1.5倍の攻撃</v>
      </c>
      <c r="F42" s="43">
        <v>15028041</v>
      </c>
      <c r="G42" s="44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4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4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2" s="44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4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4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4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4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4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2" s="43"/>
      <c r="Q42" s="43"/>
      <c r="R42" s="43"/>
    </row>
    <row r="43" spans="1:18" ht="21" customHeight="1" x14ac:dyDescent="0.15">
      <c r="A43" s="35" t="str">
        <f t="shared" si="14"/>
        <v>15028021_15028042</v>
      </c>
      <c r="B43" s="43">
        <v>15028021</v>
      </c>
      <c r="C43" s="43">
        <v>15028042</v>
      </c>
      <c r="D43" s="42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ヒーリング・グラフィティ</v>
      </c>
      <c r="E43" s="42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全体回復+1ターン防御力UP</v>
      </c>
      <c r="F43" s="43">
        <v>15028042</v>
      </c>
      <c r="G43" s="44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4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4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3" s="44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4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4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43" s="44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4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4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3" s="43"/>
      <c r="Q43" s="43"/>
      <c r="R43" s="43"/>
    </row>
    <row r="44" spans="1:18" ht="21" customHeight="1" x14ac:dyDescent="0.15">
      <c r="A44" s="35" t="str">
        <f t="shared" si="14"/>
        <v>15028022_15028043</v>
      </c>
      <c r="B44" s="43">
        <v>15028022</v>
      </c>
      <c r="C44" s="43">
        <v>15028043</v>
      </c>
      <c r="D44" s="42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ブレイブリーチアリング</v>
      </c>
      <c r="E44" s="4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全体の行動頻度UP&amp;1ターン攻撃力UP</v>
      </c>
      <c r="F44" s="43">
        <v>15028043</v>
      </c>
      <c r="G44" s="4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4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4" s="44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4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4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44" s="44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4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4" s="43"/>
      <c r="Q44" s="43"/>
      <c r="R44" s="43"/>
    </row>
    <row r="45" spans="1:18" ht="21" customHeight="1" x14ac:dyDescent="0.15">
      <c r="A45" s="35" t="str">
        <f t="shared" si="14"/>
        <v>15028023_15028044</v>
      </c>
      <c r="B45" s="43">
        <v>15028023</v>
      </c>
      <c r="C45" s="43">
        <v>15028044</v>
      </c>
      <c r="D45" s="42" t="str">
        <f ca="1">VLOOKUP($C45,OFFSET(enemy_skills!$A$1,0,0,COUNTA(enemy_skills!$A:$A),MATCH(D$1,enemy_skills!$1:$1,0)-MATCH("enemy_skill_id",enemy_skills!$1:$1,0)+1),MATCH(D$1,enemy_skills!$1:$1,0)-MATCH("enemy_skill_id",enemy_skills!$1:$1,0)+1,FALSE)</f>
        <v>邪心浄化</v>
      </c>
      <c r="E45" s="42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ハートパネルを吸収して回復</v>
      </c>
      <c r="F45" s="43">
        <v>15028044</v>
      </c>
      <c r="G45" s="44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4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4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4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5" s="44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4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5" s="44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4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4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3"/>
      <c r="Q45" s="43"/>
      <c r="R45" s="43"/>
    </row>
    <row r="46" spans="1:18" ht="21" customHeight="1" x14ac:dyDescent="0.15">
      <c r="A46" s="35" t="str">
        <f t="shared" ref="A46" si="15">B46&amp;"_"&amp;C46</f>
        <v>15028023_15028044</v>
      </c>
      <c r="B46" s="43">
        <v>15028023</v>
      </c>
      <c r="C46" s="43">
        <v>15028044</v>
      </c>
      <c r="D46" s="42" t="str">
        <f ca="1">VLOOKUP($C46,OFFSET(enemy_skills!$A$1,0,0,COUNTA(enemy_skills!$A:$A),MATCH(D$1,enemy_skills!$1:$1,0)-MATCH("enemy_skill_id",enemy_skills!$1:$1,0)+1),MATCH(D$1,enemy_skills!$1:$1,0)-MATCH("enemy_skill_id",enemy_skills!$1:$1,0)+1,FALSE)</f>
        <v>邪心浄化</v>
      </c>
      <c r="E46" s="42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ハートパネルを吸収して回復</v>
      </c>
      <c r="F46" s="43">
        <v>15028045</v>
      </c>
      <c r="G46" s="44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4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4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6" s="44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4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4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4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4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4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6" s="43"/>
      <c r="Q46" s="43"/>
      <c r="R46" s="43"/>
    </row>
    <row r="47" spans="1:18" ht="21" customHeight="1" x14ac:dyDescent="0.15">
      <c r="A47" s="35" t="str">
        <f t="shared" si="14"/>
        <v>15028023_15028045</v>
      </c>
      <c r="B47" s="43">
        <v>15028023</v>
      </c>
      <c r="C47" s="43">
        <v>15028045</v>
      </c>
      <c r="D47" s="42" t="str">
        <f ca="1">VLOOKUP($C47,OFFSET(enemy_skills!$A$1,0,0,COUNTA(enemy_skills!$A:$A),MATCH(D$1,enemy_skills!$1:$1,0)-MATCH("enemy_skill_id",enemy_skills!$1:$1,0)+1),MATCH(D$1,enemy_skills!$1:$1,0)-MATCH("enemy_skill_id",enemy_skills!$1:$1,0)+1,FALSE)</f>
        <v>邪魂葬送</v>
      </c>
      <c r="E47" s="42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全てのスキル効果を解除&amp;全体攻撃</v>
      </c>
      <c r="F47" s="43">
        <v>15028046</v>
      </c>
      <c r="G47" s="44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4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44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4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4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4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4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4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4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3"/>
      <c r="Q47" s="43"/>
      <c r="R47" s="43"/>
    </row>
    <row r="48" spans="1:18" ht="21" customHeight="1" x14ac:dyDescent="0.15">
      <c r="A48" s="35" t="str">
        <f t="shared" si="14"/>
        <v>15028024_15028046</v>
      </c>
      <c r="B48" s="43">
        <v>15028024</v>
      </c>
      <c r="C48" s="43">
        <v>15028046</v>
      </c>
      <c r="D48" s="42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マルチターゲット</v>
      </c>
      <c r="E48" s="4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2回連続の全体攻撃</v>
      </c>
      <c r="F48" s="43">
        <v>15028047</v>
      </c>
      <c r="G48" s="44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4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4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4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4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4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4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4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4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3"/>
      <c r="Q48" s="43"/>
      <c r="R48" s="43"/>
    </row>
    <row r="49" spans="1:18" ht="21" customHeight="1" x14ac:dyDescent="0.15">
      <c r="A49" s="35" t="str">
        <f t="shared" ref="A49" si="16">B49&amp;"_"&amp;C49</f>
        <v>15028024_15028046</v>
      </c>
      <c r="B49" s="43">
        <v>15028024</v>
      </c>
      <c r="C49" s="43">
        <v>15028046</v>
      </c>
      <c r="D49" s="42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マルチターゲット</v>
      </c>
      <c r="E49" s="42" t="str">
        <f ca="1">VLOOKUP($C49,OFFSET(enemy_skills!$A$1,0,0,COUNTA(enemy_skills!$A:$A),MATCH(E$1,enemy_skills!$1:$1,0)-MATCH("enemy_skill_id",enemy_skills!$1:$1,0)+1),MATCH(E$1,enemy_skills!$1:$1,0)-MATCH("enemy_skill_id",enemy_skills!$1:$1,0)+1,FALSE)</f>
        <v>2回連続の全体攻撃</v>
      </c>
      <c r="F49" s="43">
        <v>15028048</v>
      </c>
      <c r="G49" s="44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4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4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9" s="44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4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4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4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4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4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9" s="43"/>
      <c r="Q49" s="43"/>
      <c r="R49" s="43"/>
    </row>
    <row r="50" spans="1:18" ht="21" customHeight="1" x14ac:dyDescent="0.15">
      <c r="A50" s="35" t="str">
        <f t="shared" si="14"/>
        <v>15028024_15028047</v>
      </c>
      <c r="B50" s="43">
        <v>15028024</v>
      </c>
      <c r="C50" s="43">
        <v>15028047</v>
      </c>
      <c r="D50" s="42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エメラルド・バレット</v>
      </c>
      <c r="E50" s="42" t="str">
        <f ca="1">VLOOKUP($C50,OFFSET(enemy_skills!$A$1,0,0,COUNTA(enemy_skills!$A:$A),MATCH(E$1,enemy_skills!$1:$1,0)-MATCH("enemy_skill_id",enemy_skills!$1:$1,0)+1),MATCH(E$1,enemy_skills!$1:$1,0)-MATCH("enemy_skill_id",enemy_skills!$1:$1,0)+1,FALSE)</f>
        <v>2連続攻撃&amp;ランダムなパネルを12個緑パネルに変える！</v>
      </c>
      <c r="F50" s="43">
        <v>15028049</v>
      </c>
      <c r="G50" s="44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4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4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4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0" s="44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4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4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4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4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3"/>
      <c r="Q50" s="43"/>
      <c r="R50" s="43"/>
    </row>
    <row r="51" spans="1:18" ht="21" customHeight="1" x14ac:dyDescent="0.15">
      <c r="A51" s="35" t="str">
        <f t="shared" si="14"/>
        <v>15028024_15028048</v>
      </c>
      <c r="B51" s="43">
        <v>15028024</v>
      </c>
      <c r="C51" s="43">
        <v>15028048</v>
      </c>
      <c r="D51" s="42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カマイタチ</v>
      </c>
      <c r="E51" s="42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緑パネル吸収2連続全体攻撃</v>
      </c>
      <c r="F51" s="43">
        <v>15028050</v>
      </c>
      <c r="G51" s="44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4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4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4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1" s="44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4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4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4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4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3"/>
      <c r="Q51" s="43"/>
      <c r="R51" s="43"/>
    </row>
    <row r="52" spans="1:18" ht="21" customHeight="1" x14ac:dyDescent="0.15">
      <c r="A52" s="35" t="str">
        <f t="shared" ref="A52:A54" si="17">B52&amp;"_"&amp;C52</f>
        <v>15028025_15028049</v>
      </c>
      <c r="B52" s="43">
        <v>15028025</v>
      </c>
      <c r="C52" s="43">
        <v>15028049</v>
      </c>
      <c r="D52" s="42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フライングコープス</v>
      </c>
      <c r="E52" s="42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ハートパネルを14個お邪魔パネルに変える！</v>
      </c>
      <c r="F52" s="43">
        <v>15028051</v>
      </c>
      <c r="G52" s="44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4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4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4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4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4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4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4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4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3"/>
      <c r="Q52" s="43"/>
      <c r="R52" s="43"/>
    </row>
    <row r="53" spans="1:18" ht="21" customHeight="1" x14ac:dyDescent="0.15">
      <c r="A53" s="35" t="str">
        <f t="shared" si="17"/>
        <v>15028025_15028050</v>
      </c>
      <c r="B53" s="43">
        <v>15028025</v>
      </c>
      <c r="C53" s="43">
        <v>15028050</v>
      </c>
      <c r="D53" s="42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ストームブリンガー</v>
      </c>
      <c r="E53" s="42" t="str">
        <f ca="1">VLOOKUP($C53,OFFSET(enemy_skills!$A$1,0,0,COUNTA(enemy_skills!$A:$A),MATCH(E$1,enemy_skills!$1:$1,0)-MATCH("enemy_skill_id",enemy_skills!$1:$1,0)+1),MATCH(E$1,enemy_skills!$1:$1,0)-MATCH("enemy_skill_id",enemy_skills!$1:$1,0)+1,FALSE)</f>
        <v>3ターン緑属性の攻撃力UP</v>
      </c>
      <c r="F53" s="43">
        <v>15028052</v>
      </c>
      <c r="G53" s="44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4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44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4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4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4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4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4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4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3"/>
      <c r="Q53" s="43"/>
      <c r="R53" s="43"/>
    </row>
    <row r="54" spans="1:18" ht="21" customHeight="1" x14ac:dyDescent="0.15">
      <c r="A54" s="35" t="str">
        <f t="shared" si="17"/>
        <v>15028025_15028051</v>
      </c>
      <c r="B54" s="43">
        <v>15028025</v>
      </c>
      <c r="C54" s="43">
        <v>15028051</v>
      </c>
      <c r="D54" s="42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スカルクラッシュ</v>
      </c>
      <c r="E54" s="42" t="str">
        <f ca="1">VLOOKUP($C54,OFFSET(enemy_skills!$A$1,0,0,COUNTA(enemy_skills!$A:$A),MATCH(E$1,enemy_skills!$1:$1,0)-MATCH("enemy_skill_id",enemy_skills!$1:$1,0)+1),MATCH(E$1,enemy_skills!$1:$1,0)-MATCH("enemy_skill_id",enemy_skills!$1:$1,0)+1,FALSE)</f>
        <v>攻撃力×1.5倍の攻撃</v>
      </c>
      <c r="F54" s="43">
        <v>15028053</v>
      </c>
      <c r="G54" s="44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4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44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4" s="44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4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4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4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4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4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4" s="43"/>
      <c r="Q54" s="43"/>
      <c r="R54" s="43"/>
    </row>
    <row r="55" spans="1:18" ht="21" customHeight="1" x14ac:dyDescent="0.15">
      <c r="A55" s="35" t="str">
        <f t="shared" ref="A55:A61" si="18">B55&amp;"_"&amp;C55</f>
        <v>15028026_15028052</v>
      </c>
      <c r="B55" s="43">
        <v>15028026</v>
      </c>
      <c r="C55" s="43">
        <v>15028052</v>
      </c>
      <c r="D55" s="42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アルス・マグナ</v>
      </c>
      <c r="E55" s="42" t="str">
        <f ca="1">VLOOKUP($C55,OFFSET(enemy_skills!$A$1,0,0,COUNTA(enemy_skills!$A:$A),MATCH(E$1,enemy_skills!$1:$1,0)-MATCH("enemy_skill_id",enemy_skills!$1:$1,0)+1),MATCH(E$1,enemy_skills!$1:$1,0)-MATCH("enemy_skill_id",enemy_skills!$1:$1,0)+1,FALSE)</f>
        <v>4ターンパネル変換が行えない！</v>
      </c>
      <c r="F55" s="43">
        <v>15028054</v>
      </c>
      <c r="G55" s="44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4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44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4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4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4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4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4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4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3"/>
      <c r="Q55" s="43"/>
      <c r="R55" s="43"/>
    </row>
    <row r="56" spans="1:18" ht="21" customHeight="1" x14ac:dyDescent="0.15">
      <c r="A56" s="35" t="str">
        <f t="shared" ref="A56" si="19">B56&amp;"_"&amp;C56</f>
        <v>15028026_15028052</v>
      </c>
      <c r="B56" s="43">
        <v>15028026</v>
      </c>
      <c r="C56" s="43">
        <v>15028052</v>
      </c>
      <c r="D56" s="42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アルス・マグナ</v>
      </c>
      <c r="E56" s="42" t="str">
        <f ca="1">VLOOKUP($C56,OFFSET(enemy_skills!$A$1,0,0,COUNTA(enemy_skills!$A:$A),MATCH(E$1,enemy_skills!$1:$1,0)-MATCH("enemy_skill_id",enemy_skills!$1:$1,0)+1),MATCH(E$1,enemy_skills!$1:$1,0)-MATCH("enemy_skill_id",enemy_skills!$1:$1,0)+1,FALSE)</f>
        <v>4ターンパネル変換が行えない！</v>
      </c>
      <c r="F56" s="43">
        <v>15028055</v>
      </c>
      <c r="G56" s="44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4" t="str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6" s="44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4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4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4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4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6" s="44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4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3"/>
      <c r="Q56" s="43"/>
      <c r="R56" s="43"/>
    </row>
    <row r="57" spans="1:18" ht="21" customHeight="1" x14ac:dyDescent="0.15">
      <c r="A57" s="35" t="str">
        <f t="shared" si="18"/>
        <v>15028026_15028053</v>
      </c>
      <c r="B57" s="43">
        <v>15028026</v>
      </c>
      <c r="C57" s="43">
        <v>15028053</v>
      </c>
      <c r="D57" s="42" t="str">
        <f ca="1">VLOOKUP($C57,OFFSET(enemy_skills!$A$1,0,0,COUNTA(enemy_skills!$A:$A),MATCH(D$1,enemy_skills!$1:$1,0)-MATCH("enemy_skill_id",enemy_skills!$1:$1,0)+1),MATCH(D$1,enemy_skills!$1:$1,0)-MATCH("enemy_skill_id",enemy_skills!$1:$1,0)+1,FALSE)</f>
        <v>誘惑の旋律</v>
      </c>
      <c r="E57" s="42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全体攻撃&amp;全ユニット2ターン攻撃力DOWN</v>
      </c>
      <c r="F57" s="43">
        <v>15028056</v>
      </c>
      <c r="G57" s="44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4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44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7" s="44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4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4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4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4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4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7" s="43"/>
      <c r="Q57" s="43"/>
      <c r="R57" s="43"/>
    </row>
    <row r="58" spans="1:18" ht="21" customHeight="1" x14ac:dyDescent="0.15">
      <c r="A58" s="35" t="str">
        <f t="shared" si="18"/>
        <v>15028027_15028054</v>
      </c>
      <c r="B58" s="43">
        <v>15028027</v>
      </c>
      <c r="C58" s="43">
        <v>15028054</v>
      </c>
      <c r="D58" s="42" t="str">
        <f ca="1">VLOOKUP($C58,OFFSET(enemy_skills!$A$1,0,0,COUNTA(enemy_skills!$A:$A),MATCH(D$1,enemy_skills!$1:$1,0)-MATCH("enemy_skill_id",enemy_skills!$1:$1,0)+1),MATCH(D$1,enemy_skills!$1:$1,0)-MATCH("enemy_skill_id",enemy_skills!$1:$1,0)+1,FALSE)</f>
        <v>音偽話</v>
      </c>
      <c r="E58" s="42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この戦闘の間緑パネルが使えない！</v>
      </c>
      <c r="F58" s="43">
        <v>15028057</v>
      </c>
      <c r="G58" s="44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4" t="str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8" s="44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4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4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4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4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4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4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3"/>
      <c r="Q58" s="43"/>
      <c r="R58" s="43"/>
    </row>
    <row r="59" spans="1:18" ht="21" customHeight="1" x14ac:dyDescent="0.15">
      <c r="A59" s="35" t="str">
        <f t="shared" ref="A59:A60" si="20">B59&amp;"_"&amp;C59</f>
        <v>15028027_15028052</v>
      </c>
      <c r="B59" s="43">
        <v>15028027</v>
      </c>
      <c r="C59" s="43">
        <v>15028052</v>
      </c>
      <c r="D59" s="42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アルス・マグナ</v>
      </c>
      <c r="E59" s="42" t="str">
        <f ca="1">VLOOKUP($C59,OFFSET(enemy_skills!$A$1,0,0,COUNTA(enemy_skills!$A:$A),MATCH(E$1,enemy_skills!$1:$1,0)-MATCH("enemy_skill_id",enemy_skills!$1:$1,0)+1),MATCH(E$1,enemy_skills!$1:$1,0)-MATCH("enemy_skill_id",enemy_skills!$1:$1,0)+1,FALSE)</f>
        <v>4ターンパネル変換が行えない！</v>
      </c>
      <c r="F59" s="43">
        <v>15028055</v>
      </c>
      <c r="G59" s="44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4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4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4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4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4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4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9" s="44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4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3"/>
      <c r="Q59" s="43"/>
      <c r="R59" s="43"/>
    </row>
    <row r="60" spans="1:18" ht="21" customHeight="1" x14ac:dyDescent="0.15">
      <c r="A60" s="35" t="str">
        <f t="shared" si="20"/>
        <v>15028027_15028053</v>
      </c>
      <c r="B60" s="43">
        <v>15028027</v>
      </c>
      <c r="C60" s="43">
        <v>15028053</v>
      </c>
      <c r="D60" s="42" t="str">
        <f ca="1">VLOOKUP($C60,OFFSET(enemy_skills!$A$1,0,0,COUNTA(enemy_skills!$A:$A),MATCH(D$1,enemy_skills!$1:$1,0)-MATCH("enemy_skill_id",enemy_skills!$1:$1,0)+1),MATCH(D$1,enemy_skills!$1:$1,0)-MATCH("enemy_skill_id",enemy_skills!$1:$1,0)+1,FALSE)</f>
        <v>誘惑の旋律</v>
      </c>
      <c r="E60" s="42" t="str">
        <f ca="1">VLOOKUP($C60,OFFSET(enemy_skills!$A$1,0,0,COUNTA(enemy_skills!$A:$A),MATCH(E$1,enemy_skills!$1:$1,0)-MATCH("enemy_skill_id",enemy_skills!$1:$1,0)+1),MATCH(E$1,enemy_skills!$1:$1,0)-MATCH("enemy_skill_id",enemy_skills!$1:$1,0)+1,FALSE)</f>
        <v>全体攻撃&amp;全ユニット2ターン攻撃力DOWN</v>
      </c>
      <c r="F60" s="43">
        <v>15028056</v>
      </c>
      <c r="G60" s="44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4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44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0" s="44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4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4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4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4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4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0" s="43"/>
      <c r="Q60" s="43"/>
      <c r="R60" s="43"/>
    </row>
    <row r="61" spans="1:18" ht="21" customHeight="1" x14ac:dyDescent="0.15">
      <c r="A61" s="35" t="str">
        <f t="shared" si="18"/>
        <v>15028027_15028055</v>
      </c>
      <c r="B61" s="43">
        <v>15028027</v>
      </c>
      <c r="C61" s="43">
        <v>15028055</v>
      </c>
      <c r="D61" s="42" t="str">
        <f ca="1">VLOOKUP($C61,OFFSET(enemy_skills!$A$1,0,0,COUNTA(enemy_skills!$A:$A),MATCH(D$1,enemy_skills!$1:$1,0)-MATCH("enemy_skill_id",enemy_skills!$1:$1,0)+1),MATCH(D$1,enemy_skills!$1:$1,0)-MATCH("enemy_skill_id",enemy_skills!$1:$1,0)+1,FALSE)</f>
        <v>風葬曲</v>
      </c>
      <c r="E61" s="42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61" s="43">
        <v>15028058</v>
      </c>
      <c r="G61" s="44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4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44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1" s="44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1" s="44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4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61" s="44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1" s="44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4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1" s="43"/>
      <c r="Q61" s="43"/>
      <c r="R61" s="43"/>
    </row>
  </sheetData>
  <autoFilter ref="A1:R1"/>
  <phoneticPr fontId="6"/>
  <pageMargins left="0.75" right="0.75" top="1" bottom="1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0"/>
  <sheetViews>
    <sheetView workbookViewId="0">
      <selection activeCell="S31" sqref="S3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0" t="s">
        <v>151</v>
      </c>
      <c r="B1" s="60" t="s">
        <v>152</v>
      </c>
      <c r="C1" s="61" t="s">
        <v>153</v>
      </c>
      <c r="D1" s="67" t="s">
        <v>154</v>
      </c>
      <c r="E1" s="62" t="s">
        <v>155</v>
      </c>
      <c r="F1" s="60" t="s">
        <v>156</v>
      </c>
      <c r="G1" s="60" t="s">
        <v>157</v>
      </c>
      <c r="H1" s="60" t="s">
        <v>158</v>
      </c>
      <c r="I1" s="60" t="s">
        <v>159</v>
      </c>
      <c r="J1" s="60" t="s">
        <v>160</v>
      </c>
      <c r="K1" s="60" t="s">
        <v>161</v>
      </c>
      <c r="L1" s="60" t="s">
        <v>162</v>
      </c>
      <c r="M1" s="60" t="s">
        <v>163</v>
      </c>
      <c r="N1" s="60" t="s">
        <v>164</v>
      </c>
      <c r="O1" s="60" t="s">
        <v>165</v>
      </c>
      <c r="P1" s="60" t="s">
        <v>166</v>
      </c>
      <c r="Q1" s="60" t="s">
        <v>167</v>
      </c>
      <c r="R1" s="60" t="s">
        <v>168</v>
      </c>
    </row>
    <row r="2" spans="1:18" x14ac:dyDescent="0.15">
      <c r="A2" s="185">
        <v>15028</v>
      </c>
      <c r="B2" s="185">
        <v>1</v>
      </c>
      <c r="C2" s="186" t="str">
        <f>A2&amp; "_"&amp;B2</f>
        <v>15028_1</v>
      </c>
      <c r="D2" s="18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85">
        <v>1</v>
      </c>
      <c r="F2" s="185" t="s">
        <v>169</v>
      </c>
      <c r="G2" s="185">
        <v>3000</v>
      </c>
      <c r="H2" s="185" t="s">
        <v>408</v>
      </c>
      <c r="I2" s="185">
        <v>1</v>
      </c>
      <c r="J2" s="185">
        <v>1</v>
      </c>
      <c r="K2" s="185">
        <v>0</v>
      </c>
      <c r="L2" s="185">
        <v>0</v>
      </c>
      <c r="M2" s="185">
        <v>0</v>
      </c>
      <c r="N2" s="185">
        <v>0</v>
      </c>
      <c r="O2" s="185">
        <v>1</v>
      </c>
      <c r="P2" s="185">
        <v>2000</v>
      </c>
      <c r="Q2" s="185" t="s">
        <v>170</v>
      </c>
      <c r="R2" s="185" t="s">
        <v>171</v>
      </c>
    </row>
    <row r="3" spans="1:18" x14ac:dyDescent="0.15">
      <c r="A3" s="185">
        <v>15028</v>
      </c>
      <c r="B3" s="185">
        <v>1</v>
      </c>
      <c r="C3" s="186" t="str">
        <f t="shared" ref="C3:C40" si="0">A3&amp; "_"&amp;B3</f>
        <v>15028_1</v>
      </c>
      <c r="D3" s="18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185">
        <v>2</v>
      </c>
      <c r="F3" s="185" t="s">
        <v>409</v>
      </c>
      <c r="G3" s="185">
        <v>25</v>
      </c>
      <c r="H3" s="185" t="s">
        <v>408</v>
      </c>
      <c r="I3" s="185">
        <v>1</v>
      </c>
      <c r="J3" s="185">
        <v>1</v>
      </c>
      <c r="K3" s="185">
        <v>0</v>
      </c>
      <c r="L3" s="185">
        <v>0</v>
      </c>
      <c r="M3" s="185">
        <v>0</v>
      </c>
      <c r="N3" s="185">
        <v>0</v>
      </c>
      <c r="O3" s="185">
        <v>1</v>
      </c>
      <c r="P3" s="185">
        <v>3000</v>
      </c>
      <c r="Q3" s="185" t="s">
        <v>170</v>
      </c>
      <c r="R3" s="185" t="s">
        <v>171</v>
      </c>
    </row>
    <row r="4" spans="1:18" x14ac:dyDescent="0.15">
      <c r="A4" s="185">
        <v>15028</v>
      </c>
      <c r="B4" s="185">
        <v>1</v>
      </c>
      <c r="C4" s="186" t="str">
        <f t="shared" si="0"/>
        <v>15028_1</v>
      </c>
      <c r="D4" s="18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185">
        <v>3</v>
      </c>
      <c r="F4" s="185" t="s">
        <v>410</v>
      </c>
      <c r="G4" s="185">
        <v>334</v>
      </c>
      <c r="H4" s="185">
        <v>1</v>
      </c>
      <c r="I4" s="185">
        <v>1</v>
      </c>
      <c r="J4" s="185">
        <v>1</v>
      </c>
      <c r="K4" s="185">
        <v>0</v>
      </c>
      <c r="L4" s="185">
        <v>0</v>
      </c>
      <c r="M4" s="185">
        <v>0</v>
      </c>
      <c r="N4" s="185">
        <v>0</v>
      </c>
      <c r="O4" s="185">
        <v>1</v>
      </c>
      <c r="P4" s="185">
        <v>500</v>
      </c>
      <c r="Q4" s="185" t="s">
        <v>170</v>
      </c>
      <c r="R4" s="185" t="s">
        <v>171</v>
      </c>
    </row>
    <row r="5" spans="1:18" x14ac:dyDescent="0.15">
      <c r="A5" s="185">
        <v>15028</v>
      </c>
      <c r="B5" s="185">
        <v>1</v>
      </c>
      <c r="C5" s="186" t="str">
        <f t="shared" si="0"/>
        <v>15028_1</v>
      </c>
      <c r="D5" s="18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85">
        <v>4</v>
      </c>
      <c r="F5" s="185" t="s">
        <v>410</v>
      </c>
      <c r="G5" s="185">
        <v>338</v>
      </c>
      <c r="H5" s="185">
        <v>1</v>
      </c>
      <c r="I5" s="185">
        <v>1</v>
      </c>
      <c r="J5" s="185">
        <v>1</v>
      </c>
      <c r="K5" s="185">
        <v>0</v>
      </c>
      <c r="L5" s="185">
        <v>0</v>
      </c>
      <c r="M5" s="185">
        <v>0</v>
      </c>
      <c r="N5" s="185">
        <v>0</v>
      </c>
      <c r="O5" s="185">
        <v>1</v>
      </c>
      <c r="P5" s="185">
        <v>500</v>
      </c>
      <c r="Q5" s="185" t="s">
        <v>170</v>
      </c>
      <c r="R5" s="185" t="s">
        <v>171</v>
      </c>
    </row>
    <row r="6" spans="1:18" x14ac:dyDescent="0.15">
      <c r="A6" s="185">
        <v>15028</v>
      </c>
      <c r="B6" s="185">
        <v>1</v>
      </c>
      <c r="C6" s="186" t="str">
        <f t="shared" si="0"/>
        <v>15028_1</v>
      </c>
      <c r="D6" s="18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185">
        <v>5</v>
      </c>
      <c r="F6" s="185" t="s">
        <v>410</v>
      </c>
      <c r="G6" s="185">
        <v>372</v>
      </c>
      <c r="H6" s="185">
        <v>1</v>
      </c>
      <c r="I6" s="185">
        <v>1</v>
      </c>
      <c r="J6" s="185">
        <v>1</v>
      </c>
      <c r="K6" s="185">
        <v>0</v>
      </c>
      <c r="L6" s="185">
        <v>0</v>
      </c>
      <c r="M6" s="185">
        <v>0</v>
      </c>
      <c r="N6" s="185">
        <v>0</v>
      </c>
      <c r="O6" s="185">
        <v>1</v>
      </c>
      <c r="P6" s="185">
        <v>111</v>
      </c>
      <c r="Q6" s="185" t="s">
        <v>170</v>
      </c>
      <c r="R6" s="185" t="s">
        <v>171</v>
      </c>
    </row>
    <row r="7" spans="1:18" x14ac:dyDescent="0.15">
      <c r="A7" s="185">
        <v>15028</v>
      </c>
      <c r="B7" s="185">
        <v>1</v>
      </c>
      <c r="C7" s="186" t="str">
        <f t="shared" si="0"/>
        <v>15028_1</v>
      </c>
      <c r="D7" s="18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85">
        <v>6</v>
      </c>
      <c r="F7" s="185" t="s">
        <v>410</v>
      </c>
      <c r="G7" s="185">
        <v>370</v>
      </c>
      <c r="H7" s="185">
        <v>1</v>
      </c>
      <c r="I7" s="185">
        <v>1</v>
      </c>
      <c r="J7" s="185">
        <v>1</v>
      </c>
      <c r="K7" s="185">
        <v>0</v>
      </c>
      <c r="L7" s="185">
        <v>0</v>
      </c>
      <c r="M7" s="185">
        <v>0</v>
      </c>
      <c r="N7" s="185">
        <v>0</v>
      </c>
      <c r="O7" s="185">
        <v>1</v>
      </c>
      <c r="P7" s="185">
        <v>111</v>
      </c>
      <c r="Q7" s="185" t="s">
        <v>170</v>
      </c>
      <c r="R7" s="185" t="s">
        <v>171</v>
      </c>
    </row>
    <row r="8" spans="1:18" x14ac:dyDescent="0.15">
      <c r="A8" s="185">
        <v>15028</v>
      </c>
      <c r="B8" s="185">
        <v>1</v>
      </c>
      <c r="C8" s="186" t="str">
        <f t="shared" si="0"/>
        <v>15028_1</v>
      </c>
      <c r="D8" s="18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85">
        <v>7</v>
      </c>
      <c r="F8" s="185" t="s">
        <v>410</v>
      </c>
      <c r="G8" s="185">
        <v>9</v>
      </c>
      <c r="H8" s="185">
        <v>1</v>
      </c>
      <c r="I8" s="185">
        <v>1</v>
      </c>
      <c r="J8" s="185">
        <v>1</v>
      </c>
      <c r="K8" s="185">
        <v>0</v>
      </c>
      <c r="L8" s="185">
        <v>0</v>
      </c>
      <c r="M8" s="185">
        <v>0</v>
      </c>
      <c r="N8" s="185">
        <v>0</v>
      </c>
      <c r="O8" s="185">
        <v>1</v>
      </c>
      <c r="P8" s="185">
        <v>111</v>
      </c>
      <c r="Q8" s="185" t="s">
        <v>170</v>
      </c>
      <c r="R8" s="185" t="s">
        <v>171</v>
      </c>
    </row>
    <row r="9" spans="1:18" x14ac:dyDescent="0.15">
      <c r="A9" s="185">
        <v>15028</v>
      </c>
      <c r="B9" s="185">
        <v>1</v>
      </c>
      <c r="C9" s="186" t="str">
        <f t="shared" si="0"/>
        <v>15028_1</v>
      </c>
      <c r="D9" s="18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85">
        <v>8</v>
      </c>
      <c r="F9" s="185" t="s">
        <v>410</v>
      </c>
      <c r="G9" s="185">
        <v>23</v>
      </c>
      <c r="H9" s="185">
        <v>1</v>
      </c>
      <c r="I9" s="185">
        <v>1</v>
      </c>
      <c r="J9" s="185">
        <v>1</v>
      </c>
      <c r="K9" s="185">
        <v>0</v>
      </c>
      <c r="L9" s="185">
        <v>0</v>
      </c>
      <c r="M9" s="185">
        <v>0</v>
      </c>
      <c r="N9" s="185">
        <v>0</v>
      </c>
      <c r="O9" s="185">
        <v>1</v>
      </c>
      <c r="P9" s="185">
        <v>111</v>
      </c>
      <c r="Q9" s="185" t="s">
        <v>170</v>
      </c>
      <c r="R9" s="185" t="s">
        <v>171</v>
      </c>
    </row>
    <row r="10" spans="1:18" x14ac:dyDescent="0.15">
      <c r="A10" s="185">
        <v>15028</v>
      </c>
      <c r="B10" s="185">
        <v>1</v>
      </c>
      <c r="C10" s="186" t="str">
        <f t="shared" si="0"/>
        <v>15028_1</v>
      </c>
      <c r="D10" s="18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85">
        <v>9</v>
      </c>
      <c r="F10" s="185" t="s">
        <v>410</v>
      </c>
      <c r="G10" s="185">
        <v>57</v>
      </c>
      <c r="H10" s="185">
        <v>1</v>
      </c>
      <c r="I10" s="185">
        <v>1</v>
      </c>
      <c r="J10" s="185">
        <v>1</v>
      </c>
      <c r="K10" s="185">
        <v>0</v>
      </c>
      <c r="L10" s="185">
        <v>0</v>
      </c>
      <c r="M10" s="185">
        <v>0</v>
      </c>
      <c r="N10" s="185">
        <v>0</v>
      </c>
      <c r="O10" s="185">
        <v>1</v>
      </c>
      <c r="P10" s="185">
        <v>111</v>
      </c>
      <c r="Q10" s="185" t="s">
        <v>170</v>
      </c>
      <c r="R10" s="185" t="s">
        <v>171</v>
      </c>
    </row>
    <row r="11" spans="1:18" x14ac:dyDescent="0.15">
      <c r="A11" s="185">
        <v>15028</v>
      </c>
      <c r="B11" s="185">
        <v>1</v>
      </c>
      <c r="C11" s="186" t="str">
        <f t="shared" si="0"/>
        <v>15028_1</v>
      </c>
      <c r="D11" s="18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85">
        <v>10</v>
      </c>
      <c r="F11" s="185" t="s">
        <v>410</v>
      </c>
      <c r="G11" s="185">
        <v>49</v>
      </c>
      <c r="H11" s="185">
        <v>1</v>
      </c>
      <c r="I11" s="185">
        <v>1</v>
      </c>
      <c r="J11" s="185">
        <v>1</v>
      </c>
      <c r="K11" s="185">
        <v>0</v>
      </c>
      <c r="L11" s="185">
        <v>0</v>
      </c>
      <c r="M11" s="185">
        <v>0</v>
      </c>
      <c r="N11" s="185">
        <v>0</v>
      </c>
      <c r="O11" s="185">
        <v>1</v>
      </c>
      <c r="P11" s="185">
        <v>111</v>
      </c>
      <c r="Q11" s="185" t="s">
        <v>170</v>
      </c>
      <c r="R11" s="185" t="s">
        <v>171</v>
      </c>
    </row>
    <row r="12" spans="1:18" x14ac:dyDescent="0.15">
      <c r="A12" s="185">
        <v>15028</v>
      </c>
      <c r="B12" s="185">
        <v>1</v>
      </c>
      <c r="C12" s="186" t="str">
        <f t="shared" si="0"/>
        <v>15028_1</v>
      </c>
      <c r="D12" s="18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85">
        <v>11</v>
      </c>
      <c r="F12" s="185" t="s">
        <v>410</v>
      </c>
      <c r="G12" s="185">
        <v>51</v>
      </c>
      <c r="H12" s="185">
        <v>1</v>
      </c>
      <c r="I12" s="185">
        <v>1</v>
      </c>
      <c r="J12" s="185">
        <v>1</v>
      </c>
      <c r="K12" s="185">
        <v>0</v>
      </c>
      <c r="L12" s="185">
        <v>0</v>
      </c>
      <c r="M12" s="185">
        <v>0</v>
      </c>
      <c r="N12" s="185">
        <v>0</v>
      </c>
      <c r="O12" s="185">
        <v>1</v>
      </c>
      <c r="P12" s="185">
        <v>111</v>
      </c>
      <c r="Q12" s="185" t="s">
        <v>170</v>
      </c>
      <c r="R12" s="185" t="s">
        <v>171</v>
      </c>
    </row>
    <row r="13" spans="1:18" x14ac:dyDescent="0.15">
      <c r="A13" s="185">
        <v>15028</v>
      </c>
      <c r="B13" s="185">
        <v>1</v>
      </c>
      <c r="C13" s="186" t="str">
        <f t="shared" si="0"/>
        <v>15028_1</v>
      </c>
      <c r="D13" s="18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85">
        <v>12</v>
      </c>
      <c r="F13" s="185" t="s">
        <v>410</v>
      </c>
      <c r="G13" s="185">
        <v>59</v>
      </c>
      <c r="H13" s="185">
        <v>1</v>
      </c>
      <c r="I13" s="185">
        <v>1</v>
      </c>
      <c r="J13" s="185">
        <v>1</v>
      </c>
      <c r="K13" s="185">
        <v>0</v>
      </c>
      <c r="L13" s="185">
        <v>0</v>
      </c>
      <c r="M13" s="185">
        <v>0</v>
      </c>
      <c r="N13" s="185">
        <v>0</v>
      </c>
      <c r="O13" s="185">
        <v>1</v>
      </c>
      <c r="P13" s="185">
        <v>111</v>
      </c>
      <c r="Q13" s="185" t="s">
        <v>170</v>
      </c>
      <c r="R13" s="185" t="s">
        <v>171</v>
      </c>
    </row>
    <row r="14" spans="1:18" x14ac:dyDescent="0.15">
      <c r="A14" s="185">
        <v>15028</v>
      </c>
      <c r="B14" s="185">
        <v>1</v>
      </c>
      <c r="C14" s="186" t="str">
        <f t="shared" si="0"/>
        <v>15028_1</v>
      </c>
      <c r="D14" s="187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85">
        <v>13</v>
      </c>
      <c r="F14" s="185" t="s">
        <v>410</v>
      </c>
      <c r="G14" s="185">
        <v>70</v>
      </c>
      <c r="H14" s="185">
        <v>1</v>
      </c>
      <c r="I14" s="185">
        <v>1</v>
      </c>
      <c r="J14" s="185">
        <v>1</v>
      </c>
      <c r="K14" s="185">
        <v>0</v>
      </c>
      <c r="L14" s="185">
        <v>0</v>
      </c>
      <c r="M14" s="185">
        <v>0</v>
      </c>
      <c r="N14" s="185">
        <v>0</v>
      </c>
      <c r="O14" s="185">
        <v>1</v>
      </c>
      <c r="P14" s="185">
        <v>111</v>
      </c>
      <c r="Q14" s="185" t="s">
        <v>170</v>
      </c>
      <c r="R14" s="185" t="s">
        <v>171</v>
      </c>
    </row>
    <row r="15" spans="1:18" x14ac:dyDescent="0.15">
      <c r="A15" s="185">
        <v>15028</v>
      </c>
      <c r="B15" s="185">
        <v>1</v>
      </c>
      <c r="C15" s="186" t="str">
        <f t="shared" si="0"/>
        <v>15028_1</v>
      </c>
      <c r="D15" s="18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85">
        <v>14</v>
      </c>
      <c r="F15" s="185" t="s">
        <v>410</v>
      </c>
      <c r="G15" s="185">
        <v>352</v>
      </c>
      <c r="H15" s="185">
        <v>1</v>
      </c>
      <c r="I15" s="185">
        <v>1</v>
      </c>
      <c r="J15" s="185">
        <v>1</v>
      </c>
      <c r="K15" s="185">
        <v>0</v>
      </c>
      <c r="L15" s="185">
        <v>0</v>
      </c>
      <c r="M15" s="185">
        <v>0</v>
      </c>
      <c r="N15" s="185">
        <v>0</v>
      </c>
      <c r="O15" s="185">
        <v>1</v>
      </c>
      <c r="P15" s="185">
        <v>1500</v>
      </c>
      <c r="Q15" s="185" t="s">
        <v>170</v>
      </c>
      <c r="R15" s="185" t="s">
        <v>171</v>
      </c>
    </row>
    <row r="16" spans="1:18" x14ac:dyDescent="0.15">
      <c r="A16" s="185">
        <v>15028</v>
      </c>
      <c r="B16" s="185">
        <v>1</v>
      </c>
      <c r="C16" s="186" t="str">
        <f t="shared" si="0"/>
        <v>15028_1</v>
      </c>
      <c r="D16" s="18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85">
        <v>15</v>
      </c>
      <c r="F16" s="185" t="s">
        <v>410</v>
      </c>
      <c r="G16" s="185">
        <v>354</v>
      </c>
      <c r="H16" s="185">
        <v>1</v>
      </c>
      <c r="I16" s="185">
        <v>1</v>
      </c>
      <c r="J16" s="185">
        <v>1</v>
      </c>
      <c r="K16" s="185">
        <v>0</v>
      </c>
      <c r="L16" s="185">
        <v>0</v>
      </c>
      <c r="M16" s="185">
        <v>0</v>
      </c>
      <c r="N16" s="185">
        <v>0</v>
      </c>
      <c r="O16" s="185">
        <v>1</v>
      </c>
      <c r="P16" s="185">
        <v>1500</v>
      </c>
      <c r="Q16" s="185" t="s">
        <v>170</v>
      </c>
      <c r="R16" s="185" t="s">
        <v>171</v>
      </c>
    </row>
    <row r="17" spans="1:18" x14ac:dyDescent="0.15">
      <c r="A17" s="185">
        <v>15028</v>
      </c>
      <c r="B17" s="77">
        <v>2</v>
      </c>
      <c r="C17" s="66" t="str">
        <f t="shared" si="0"/>
        <v>15028_2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85">
        <v>16</v>
      </c>
      <c r="F17" s="77" t="s">
        <v>169</v>
      </c>
      <c r="G17" s="77">
        <v>3200</v>
      </c>
      <c r="H17" s="77" t="s">
        <v>408</v>
      </c>
      <c r="I17" s="77">
        <v>1</v>
      </c>
      <c r="J17" s="77">
        <v>1</v>
      </c>
      <c r="K17" s="77">
        <v>0</v>
      </c>
      <c r="L17" s="77">
        <v>0</v>
      </c>
      <c r="M17" s="77">
        <v>0</v>
      </c>
      <c r="N17" s="77">
        <v>0</v>
      </c>
      <c r="O17" s="77">
        <v>1</v>
      </c>
      <c r="P17" s="77">
        <v>2000</v>
      </c>
      <c r="Q17" s="77" t="s">
        <v>170</v>
      </c>
      <c r="R17" s="77" t="s">
        <v>171</v>
      </c>
    </row>
    <row r="18" spans="1:18" x14ac:dyDescent="0.15">
      <c r="A18" s="185">
        <v>15028</v>
      </c>
      <c r="B18" s="77">
        <v>2</v>
      </c>
      <c r="C18" s="66" t="str">
        <f t="shared" si="0"/>
        <v>15028_2</v>
      </c>
      <c r="D18" s="1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85">
        <v>17</v>
      </c>
      <c r="F18" s="77" t="s">
        <v>409</v>
      </c>
      <c r="G18" s="77">
        <v>25</v>
      </c>
      <c r="H18" s="77" t="s">
        <v>408</v>
      </c>
      <c r="I18" s="77">
        <v>1</v>
      </c>
      <c r="J18" s="77">
        <v>1</v>
      </c>
      <c r="K18" s="77">
        <v>0</v>
      </c>
      <c r="L18" s="77">
        <v>0</v>
      </c>
      <c r="M18" s="77">
        <v>0</v>
      </c>
      <c r="N18" s="77">
        <v>0</v>
      </c>
      <c r="O18" s="77">
        <v>1</v>
      </c>
      <c r="P18" s="77">
        <v>3000</v>
      </c>
      <c r="Q18" s="77" t="s">
        <v>170</v>
      </c>
      <c r="R18" s="77" t="s">
        <v>171</v>
      </c>
    </row>
    <row r="19" spans="1:18" x14ac:dyDescent="0.15">
      <c r="A19" s="185">
        <v>15028</v>
      </c>
      <c r="B19" s="77">
        <v>2</v>
      </c>
      <c r="C19" s="66" t="str">
        <f t="shared" si="0"/>
        <v>15028_2</v>
      </c>
      <c r="D19" s="17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85">
        <v>18</v>
      </c>
      <c r="F19" s="77" t="s">
        <v>410</v>
      </c>
      <c r="G19" s="185">
        <v>334</v>
      </c>
      <c r="H19" s="77">
        <v>1</v>
      </c>
      <c r="I19" s="77">
        <v>1</v>
      </c>
      <c r="J19" s="77">
        <v>1</v>
      </c>
      <c r="K19" s="77">
        <v>0</v>
      </c>
      <c r="L19" s="77">
        <v>0</v>
      </c>
      <c r="M19" s="77">
        <v>0</v>
      </c>
      <c r="N19" s="77">
        <v>0</v>
      </c>
      <c r="O19" s="77">
        <v>1</v>
      </c>
      <c r="P19" s="77">
        <v>500</v>
      </c>
      <c r="Q19" s="77" t="s">
        <v>170</v>
      </c>
      <c r="R19" s="77" t="s">
        <v>171</v>
      </c>
    </row>
    <row r="20" spans="1:18" x14ac:dyDescent="0.15">
      <c r="A20" s="185">
        <v>15028</v>
      </c>
      <c r="B20" s="77">
        <v>2</v>
      </c>
      <c r="C20" s="66" t="str">
        <f t="shared" si="0"/>
        <v>15028_2</v>
      </c>
      <c r="D20" s="17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185">
        <v>19</v>
      </c>
      <c r="F20" s="77" t="s">
        <v>410</v>
      </c>
      <c r="G20" s="185">
        <v>338</v>
      </c>
      <c r="H20" s="77">
        <v>1</v>
      </c>
      <c r="I20" s="77">
        <v>1</v>
      </c>
      <c r="J20" s="77">
        <v>1</v>
      </c>
      <c r="K20" s="77">
        <v>0</v>
      </c>
      <c r="L20" s="77">
        <v>0</v>
      </c>
      <c r="M20" s="77">
        <v>0</v>
      </c>
      <c r="N20" s="77">
        <v>0</v>
      </c>
      <c r="O20" s="77">
        <v>1</v>
      </c>
      <c r="P20" s="77">
        <v>500</v>
      </c>
      <c r="Q20" s="77" t="s">
        <v>170</v>
      </c>
      <c r="R20" s="77" t="s">
        <v>171</v>
      </c>
    </row>
    <row r="21" spans="1:18" x14ac:dyDescent="0.15">
      <c r="A21" s="185">
        <v>15028</v>
      </c>
      <c r="B21" s="77">
        <v>2</v>
      </c>
      <c r="C21" s="66" t="str">
        <f t="shared" si="0"/>
        <v>15028_2</v>
      </c>
      <c r="D21" s="17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85">
        <v>20</v>
      </c>
      <c r="F21" s="77" t="s">
        <v>410</v>
      </c>
      <c r="G21" s="77">
        <v>21</v>
      </c>
      <c r="H21" s="77">
        <v>1</v>
      </c>
      <c r="I21" s="77">
        <v>1</v>
      </c>
      <c r="J21" s="77">
        <v>1</v>
      </c>
      <c r="K21" s="77">
        <v>0</v>
      </c>
      <c r="L21" s="77">
        <v>0</v>
      </c>
      <c r="M21" s="77">
        <v>0</v>
      </c>
      <c r="N21" s="77">
        <v>0</v>
      </c>
      <c r="O21" s="77">
        <v>1</v>
      </c>
      <c r="P21" s="77">
        <v>200</v>
      </c>
      <c r="Q21" s="77" t="s">
        <v>170</v>
      </c>
      <c r="R21" s="77" t="s">
        <v>171</v>
      </c>
    </row>
    <row r="22" spans="1:18" x14ac:dyDescent="0.15">
      <c r="A22" s="185">
        <v>15028</v>
      </c>
      <c r="B22" s="77">
        <v>2</v>
      </c>
      <c r="C22" s="66" t="str">
        <f t="shared" si="0"/>
        <v>15028_2</v>
      </c>
      <c r="D22" s="17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85">
        <v>21</v>
      </c>
      <c r="F22" s="77" t="s">
        <v>410</v>
      </c>
      <c r="G22" s="77">
        <v>44</v>
      </c>
      <c r="H22" s="77">
        <v>1</v>
      </c>
      <c r="I22" s="77">
        <v>1</v>
      </c>
      <c r="J22" s="77">
        <v>1</v>
      </c>
      <c r="K22" s="77">
        <v>0</v>
      </c>
      <c r="L22" s="77">
        <v>0</v>
      </c>
      <c r="M22" s="77">
        <v>0</v>
      </c>
      <c r="N22" s="77">
        <v>0</v>
      </c>
      <c r="O22" s="77">
        <v>1</v>
      </c>
      <c r="P22" s="77">
        <v>200</v>
      </c>
      <c r="Q22" s="77" t="s">
        <v>170</v>
      </c>
      <c r="R22" s="77" t="s">
        <v>171</v>
      </c>
    </row>
    <row r="23" spans="1:18" x14ac:dyDescent="0.15">
      <c r="A23" s="185">
        <v>15028</v>
      </c>
      <c r="B23" s="77">
        <v>2</v>
      </c>
      <c r="C23" s="66" t="str">
        <f t="shared" si="0"/>
        <v>15028_2</v>
      </c>
      <c r="D23" s="17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85">
        <v>22</v>
      </c>
      <c r="F23" s="77" t="s">
        <v>410</v>
      </c>
      <c r="G23" s="77">
        <v>372</v>
      </c>
      <c r="H23" s="77">
        <v>1</v>
      </c>
      <c r="I23" s="77">
        <v>1</v>
      </c>
      <c r="J23" s="77">
        <v>1</v>
      </c>
      <c r="K23" s="77">
        <v>0</v>
      </c>
      <c r="L23" s="77">
        <v>0</v>
      </c>
      <c r="M23" s="77">
        <v>0</v>
      </c>
      <c r="N23" s="77">
        <v>0</v>
      </c>
      <c r="O23" s="77">
        <v>1</v>
      </c>
      <c r="P23" s="77">
        <v>200</v>
      </c>
      <c r="Q23" s="77" t="s">
        <v>170</v>
      </c>
      <c r="R23" s="77" t="s">
        <v>171</v>
      </c>
    </row>
    <row r="24" spans="1:18" x14ac:dyDescent="0.15">
      <c r="A24" s="185">
        <v>15028</v>
      </c>
      <c r="B24" s="77">
        <v>2</v>
      </c>
      <c r="C24" s="66" t="str">
        <f t="shared" si="0"/>
        <v>15028_2</v>
      </c>
      <c r="D24" s="17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185">
        <v>23</v>
      </c>
      <c r="F24" s="77" t="s">
        <v>410</v>
      </c>
      <c r="G24" s="77">
        <v>28</v>
      </c>
      <c r="H24" s="77">
        <v>1</v>
      </c>
      <c r="I24" s="77">
        <v>1</v>
      </c>
      <c r="J24" s="77">
        <v>1</v>
      </c>
      <c r="K24" s="77">
        <v>0</v>
      </c>
      <c r="L24" s="77">
        <v>0</v>
      </c>
      <c r="M24" s="77">
        <v>0</v>
      </c>
      <c r="N24" s="77">
        <v>0</v>
      </c>
      <c r="O24" s="77">
        <v>1</v>
      </c>
      <c r="P24" s="77">
        <v>200</v>
      </c>
      <c r="Q24" s="77" t="s">
        <v>170</v>
      </c>
      <c r="R24" s="77" t="s">
        <v>171</v>
      </c>
    </row>
    <row r="25" spans="1:18" x14ac:dyDescent="0.15">
      <c r="A25" s="185">
        <v>15028</v>
      </c>
      <c r="B25" s="77">
        <v>2</v>
      </c>
      <c r="C25" s="66" t="str">
        <f t="shared" si="0"/>
        <v>15028_2</v>
      </c>
      <c r="D25" s="17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185">
        <v>24</v>
      </c>
      <c r="F25" s="77" t="s">
        <v>410</v>
      </c>
      <c r="G25" s="77">
        <v>36</v>
      </c>
      <c r="H25" s="77">
        <v>1</v>
      </c>
      <c r="I25" s="77">
        <v>1</v>
      </c>
      <c r="J25" s="77">
        <v>1</v>
      </c>
      <c r="K25" s="77">
        <v>0</v>
      </c>
      <c r="L25" s="77">
        <v>0</v>
      </c>
      <c r="M25" s="77">
        <v>0</v>
      </c>
      <c r="N25" s="77">
        <v>0</v>
      </c>
      <c r="O25" s="77">
        <v>1</v>
      </c>
      <c r="P25" s="77">
        <v>200</v>
      </c>
      <c r="Q25" s="77" t="s">
        <v>170</v>
      </c>
      <c r="R25" s="77" t="s">
        <v>171</v>
      </c>
    </row>
    <row r="26" spans="1:18" x14ac:dyDescent="0.15">
      <c r="A26" s="185">
        <v>15028</v>
      </c>
      <c r="B26" s="77">
        <v>2</v>
      </c>
      <c r="C26" s="66" t="str">
        <f t="shared" si="0"/>
        <v>15028_2</v>
      </c>
      <c r="D26" s="17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85">
        <v>25</v>
      </c>
      <c r="F26" s="77" t="s">
        <v>410</v>
      </c>
      <c r="G26" s="77">
        <v>352</v>
      </c>
      <c r="H26" s="77">
        <v>1</v>
      </c>
      <c r="I26" s="77">
        <v>1</v>
      </c>
      <c r="J26" s="77">
        <v>1</v>
      </c>
      <c r="K26" s="77">
        <v>0</v>
      </c>
      <c r="L26" s="77">
        <v>0</v>
      </c>
      <c r="M26" s="77">
        <v>0</v>
      </c>
      <c r="N26" s="77">
        <v>0</v>
      </c>
      <c r="O26" s="77">
        <v>1</v>
      </c>
      <c r="P26" s="77">
        <v>1500</v>
      </c>
      <c r="Q26" s="77" t="s">
        <v>170</v>
      </c>
      <c r="R26" s="77" t="s">
        <v>171</v>
      </c>
    </row>
    <row r="27" spans="1:18" x14ac:dyDescent="0.15">
      <c r="A27" s="185">
        <v>15028</v>
      </c>
      <c r="B27" s="77">
        <v>2</v>
      </c>
      <c r="C27" s="66" t="str">
        <f t="shared" si="0"/>
        <v>15028_2</v>
      </c>
      <c r="D27" s="17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185">
        <v>26</v>
      </c>
      <c r="F27" s="77" t="s">
        <v>410</v>
      </c>
      <c r="G27" s="77">
        <v>354</v>
      </c>
      <c r="H27" s="77">
        <v>1</v>
      </c>
      <c r="I27" s="77">
        <v>1</v>
      </c>
      <c r="J27" s="77">
        <v>1</v>
      </c>
      <c r="K27" s="77">
        <v>0</v>
      </c>
      <c r="L27" s="77">
        <v>0</v>
      </c>
      <c r="M27" s="77">
        <v>0</v>
      </c>
      <c r="N27" s="77">
        <v>0</v>
      </c>
      <c r="O27" s="77">
        <v>1</v>
      </c>
      <c r="P27" s="77">
        <v>1500</v>
      </c>
      <c r="Q27" s="77" t="s">
        <v>170</v>
      </c>
      <c r="R27" s="77" t="s">
        <v>171</v>
      </c>
    </row>
    <row r="28" spans="1:18" x14ac:dyDescent="0.15">
      <c r="A28" s="185">
        <v>15028</v>
      </c>
      <c r="B28" s="185">
        <v>3</v>
      </c>
      <c r="C28" s="186" t="str">
        <f t="shared" si="0"/>
        <v>15028_3</v>
      </c>
      <c r="D28" s="187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185">
        <v>27</v>
      </c>
      <c r="F28" s="185" t="s">
        <v>169</v>
      </c>
      <c r="G28" s="185">
        <v>3500</v>
      </c>
      <c r="H28" s="185" t="s">
        <v>408</v>
      </c>
      <c r="I28" s="185">
        <v>1</v>
      </c>
      <c r="J28" s="185">
        <v>1</v>
      </c>
      <c r="K28" s="185">
        <v>0</v>
      </c>
      <c r="L28" s="185">
        <v>0</v>
      </c>
      <c r="M28" s="185">
        <v>0</v>
      </c>
      <c r="N28" s="185">
        <v>0</v>
      </c>
      <c r="O28" s="185">
        <v>1</v>
      </c>
      <c r="P28" s="185">
        <v>2000</v>
      </c>
      <c r="Q28" s="185" t="s">
        <v>170</v>
      </c>
      <c r="R28" s="185" t="s">
        <v>171</v>
      </c>
    </row>
    <row r="29" spans="1:18" x14ac:dyDescent="0.15">
      <c r="A29" s="185">
        <v>15028</v>
      </c>
      <c r="B29" s="185">
        <v>3</v>
      </c>
      <c r="C29" s="186" t="str">
        <f t="shared" si="0"/>
        <v>15028_3</v>
      </c>
      <c r="D29" s="187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185">
        <v>28</v>
      </c>
      <c r="F29" s="185" t="s">
        <v>409</v>
      </c>
      <c r="G29" s="185">
        <v>25</v>
      </c>
      <c r="H29" s="185" t="s">
        <v>408</v>
      </c>
      <c r="I29" s="185">
        <v>1</v>
      </c>
      <c r="J29" s="185">
        <v>1</v>
      </c>
      <c r="K29" s="185">
        <v>0</v>
      </c>
      <c r="L29" s="185">
        <v>0</v>
      </c>
      <c r="M29" s="185">
        <v>0</v>
      </c>
      <c r="N29" s="185">
        <v>0</v>
      </c>
      <c r="O29" s="185">
        <v>1</v>
      </c>
      <c r="P29" s="185">
        <v>3000</v>
      </c>
      <c r="Q29" s="185" t="s">
        <v>170</v>
      </c>
      <c r="R29" s="185" t="s">
        <v>171</v>
      </c>
    </row>
    <row r="30" spans="1:18" x14ac:dyDescent="0.15">
      <c r="A30" s="185">
        <v>15028</v>
      </c>
      <c r="B30" s="185">
        <v>3</v>
      </c>
      <c r="C30" s="186" t="str">
        <f t="shared" si="0"/>
        <v>15028_3</v>
      </c>
      <c r="D30" s="187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185">
        <v>29</v>
      </c>
      <c r="F30" s="185" t="s">
        <v>410</v>
      </c>
      <c r="G30" s="185">
        <v>334</v>
      </c>
      <c r="H30" s="185">
        <v>1</v>
      </c>
      <c r="I30" s="185">
        <v>1</v>
      </c>
      <c r="J30" s="185">
        <v>1</v>
      </c>
      <c r="K30" s="185">
        <v>0</v>
      </c>
      <c r="L30" s="185">
        <v>0</v>
      </c>
      <c r="M30" s="185">
        <v>0</v>
      </c>
      <c r="N30" s="185">
        <v>0</v>
      </c>
      <c r="O30" s="185">
        <v>1</v>
      </c>
      <c r="P30" s="185">
        <v>500</v>
      </c>
      <c r="Q30" s="185" t="s">
        <v>170</v>
      </c>
      <c r="R30" s="185" t="s">
        <v>171</v>
      </c>
    </row>
    <row r="31" spans="1:18" x14ac:dyDescent="0.15">
      <c r="A31" s="185">
        <v>15028</v>
      </c>
      <c r="B31" s="185">
        <v>3</v>
      </c>
      <c r="C31" s="186" t="str">
        <f t="shared" si="0"/>
        <v>15028_3</v>
      </c>
      <c r="D31" s="187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185">
        <v>30</v>
      </c>
      <c r="F31" s="185" t="s">
        <v>410</v>
      </c>
      <c r="G31" s="185">
        <v>338</v>
      </c>
      <c r="H31" s="185">
        <v>1</v>
      </c>
      <c r="I31" s="185">
        <v>1</v>
      </c>
      <c r="J31" s="185">
        <v>1</v>
      </c>
      <c r="K31" s="185">
        <v>0</v>
      </c>
      <c r="L31" s="185">
        <v>0</v>
      </c>
      <c r="M31" s="185">
        <v>0</v>
      </c>
      <c r="N31" s="185">
        <v>0</v>
      </c>
      <c r="O31" s="185">
        <v>1</v>
      </c>
      <c r="P31" s="185">
        <v>500</v>
      </c>
      <c r="Q31" s="185" t="s">
        <v>170</v>
      </c>
      <c r="R31" s="185" t="s">
        <v>171</v>
      </c>
    </row>
    <row r="32" spans="1:18" x14ac:dyDescent="0.15">
      <c r="A32" s="185">
        <v>15028</v>
      </c>
      <c r="B32" s="185">
        <v>3</v>
      </c>
      <c r="C32" s="186" t="str">
        <f t="shared" si="0"/>
        <v>15028_3</v>
      </c>
      <c r="D32" s="187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85">
        <v>31</v>
      </c>
      <c r="F32" s="185" t="s">
        <v>410</v>
      </c>
      <c r="G32" s="185">
        <v>2</v>
      </c>
      <c r="H32" s="185">
        <v>1</v>
      </c>
      <c r="I32" s="185">
        <v>1</v>
      </c>
      <c r="J32" s="185">
        <v>1</v>
      </c>
      <c r="K32" s="185">
        <v>0</v>
      </c>
      <c r="L32" s="185">
        <v>0</v>
      </c>
      <c r="M32" s="185">
        <v>0</v>
      </c>
      <c r="N32" s="185">
        <v>0</v>
      </c>
      <c r="O32" s="185">
        <v>1</v>
      </c>
      <c r="P32" s="185">
        <v>200</v>
      </c>
      <c r="Q32" s="185" t="s">
        <v>170</v>
      </c>
      <c r="R32" s="185" t="s">
        <v>171</v>
      </c>
    </row>
    <row r="33" spans="1:18" x14ac:dyDescent="0.15">
      <c r="A33" s="185">
        <v>15028</v>
      </c>
      <c r="B33" s="185">
        <v>3</v>
      </c>
      <c r="C33" s="186" t="str">
        <f t="shared" si="0"/>
        <v>15028_3</v>
      </c>
      <c r="D33" s="187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185">
        <v>32</v>
      </c>
      <c r="F33" s="185" t="s">
        <v>410</v>
      </c>
      <c r="G33" s="185">
        <v>12</v>
      </c>
      <c r="H33" s="185">
        <v>1</v>
      </c>
      <c r="I33" s="185">
        <v>1</v>
      </c>
      <c r="J33" s="185">
        <v>1</v>
      </c>
      <c r="K33" s="185">
        <v>0</v>
      </c>
      <c r="L33" s="185">
        <v>0</v>
      </c>
      <c r="M33" s="185">
        <v>0</v>
      </c>
      <c r="N33" s="185">
        <v>0</v>
      </c>
      <c r="O33" s="185">
        <v>1</v>
      </c>
      <c r="P33" s="185">
        <v>200</v>
      </c>
      <c r="Q33" s="185" t="s">
        <v>170</v>
      </c>
      <c r="R33" s="185" t="s">
        <v>171</v>
      </c>
    </row>
    <row r="34" spans="1:18" x14ac:dyDescent="0.15">
      <c r="A34" s="185">
        <v>15028</v>
      </c>
      <c r="B34" s="185">
        <v>3</v>
      </c>
      <c r="C34" s="186" t="str">
        <f t="shared" si="0"/>
        <v>15028_3</v>
      </c>
      <c r="D34" s="187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185">
        <v>33</v>
      </c>
      <c r="F34" s="185" t="s">
        <v>410</v>
      </c>
      <c r="G34" s="185">
        <v>16</v>
      </c>
      <c r="H34" s="185">
        <v>1</v>
      </c>
      <c r="I34" s="185">
        <v>1</v>
      </c>
      <c r="J34" s="185">
        <v>1</v>
      </c>
      <c r="K34" s="185">
        <v>0</v>
      </c>
      <c r="L34" s="185">
        <v>0</v>
      </c>
      <c r="M34" s="185">
        <v>0</v>
      </c>
      <c r="N34" s="185">
        <v>0</v>
      </c>
      <c r="O34" s="185">
        <v>1</v>
      </c>
      <c r="P34" s="185">
        <v>200</v>
      </c>
      <c r="Q34" s="185" t="s">
        <v>170</v>
      </c>
      <c r="R34" s="185" t="s">
        <v>171</v>
      </c>
    </row>
    <row r="35" spans="1:18" x14ac:dyDescent="0.15">
      <c r="A35" s="185">
        <v>15028</v>
      </c>
      <c r="B35" s="185">
        <v>3</v>
      </c>
      <c r="C35" s="186" t="str">
        <f t="shared" si="0"/>
        <v>15028_3</v>
      </c>
      <c r="D35" s="187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185">
        <v>34</v>
      </c>
      <c r="F35" s="185" t="s">
        <v>410</v>
      </c>
      <c r="G35" s="185">
        <v>370</v>
      </c>
      <c r="H35" s="185">
        <v>1</v>
      </c>
      <c r="I35" s="185">
        <v>1</v>
      </c>
      <c r="J35" s="185">
        <v>1</v>
      </c>
      <c r="K35" s="185">
        <v>0</v>
      </c>
      <c r="L35" s="185">
        <v>0</v>
      </c>
      <c r="M35" s="185">
        <v>0</v>
      </c>
      <c r="N35" s="185">
        <v>0</v>
      </c>
      <c r="O35" s="185">
        <v>1</v>
      </c>
      <c r="P35" s="185">
        <v>200</v>
      </c>
      <c r="Q35" s="185" t="s">
        <v>170</v>
      </c>
      <c r="R35" s="185" t="s">
        <v>171</v>
      </c>
    </row>
    <row r="36" spans="1:18" x14ac:dyDescent="0.15">
      <c r="A36" s="185">
        <v>15028</v>
      </c>
      <c r="B36" s="185">
        <v>3</v>
      </c>
      <c r="C36" s="186" t="str">
        <f t="shared" si="0"/>
        <v>15028_3</v>
      </c>
      <c r="D36" s="187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185">
        <v>35</v>
      </c>
      <c r="F36" s="185" t="s">
        <v>410</v>
      </c>
      <c r="G36" s="185">
        <v>4</v>
      </c>
      <c r="H36" s="185">
        <v>1</v>
      </c>
      <c r="I36" s="185">
        <v>1</v>
      </c>
      <c r="J36" s="185">
        <v>1</v>
      </c>
      <c r="K36" s="185">
        <v>0</v>
      </c>
      <c r="L36" s="185">
        <v>0</v>
      </c>
      <c r="M36" s="185">
        <v>0</v>
      </c>
      <c r="N36" s="185">
        <v>0</v>
      </c>
      <c r="O36" s="185">
        <v>1</v>
      </c>
      <c r="P36" s="185">
        <v>200</v>
      </c>
      <c r="Q36" s="185" t="s">
        <v>170</v>
      </c>
      <c r="R36" s="185" t="s">
        <v>171</v>
      </c>
    </row>
    <row r="37" spans="1:18" x14ac:dyDescent="0.15">
      <c r="A37" s="185">
        <v>15028</v>
      </c>
      <c r="B37" s="185">
        <v>3</v>
      </c>
      <c r="C37" s="186" t="str">
        <f t="shared" si="0"/>
        <v>15028_3</v>
      </c>
      <c r="D37" s="187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185">
        <v>36</v>
      </c>
      <c r="F37" s="185" t="s">
        <v>410</v>
      </c>
      <c r="G37" s="185">
        <v>352</v>
      </c>
      <c r="H37" s="185">
        <v>1</v>
      </c>
      <c r="I37" s="185">
        <v>1</v>
      </c>
      <c r="J37" s="185">
        <v>1</v>
      </c>
      <c r="K37" s="185">
        <v>0</v>
      </c>
      <c r="L37" s="185">
        <v>0</v>
      </c>
      <c r="M37" s="185">
        <v>0</v>
      </c>
      <c r="N37" s="185">
        <v>0</v>
      </c>
      <c r="O37" s="185">
        <v>1</v>
      </c>
      <c r="P37" s="185">
        <v>1500</v>
      </c>
      <c r="Q37" s="185" t="s">
        <v>170</v>
      </c>
      <c r="R37" s="185" t="s">
        <v>171</v>
      </c>
    </row>
    <row r="38" spans="1:18" x14ac:dyDescent="0.15">
      <c r="A38" s="185">
        <v>15028</v>
      </c>
      <c r="B38" s="185">
        <v>3</v>
      </c>
      <c r="C38" s="186" t="str">
        <f t="shared" si="0"/>
        <v>15028_3</v>
      </c>
      <c r="D38" s="187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185">
        <v>37</v>
      </c>
      <c r="F38" s="185" t="s">
        <v>410</v>
      </c>
      <c r="G38" s="185">
        <v>354</v>
      </c>
      <c r="H38" s="185">
        <v>1</v>
      </c>
      <c r="I38" s="185">
        <v>1</v>
      </c>
      <c r="J38" s="185">
        <v>1</v>
      </c>
      <c r="K38" s="185">
        <v>0</v>
      </c>
      <c r="L38" s="185">
        <v>0</v>
      </c>
      <c r="M38" s="185">
        <v>0</v>
      </c>
      <c r="N38" s="185">
        <v>0</v>
      </c>
      <c r="O38" s="185">
        <v>1</v>
      </c>
      <c r="P38" s="185">
        <v>1500</v>
      </c>
      <c r="Q38" s="185" t="s">
        <v>170</v>
      </c>
      <c r="R38" s="185" t="s">
        <v>171</v>
      </c>
    </row>
    <row r="39" spans="1:18" x14ac:dyDescent="0.15">
      <c r="A39" s="185">
        <v>15028</v>
      </c>
      <c r="B39" s="77">
        <v>4</v>
      </c>
      <c r="C39" s="66" t="str">
        <f t="shared" si="0"/>
        <v>15028_4</v>
      </c>
      <c r="D39" s="17" t="str">
        <f ca="1">VLOOKUP($C39,OFFSET([2]stages!$A$1,0,0,COUNTA([2]stages!$A:$A),MATCH(D$1,[2]stages!$2:$2,0)-MATCH($C$1,[2]stages!$2:$2,0)+1),MATCH(D$1,[2]stages!$2:$2,0)-MATCH($C$1,[2]stages!$2:$2,0)+1,FALSE)</f>
        <v>singleonly</v>
      </c>
      <c r="E39" s="185">
        <v>38</v>
      </c>
      <c r="F39" s="77" t="s">
        <v>410</v>
      </c>
      <c r="G39" s="53">
        <v>335</v>
      </c>
      <c r="H39" s="77">
        <v>1</v>
      </c>
      <c r="I39" s="77">
        <v>1</v>
      </c>
      <c r="J39" s="77">
        <v>1</v>
      </c>
      <c r="K39" s="77">
        <v>0</v>
      </c>
      <c r="L39" s="77">
        <v>0</v>
      </c>
      <c r="M39" s="77">
        <v>0</v>
      </c>
      <c r="N39" s="77">
        <v>0</v>
      </c>
      <c r="O39" s="77">
        <v>1</v>
      </c>
      <c r="P39" s="53">
        <v>5000</v>
      </c>
      <c r="Q39" s="77" t="s">
        <v>411</v>
      </c>
      <c r="R39" s="77" t="s">
        <v>412</v>
      </c>
    </row>
    <row r="40" spans="1:18" x14ac:dyDescent="0.15">
      <c r="A40" s="185">
        <v>15028</v>
      </c>
      <c r="B40" s="77">
        <v>4</v>
      </c>
      <c r="C40" s="66" t="str">
        <f t="shared" si="0"/>
        <v>15028_4</v>
      </c>
      <c r="D40" s="17" t="str">
        <f ca="1">VLOOKUP($C40,OFFSET([2]stages!$A$1,0,0,COUNTA([2]stages!$A:$A),MATCH(D$1,[2]stages!$2:$2,0)-MATCH($C$1,[2]stages!$2:$2,0)+1),MATCH(D$1,[2]stages!$2:$2,0)-MATCH($C$1,[2]stages!$2:$2,0)+1,FALSE)</f>
        <v>singleonly</v>
      </c>
      <c r="E40" s="185">
        <v>39</v>
      </c>
      <c r="F40" s="77" t="s">
        <v>410</v>
      </c>
      <c r="G40" s="53">
        <v>339</v>
      </c>
      <c r="H40" s="77">
        <v>1</v>
      </c>
      <c r="I40" s="77">
        <v>1</v>
      </c>
      <c r="J40" s="77">
        <v>1</v>
      </c>
      <c r="K40" s="77">
        <v>0</v>
      </c>
      <c r="L40" s="77">
        <v>0</v>
      </c>
      <c r="M40" s="77">
        <v>0</v>
      </c>
      <c r="N40" s="77">
        <v>0</v>
      </c>
      <c r="O40" s="77">
        <v>1</v>
      </c>
      <c r="P40" s="53">
        <v>5000</v>
      </c>
      <c r="Q40" s="77" t="s">
        <v>413</v>
      </c>
      <c r="R40" s="77" t="s">
        <v>414</v>
      </c>
    </row>
  </sheetData>
  <phoneticPr fontId="6"/>
  <dataValidations disablePrompts="1" count="1">
    <dataValidation type="list" allowBlank="1" showInputMessage="1" showErrorMessage="1" sqref="F2:F4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8"/>
  <sheetViews>
    <sheetView showGridLines="0" workbookViewId="0">
      <pane ySplit="1" topLeftCell="A2" activePane="bottomLeft" state="frozen"/>
      <selection pane="bottomLeft" activeCell="B4" sqref="B4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188</v>
      </c>
      <c r="B1" s="68" t="s">
        <v>189</v>
      </c>
      <c r="C1" s="73" t="s">
        <v>190</v>
      </c>
      <c r="D1" s="73" t="s">
        <v>33</v>
      </c>
      <c r="E1" s="68" t="s">
        <v>191</v>
      </c>
      <c r="F1" s="73" t="s">
        <v>192</v>
      </c>
      <c r="G1" s="73" t="s">
        <v>33</v>
      </c>
      <c r="H1" s="68" t="s">
        <v>193</v>
      </c>
      <c r="I1" s="88" t="s">
        <v>195</v>
      </c>
      <c r="J1" s="75" t="s">
        <v>127</v>
      </c>
      <c r="K1" s="74" t="s">
        <v>187</v>
      </c>
      <c r="L1" s="89" t="s">
        <v>186</v>
      </c>
      <c r="M1" s="76" t="s">
        <v>196</v>
      </c>
    </row>
    <row r="2" spans="1:13" x14ac:dyDescent="0.15">
      <c r="A2" s="77" t="s">
        <v>381</v>
      </c>
      <c r="B2" s="78">
        <f>floors!$C$2</f>
        <v>15028</v>
      </c>
      <c r="C2" s="79">
        <f ca="1">VLOOKUP($B2,OFFSET([2]quests!$A$1,0,0,COUNTA([2]quests!$A:$A),MATCH(B$1,[2]quests!$1:$1,0)-MATCH($B$1,[2]quests!$1:$1,0)+1),MATCH(B$1,[2]quests!$1:$1,0)-MATCH($B$1,[2]quests!$1:$1,0)+1,FALSE)</f>
        <v>15028</v>
      </c>
      <c r="D2" s="79" t="str">
        <f ca="1">VLOOKUP($B2,OFFSET([2]quests!$A$1,0,0,COUNTA([2]quests!$A:$A),MATCH(C$1,[2]quests!$1:$1,0)-MATCH($B$1,[2]quests!$1:$1,0)+1),MATCH(C$1,[2]quests!$1:$1,0)-MATCH($B$1,[2]quests!$1:$1,0)+1,FALSE)</f>
        <v>28. 暴風と灼熱の罪浄</v>
      </c>
      <c r="E2" s="80">
        <v>1</v>
      </c>
      <c r="F2" s="79">
        <f ca="1">VLOOKUP($B2&amp;"_"&amp;$E2,OFFSET([2]stages!$A$1,0,0,COUNTA([2]stages!$A:$A),MATCH(E$1,[2]stages!$2:$2,0)-MATCH("temp_stage",[2]stages!$2:$2,0)+1),MATCH(E$1,[2]stages!$2:$2,0)-MATCH("temp_stage",[2]stages!$2:$2,0)+1,FALSE)</f>
        <v>1</v>
      </c>
      <c r="G2" s="79" t="str">
        <f ca="1">VLOOKUP($B2&amp;"_"&amp;$F2,OFFSET([2]stages!$A$1,0,0,COUNTA([2]stages!$A:$A),MATCH(F$1,[2]stages!$2:$2,0)-MATCH("temp_stage",[2]stages!$2:$2,0)+1),MATCH(F$1,[2]stages!$2:$2,0)-MATCH("temp_stage",[2]stages!$2:$2,0)+1,FALSE)</f>
        <v>28-1. 轟翼のかまど</v>
      </c>
      <c r="H2" s="80">
        <v>1</v>
      </c>
      <c r="I2">
        <v>32</v>
      </c>
      <c r="J2" s="80" t="s">
        <v>382</v>
      </c>
      <c r="K2" s="182" t="s">
        <v>385</v>
      </c>
      <c r="L2" s="183" t="s">
        <v>386</v>
      </c>
      <c r="M2" s="53" t="s">
        <v>383</v>
      </c>
    </row>
    <row r="3" spans="1:13" x14ac:dyDescent="0.15">
      <c r="A3" s="77" t="s">
        <v>381</v>
      </c>
      <c r="B3" s="78">
        <f>floors!$C$2</f>
        <v>15028</v>
      </c>
      <c r="C3" s="79">
        <f ca="1">VLOOKUP($B3,OFFSET([2]quests!$A$1,0,0,COUNTA([2]quests!$A:$A),MATCH(B$1,[2]quests!$1:$1,0)-MATCH($B$1,[2]quests!$1:$1,0)+1),MATCH(B$1,[2]quests!$1:$1,0)-MATCH($B$1,[2]quests!$1:$1,0)+1,FALSE)</f>
        <v>15028</v>
      </c>
      <c r="D3" s="79" t="str">
        <f ca="1">VLOOKUP($B3,OFFSET([2]quests!$A$1,0,0,COUNTA([2]quests!$A:$A),MATCH(C$1,[2]quests!$1:$1,0)-MATCH($B$1,[2]quests!$1:$1,0)+1),MATCH(C$1,[2]quests!$1:$1,0)-MATCH($B$1,[2]quests!$1:$1,0)+1,FALSE)</f>
        <v>28. 暴風と灼熱の罪浄</v>
      </c>
      <c r="E3" s="80">
        <v>1</v>
      </c>
      <c r="F3" s="79">
        <f ca="1">VLOOKUP($B3&amp;"_"&amp;$E3,OFFSET([2]stages!$A$1,0,0,COUNTA([2]stages!$A:$A),MATCH(E$1,[2]stages!$2:$2,0)-MATCH("temp_stage",[2]stages!$2:$2,0)+1),MATCH(E$1,[2]stages!$2:$2,0)-MATCH("temp_stage",[2]stages!$2:$2,0)+1,FALSE)</f>
        <v>1</v>
      </c>
      <c r="G3" s="79" t="str">
        <f ca="1">VLOOKUP($B3&amp;"_"&amp;$F3,OFFSET([2]stages!$A$1,0,0,COUNTA([2]stages!$A:$A),MATCH(F$1,[2]stages!$2:$2,0)-MATCH("temp_stage",[2]stages!$2:$2,0)+1),MATCH(F$1,[2]stages!$2:$2,0)-MATCH("temp_stage",[2]stages!$2:$2,0)+1,FALSE)</f>
        <v>28-1. 轟翼のかまど</v>
      </c>
      <c r="H3" s="80">
        <v>2</v>
      </c>
      <c r="I3">
        <v>33</v>
      </c>
      <c r="J3" s="80" t="s">
        <v>382</v>
      </c>
      <c r="K3" s="182" t="s">
        <v>387</v>
      </c>
      <c r="L3" s="183" t="s">
        <v>388</v>
      </c>
      <c r="M3" s="53" t="s">
        <v>383</v>
      </c>
    </row>
    <row r="4" spans="1:13" x14ac:dyDescent="0.15">
      <c r="A4" s="77" t="s">
        <v>381</v>
      </c>
      <c r="B4" s="78">
        <f>floors!$C$2</f>
        <v>15028</v>
      </c>
      <c r="C4" s="79">
        <f ca="1">VLOOKUP($B4,OFFSET([2]quests!$A$1,0,0,COUNTA([2]quests!$A:$A),MATCH(B$1,[2]quests!$1:$1,0)-MATCH($B$1,[2]quests!$1:$1,0)+1),MATCH(B$1,[2]quests!$1:$1,0)-MATCH($B$1,[2]quests!$1:$1,0)+1,FALSE)</f>
        <v>15028</v>
      </c>
      <c r="D4" s="79" t="str">
        <f ca="1">VLOOKUP($B4,OFFSET([2]quests!$A$1,0,0,COUNTA([2]quests!$A:$A),MATCH(C$1,[2]quests!$1:$1,0)-MATCH($B$1,[2]quests!$1:$1,0)+1),MATCH(C$1,[2]quests!$1:$1,0)-MATCH($B$1,[2]quests!$1:$1,0)+1,FALSE)</f>
        <v>28. 暴風と灼熱の罪浄</v>
      </c>
      <c r="E4" s="80">
        <v>1</v>
      </c>
      <c r="F4" s="79">
        <f ca="1">VLOOKUP($B4&amp;"_"&amp;$E4,OFFSET([2]stages!$A$1,0,0,COUNTA([2]stages!$A:$A),MATCH(E$1,[2]stages!$2:$2,0)-MATCH("temp_stage",[2]stages!$2:$2,0)+1),MATCH(E$1,[2]stages!$2:$2,0)-MATCH("temp_stage",[2]stages!$2:$2,0)+1,FALSE)</f>
        <v>1</v>
      </c>
      <c r="G4" s="79" t="str">
        <f ca="1">VLOOKUP($B4&amp;"_"&amp;$F4,OFFSET([2]stages!$A$1,0,0,COUNTA([2]stages!$A:$A),MATCH(F$1,[2]stages!$2:$2,0)-MATCH("temp_stage",[2]stages!$2:$2,0)+1),MATCH(F$1,[2]stages!$2:$2,0)-MATCH("temp_stage",[2]stages!$2:$2,0)+1,FALSE)</f>
        <v>28-1. 轟翼のかまど</v>
      </c>
      <c r="H4" s="80">
        <v>3</v>
      </c>
      <c r="I4">
        <v>34</v>
      </c>
      <c r="J4" s="80" t="s">
        <v>382</v>
      </c>
      <c r="K4" s="182" t="s">
        <v>389</v>
      </c>
      <c r="L4" s="183" t="s">
        <v>390</v>
      </c>
      <c r="M4" s="53" t="s">
        <v>384</v>
      </c>
    </row>
    <row r="5" spans="1:13" x14ac:dyDescent="0.15">
      <c r="A5" s="77" t="s">
        <v>381</v>
      </c>
      <c r="B5" s="78">
        <f>floors!$C$2</f>
        <v>15028</v>
      </c>
      <c r="C5" s="79">
        <f ca="1">VLOOKUP($B5,OFFSET([2]quests!$A$1,0,0,COUNTA([2]quests!$A:$A),MATCH(B$1,[2]quests!$1:$1,0)-MATCH($B$1,[2]quests!$1:$1,0)+1),MATCH(B$1,[2]quests!$1:$1,0)-MATCH($B$1,[2]quests!$1:$1,0)+1,FALSE)</f>
        <v>15028</v>
      </c>
      <c r="D5" s="79" t="str">
        <f ca="1">VLOOKUP($B5,OFFSET([2]quests!$A$1,0,0,COUNTA([2]quests!$A:$A),MATCH(C$1,[2]quests!$1:$1,0)-MATCH($B$1,[2]quests!$1:$1,0)+1),MATCH(C$1,[2]quests!$1:$1,0)-MATCH($B$1,[2]quests!$1:$1,0)+1,FALSE)</f>
        <v>28. 暴風と灼熱の罪浄</v>
      </c>
      <c r="E5" s="80">
        <v>1</v>
      </c>
      <c r="F5" s="79">
        <f ca="1">VLOOKUP($B5&amp;"_"&amp;$E5,OFFSET([2]stages!$A$1,0,0,COUNTA([2]stages!$A:$A),MATCH(E$1,[2]stages!$2:$2,0)-MATCH("temp_stage",[2]stages!$2:$2,0)+1),MATCH(E$1,[2]stages!$2:$2,0)-MATCH("temp_stage",[2]stages!$2:$2,0)+1,FALSE)</f>
        <v>1</v>
      </c>
      <c r="G5" s="79" t="str">
        <f ca="1">VLOOKUP($B5&amp;"_"&amp;$F5,OFFSET([2]stages!$A$1,0,0,COUNTA([2]stages!$A:$A),MATCH(F$1,[2]stages!$2:$2,0)-MATCH("temp_stage",[2]stages!$2:$2,0)+1),MATCH(F$1,[2]stages!$2:$2,0)-MATCH("temp_stage",[2]stages!$2:$2,0)+1,FALSE)</f>
        <v>28-1. 轟翼のかまど</v>
      </c>
      <c r="H5" s="80">
        <v>4</v>
      </c>
      <c r="I5">
        <v>35</v>
      </c>
      <c r="J5" s="80" t="s">
        <v>382</v>
      </c>
      <c r="K5" s="182" t="s">
        <v>391</v>
      </c>
      <c r="L5" s="183" t="s">
        <v>392</v>
      </c>
      <c r="M5" s="53" t="s">
        <v>383</v>
      </c>
    </row>
    <row r="6" spans="1:13" x14ac:dyDescent="0.15">
      <c r="A6" s="77" t="s">
        <v>381</v>
      </c>
      <c r="B6" s="78">
        <f>floors!$C$2</f>
        <v>15028</v>
      </c>
      <c r="C6" s="79">
        <f ca="1">VLOOKUP($B6,OFFSET([2]quests!$A$1,0,0,COUNTA([2]quests!$A:$A),MATCH(B$1,[2]quests!$1:$1,0)-MATCH($B$1,[2]quests!$1:$1,0)+1),MATCH(B$1,[2]quests!$1:$1,0)-MATCH($B$1,[2]quests!$1:$1,0)+1,FALSE)</f>
        <v>15028</v>
      </c>
      <c r="D6" s="79" t="str">
        <f ca="1">VLOOKUP($B6,OFFSET([2]quests!$A$1,0,0,COUNTA([2]quests!$A:$A),MATCH(C$1,[2]quests!$1:$1,0)-MATCH($B$1,[2]quests!$1:$1,0)+1),MATCH(C$1,[2]quests!$1:$1,0)-MATCH($B$1,[2]quests!$1:$1,0)+1,FALSE)</f>
        <v>28. 暴風と灼熱の罪浄</v>
      </c>
      <c r="E6" s="80">
        <v>2</v>
      </c>
      <c r="F6" s="79">
        <f ca="1">VLOOKUP($B6&amp;"_"&amp;$E6,OFFSET([2]stages!$A$1,0,0,COUNTA([2]stages!$A:$A),MATCH(E$1,[2]stages!$2:$2,0)-MATCH("temp_stage",[2]stages!$2:$2,0)+1),MATCH(E$1,[2]stages!$2:$2,0)-MATCH("temp_stage",[2]stages!$2:$2,0)+1,FALSE)</f>
        <v>2</v>
      </c>
      <c r="G6" s="79" t="str">
        <f ca="1">VLOOKUP($B6&amp;"_"&amp;$F6,OFFSET([2]stages!$A$1,0,0,COUNTA([2]stages!$A:$A),MATCH(F$1,[2]stages!$2:$2,0)-MATCH("temp_stage",[2]stages!$2:$2,0)+1),MATCH(F$1,[2]stages!$2:$2,0)-MATCH("temp_stage",[2]stages!$2:$2,0)+1,FALSE)</f>
        <v>28-2. 空の寝殿</v>
      </c>
      <c r="H6" s="80">
        <v>1</v>
      </c>
      <c r="I6">
        <v>36</v>
      </c>
      <c r="J6" s="80" t="s">
        <v>382</v>
      </c>
      <c r="K6" s="182" t="s">
        <v>393</v>
      </c>
      <c r="L6" s="183" t="s">
        <v>394</v>
      </c>
      <c r="M6" s="53" t="s">
        <v>383</v>
      </c>
    </row>
    <row r="7" spans="1:13" x14ac:dyDescent="0.15">
      <c r="A7" s="77" t="s">
        <v>381</v>
      </c>
      <c r="B7" s="78">
        <f>floors!$C$2</f>
        <v>15028</v>
      </c>
      <c r="C7" s="79">
        <f ca="1">VLOOKUP($B7,OFFSET([2]quests!$A$1,0,0,COUNTA([2]quests!$A:$A),MATCH(B$1,[2]quests!$1:$1,0)-MATCH($B$1,[2]quests!$1:$1,0)+1),MATCH(B$1,[2]quests!$1:$1,0)-MATCH($B$1,[2]quests!$1:$1,0)+1,FALSE)</f>
        <v>15028</v>
      </c>
      <c r="D7" s="79" t="str">
        <f ca="1">VLOOKUP($B7,OFFSET([2]quests!$A$1,0,0,COUNTA([2]quests!$A:$A),MATCH(C$1,[2]quests!$1:$1,0)-MATCH($B$1,[2]quests!$1:$1,0)+1),MATCH(C$1,[2]quests!$1:$1,0)-MATCH($B$1,[2]quests!$1:$1,0)+1,FALSE)</f>
        <v>28. 暴風と灼熱の罪浄</v>
      </c>
      <c r="E7" s="80">
        <v>2</v>
      </c>
      <c r="F7" s="79">
        <f ca="1">VLOOKUP($B7&amp;"_"&amp;$E7,OFFSET([2]stages!$A$1,0,0,COUNTA([2]stages!$A:$A),MATCH(E$1,[2]stages!$2:$2,0)-MATCH("temp_stage",[2]stages!$2:$2,0)+1),MATCH(E$1,[2]stages!$2:$2,0)-MATCH("temp_stage",[2]stages!$2:$2,0)+1,FALSE)</f>
        <v>2</v>
      </c>
      <c r="G7" s="79" t="str">
        <f ca="1">VLOOKUP($B7&amp;"_"&amp;$F7,OFFSET([2]stages!$A$1,0,0,COUNTA([2]stages!$A:$A),MATCH(F$1,[2]stages!$2:$2,0)-MATCH("temp_stage",[2]stages!$2:$2,0)+1),MATCH(F$1,[2]stages!$2:$2,0)-MATCH("temp_stage",[2]stages!$2:$2,0)+1,FALSE)</f>
        <v>28-2. 空の寝殿</v>
      </c>
      <c r="H7" s="80">
        <v>2</v>
      </c>
      <c r="I7">
        <v>37</v>
      </c>
      <c r="J7" s="80" t="s">
        <v>382</v>
      </c>
      <c r="K7" s="182" t="s">
        <v>395</v>
      </c>
      <c r="L7" s="183" t="s">
        <v>396</v>
      </c>
      <c r="M7" s="53" t="s">
        <v>383</v>
      </c>
    </row>
    <row r="8" spans="1:13" x14ac:dyDescent="0.15">
      <c r="A8" s="77" t="s">
        <v>381</v>
      </c>
      <c r="B8" s="78">
        <f>floors!$C$2</f>
        <v>15028</v>
      </c>
      <c r="C8" s="79">
        <f ca="1">VLOOKUP($B8,OFFSET([2]quests!$A$1,0,0,COUNTA([2]quests!$A:$A),MATCH(B$1,[2]quests!$1:$1,0)-MATCH($B$1,[2]quests!$1:$1,0)+1),MATCH(B$1,[2]quests!$1:$1,0)-MATCH($B$1,[2]quests!$1:$1,0)+1,FALSE)</f>
        <v>15028</v>
      </c>
      <c r="D8" s="79" t="str">
        <f ca="1">VLOOKUP($B8,OFFSET([2]quests!$A$1,0,0,COUNTA([2]quests!$A:$A),MATCH(C$1,[2]quests!$1:$1,0)-MATCH($B$1,[2]quests!$1:$1,0)+1),MATCH(C$1,[2]quests!$1:$1,0)-MATCH($B$1,[2]quests!$1:$1,0)+1,FALSE)</f>
        <v>28. 暴風と灼熱の罪浄</v>
      </c>
      <c r="E8" s="80">
        <v>2</v>
      </c>
      <c r="F8" s="79">
        <f ca="1">VLOOKUP($B8&amp;"_"&amp;$E8,OFFSET([2]stages!$A$1,0,0,COUNTA([2]stages!$A:$A),MATCH(E$1,[2]stages!$2:$2,0)-MATCH("temp_stage",[2]stages!$2:$2,0)+1),MATCH(E$1,[2]stages!$2:$2,0)-MATCH("temp_stage",[2]stages!$2:$2,0)+1,FALSE)</f>
        <v>2</v>
      </c>
      <c r="G8" s="79" t="str">
        <f ca="1">VLOOKUP($B8&amp;"_"&amp;$F8,OFFSET([2]stages!$A$1,0,0,COUNTA([2]stages!$A:$A),MATCH(F$1,[2]stages!$2:$2,0)-MATCH("temp_stage",[2]stages!$2:$2,0)+1),MATCH(F$1,[2]stages!$2:$2,0)-MATCH("temp_stage",[2]stages!$2:$2,0)+1,FALSE)</f>
        <v>28-2. 空の寝殿</v>
      </c>
      <c r="H8" s="80">
        <v>3</v>
      </c>
      <c r="I8">
        <v>32</v>
      </c>
      <c r="J8" s="80" t="s">
        <v>382</v>
      </c>
      <c r="K8" s="182" t="s">
        <v>385</v>
      </c>
      <c r="L8" s="183" t="s">
        <v>386</v>
      </c>
      <c r="M8" s="53" t="s">
        <v>383</v>
      </c>
    </row>
    <row r="9" spans="1:13" x14ac:dyDescent="0.15">
      <c r="A9" s="77" t="s">
        <v>381</v>
      </c>
      <c r="B9" s="78">
        <f>floors!$C$2</f>
        <v>15028</v>
      </c>
      <c r="C9" s="79">
        <f ca="1">VLOOKUP($B9,OFFSET([2]quests!$A$1,0,0,COUNTA([2]quests!$A:$A),MATCH(B$1,[2]quests!$1:$1,0)-MATCH($B$1,[2]quests!$1:$1,0)+1),MATCH(B$1,[2]quests!$1:$1,0)-MATCH($B$1,[2]quests!$1:$1,0)+1,FALSE)</f>
        <v>15028</v>
      </c>
      <c r="D9" s="79" t="str">
        <f ca="1">VLOOKUP($B9,OFFSET([2]quests!$A$1,0,0,COUNTA([2]quests!$A:$A),MATCH(C$1,[2]quests!$1:$1,0)-MATCH($B$1,[2]quests!$1:$1,0)+1),MATCH(C$1,[2]quests!$1:$1,0)-MATCH($B$1,[2]quests!$1:$1,0)+1,FALSE)</f>
        <v>28. 暴風と灼熱の罪浄</v>
      </c>
      <c r="E9" s="80">
        <v>2</v>
      </c>
      <c r="F9" s="79">
        <f ca="1">VLOOKUP($B9&amp;"_"&amp;$E9,OFFSET([2]stages!$A$1,0,0,COUNTA([2]stages!$A:$A),MATCH(E$1,[2]stages!$2:$2,0)-MATCH("temp_stage",[2]stages!$2:$2,0)+1),MATCH(E$1,[2]stages!$2:$2,0)-MATCH("temp_stage",[2]stages!$2:$2,0)+1,FALSE)</f>
        <v>2</v>
      </c>
      <c r="G9" s="79" t="str">
        <f ca="1">VLOOKUP($B9&amp;"_"&amp;$F9,OFFSET([2]stages!$A$1,0,0,COUNTA([2]stages!$A:$A),MATCH(F$1,[2]stages!$2:$2,0)-MATCH("temp_stage",[2]stages!$2:$2,0)+1),MATCH(F$1,[2]stages!$2:$2,0)-MATCH("temp_stage",[2]stages!$2:$2,0)+1,FALSE)</f>
        <v>28-2. 空の寝殿</v>
      </c>
      <c r="H9" s="80">
        <v>4</v>
      </c>
      <c r="I9">
        <v>33</v>
      </c>
      <c r="J9" s="80" t="s">
        <v>382</v>
      </c>
      <c r="K9" s="182" t="s">
        <v>387</v>
      </c>
      <c r="L9" s="183" t="s">
        <v>388</v>
      </c>
      <c r="M9" s="53" t="s">
        <v>383</v>
      </c>
    </row>
    <row r="10" spans="1:13" x14ac:dyDescent="0.15">
      <c r="A10" s="77" t="s">
        <v>381</v>
      </c>
      <c r="B10" s="78">
        <f>floors!$C$2</f>
        <v>15028</v>
      </c>
      <c r="C10" s="79">
        <f ca="1">VLOOKUP($B10,OFFSET([2]quests!$A$1,0,0,COUNTA([2]quests!$A:$A),MATCH(B$1,[2]quests!$1:$1,0)-MATCH($B$1,[2]quests!$1:$1,0)+1),MATCH(B$1,[2]quests!$1:$1,0)-MATCH($B$1,[2]quests!$1:$1,0)+1,FALSE)</f>
        <v>15028</v>
      </c>
      <c r="D10" s="79" t="str">
        <f ca="1">VLOOKUP($B10,OFFSET([2]quests!$A$1,0,0,COUNTA([2]quests!$A:$A),MATCH(C$1,[2]quests!$1:$1,0)-MATCH($B$1,[2]quests!$1:$1,0)+1),MATCH(C$1,[2]quests!$1:$1,0)-MATCH($B$1,[2]quests!$1:$1,0)+1,FALSE)</f>
        <v>28. 暴風と灼熱の罪浄</v>
      </c>
      <c r="E10" s="80">
        <v>3</v>
      </c>
      <c r="F10" s="79">
        <f ca="1">VLOOKUP($B10&amp;"_"&amp;$E10,OFFSET([2]stages!$A$1,0,0,COUNTA([2]stages!$A:$A),MATCH(E$1,[2]stages!$2:$2,0)-MATCH("temp_stage",[2]stages!$2:$2,0)+1),MATCH(E$1,[2]stages!$2:$2,0)-MATCH("temp_stage",[2]stages!$2:$2,0)+1,FALSE)</f>
        <v>3</v>
      </c>
      <c r="G10" s="79" t="str">
        <f ca="1">VLOOKUP($B10&amp;"_"&amp;$F10,OFFSET([2]stages!$A$1,0,0,COUNTA([2]stages!$A:$A),MATCH(F$1,[2]stages!$2:$2,0)-MATCH("temp_stage",[2]stages!$2:$2,0)+1),MATCH(F$1,[2]stages!$2:$2,0)-MATCH("temp_stage",[2]stages!$2:$2,0)+1,FALSE)</f>
        <v>28-3. 縛風の洞窟</v>
      </c>
      <c r="H10" s="80">
        <v>1</v>
      </c>
      <c r="I10">
        <v>34</v>
      </c>
      <c r="J10" s="80" t="s">
        <v>382</v>
      </c>
      <c r="K10" s="182" t="s">
        <v>389</v>
      </c>
      <c r="L10" s="183" t="s">
        <v>390</v>
      </c>
      <c r="M10" s="53" t="s">
        <v>383</v>
      </c>
    </row>
    <row r="11" spans="1:13" x14ac:dyDescent="0.15">
      <c r="A11" s="77" t="s">
        <v>381</v>
      </c>
      <c r="B11" s="78">
        <f>floors!$C$2</f>
        <v>15028</v>
      </c>
      <c r="C11" s="79">
        <f ca="1">VLOOKUP($B11,OFFSET([2]quests!$A$1,0,0,COUNTA([2]quests!$A:$A),MATCH(B$1,[2]quests!$1:$1,0)-MATCH($B$1,[2]quests!$1:$1,0)+1),MATCH(B$1,[2]quests!$1:$1,0)-MATCH($B$1,[2]quests!$1:$1,0)+1,FALSE)</f>
        <v>15028</v>
      </c>
      <c r="D11" s="79" t="str">
        <f ca="1">VLOOKUP($B11,OFFSET([2]quests!$A$1,0,0,COUNTA([2]quests!$A:$A),MATCH(C$1,[2]quests!$1:$1,0)-MATCH($B$1,[2]quests!$1:$1,0)+1),MATCH(C$1,[2]quests!$1:$1,0)-MATCH($B$1,[2]quests!$1:$1,0)+1,FALSE)</f>
        <v>28. 暴風と灼熱の罪浄</v>
      </c>
      <c r="E11" s="80">
        <v>3</v>
      </c>
      <c r="F11" s="79">
        <f ca="1">VLOOKUP($B11&amp;"_"&amp;$E11,OFFSET([2]stages!$A$1,0,0,COUNTA([2]stages!$A:$A),MATCH(E$1,[2]stages!$2:$2,0)-MATCH("temp_stage",[2]stages!$2:$2,0)+1),MATCH(E$1,[2]stages!$2:$2,0)-MATCH("temp_stage",[2]stages!$2:$2,0)+1,FALSE)</f>
        <v>3</v>
      </c>
      <c r="G11" s="79" t="str">
        <f ca="1">VLOOKUP($B11&amp;"_"&amp;$F11,OFFSET([2]stages!$A$1,0,0,COUNTA([2]stages!$A:$A),MATCH(F$1,[2]stages!$2:$2,0)-MATCH("temp_stage",[2]stages!$2:$2,0)+1),MATCH(F$1,[2]stages!$2:$2,0)-MATCH("temp_stage",[2]stages!$2:$2,0)+1,FALSE)</f>
        <v>28-3. 縛風の洞窟</v>
      </c>
      <c r="H11" s="80">
        <v>2</v>
      </c>
      <c r="I11">
        <v>35</v>
      </c>
      <c r="J11" s="80" t="s">
        <v>382</v>
      </c>
      <c r="K11" s="182" t="s">
        <v>391</v>
      </c>
      <c r="L11" s="183" t="s">
        <v>392</v>
      </c>
      <c r="M11" s="53" t="s">
        <v>383</v>
      </c>
    </row>
    <row r="12" spans="1:13" x14ac:dyDescent="0.15">
      <c r="A12" s="77" t="s">
        <v>381</v>
      </c>
      <c r="B12" s="78">
        <f>floors!$C$2</f>
        <v>15028</v>
      </c>
      <c r="C12" s="79">
        <f ca="1">VLOOKUP($B12,OFFSET([2]quests!$A$1,0,0,COUNTA([2]quests!$A:$A),MATCH(B$1,[2]quests!$1:$1,0)-MATCH($B$1,[2]quests!$1:$1,0)+1),MATCH(B$1,[2]quests!$1:$1,0)-MATCH($B$1,[2]quests!$1:$1,0)+1,FALSE)</f>
        <v>15028</v>
      </c>
      <c r="D12" s="79" t="str">
        <f ca="1">VLOOKUP($B12,OFFSET([2]quests!$A$1,0,0,COUNTA([2]quests!$A:$A),MATCH(C$1,[2]quests!$1:$1,0)-MATCH($B$1,[2]quests!$1:$1,0)+1),MATCH(C$1,[2]quests!$1:$1,0)-MATCH($B$1,[2]quests!$1:$1,0)+1,FALSE)</f>
        <v>28. 暴風と灼熱の罪浄</v>
      </c>
      <c r="E12" s="80">
        <v>3</v>
      </c>
      <c r="F12" s="79">
        <f ca="1">VLOOKUP($B12&amp;"_"&amp;$E12,OFFSET([2]stages!$A$1,0,0,COUNTA([2]stages!$A:$A),MATCH(E$1,[2]stages!$2:$2,0)-MATCH("temp_stage",[2]stages!$2:$2,0)+1),MATCH(E$1,[2]stages!$2:$2,0)-MATCH("temp_stage",[2]stages!$2:$2,0)+1,FALSE)</f>
        <v>3</v>
      </c>
      <c r="G12" s="79" t="str">
        <f ca="1">VLOOKUP($B12&amp;"_"&amp;$F12,OFFSET([2]stages!$A$1,0,0,COUNTA([2]stages!$A:$A),MATCH(F$1,[2]stages!$2:$2,0)-MATCH("temp_stage",[2]stages!$2:$2,0)+1),MATCH(F$1,[2]stages!$2:$2,0)-MATCH("temp_stage",[2]stages!$2:$2,0)+1,FALSE)</f>
        <v>28-3. 縛風の洞窟</v>
      </c>
      <c r="H12" s="80">
        <v>3</v>
      </c>
      <c r="I12">
        <v>36</v>
      </c>
      <c r="J12" s="80" t="s">
        <v>382</v>
      </c>
      <c r="K12" s="182" t="s">
        <v>393</v>
      </c>
      <c r="L12" s="183" t="s">
        <v>394</v>
      </c>
      <c r="M12" s="53" t="s">
        <v>383</v>
      </c>
    </row>
    <row r="13" spans="1:13" x14ac:dyDescent="0.15">
      <c r="A13" s="77" t="s">
        <v>381</v>
      </c>
      <c r="B13" s="78">
        <f>floors!$C$2</f>
        <v>15028</v>
      </c>
      <c r="C13" s="79">
        <f ca="1">VLOOKUP($B13,OFFSET([2]quests!$A$1,0,0,COUNTA([2]quests!$A:$A),MATCH(B$1,[2]quests!$1:$1,0)-MATCH($B$1,[2]quests!$1:$1,0)+1),MATCH(B$1,[2]quests!$1:$1,0)-MATCH($B$1,[2]quests!$1:$1,0)+1,FALSE)</f>
        <v>15028</v>
      </c>
      <c r="D13" s="79" t="str">
        <f ca="1">VLOOKUP($B13,OFFSET([2]quests!$A$1,0,0,COUNTA([2]quests!$A:$A),MATCH(C$1,[2]quests!$1:$1,0)-MATCH($B$1,[2]quests!$1:$1,0)+1),MATCH(C$1,[2]quests!$1:$1,0)-MATCH($B$1,[2]quests!$1:$1,0)+1,FALSE)</f>
        <v>28. 暴風と灼熱の罪浄</v>
      </c>
      <c r="E13" s="80">
        <v>3</v>
      </c>
      <c r="F13" s="79">
        <f ca="1">VLOOKUP($B13&amp;"_"&amp;$E13,OFFSET([2]stages!$A$1,0,0,COUNTA([2]stages!$A:$A),MATCH(E$1,[2]stages!$2:$2,0)-MATCH("temp_stage",[2]stages!$2:$2,0)+1),MATCH(E$1,[2]stages!$2:$2,0)-MATCH("temp_stage",[2]stages!$2:$2,0)+1,FALSE)</f>
        <v>3</v>
      </c>
      <c r="G13" s="79" t="str">
        <f ca="1">VLOOKUP($B13&amp;"_"&amp;$F13,OFFSET([2]stages!$A$1,0,0,COUNTA([2]stages!$A:$A),MATCH(F$1,[2]stages!$2:$2,0)-MATCH("temp_stage",[2]stages!$2:$2,0)+1),MATCH(F$1,[2]stages!$2:$2,0)-MATCH("temp_stage",[2]stages!$2:$2,0)+1,FALSE)</f>
        <v>28-3. 縛風の洞窟</v>
      </c>
      <c r="H13" s="80">
        <v>4</v>
      </c>
      <c r="I13">
        <v>37</v>
      </c>
      <c r="J13" s="80" t="s">
        <v>382</v>
      </c>
      <c r="K13" s="182" t="s">
        <v>395</v>
      </c>
      <c r="L13" s="183" t="s">
        <v>396</v>
      </c>
      <c r="M13" s="53" t="s">
        <v>383</v>
      </c>
    </row>
    <row r="14" spans="1:13" x14ac:dyDescent="0.15">
      <c r="A14" s="77" t="s">
        <v>381</v>
      </c>
      <c r="B14" s="78">
        <f>floors!$C$2</f>
        <v>15028</v>
      </c>
      <c r="C14" s="79">
        <f ca="1">VLOOKUP($B14,OFFSET([2]quests!$A$1,0,0,COUNTA([2]quests!$A:$A),MATCH(B$1,[2]quests!$1:$1,0)-MATCH($B$1,[2]quests!$1:$1,0)+1),MATCH(B$1,[2]quests!$1:$1,0)-MATCH($B$1,[2]quests!$1:$1,0)+1,FALSE)</f>
        <v>15028</v>
      </c>
      <c r="D14" s="79" t="str">
        <f ca="1">VLOOKUP($B14,OFFSET([2]quests!$A$1,0,0,COUNTA([2]quests!$A:$A),MATCH(C$1,[2]quests!$1:$1,0)-MATCH($B$1,[2]quests!$1:$1,0)+1),MATCH(C$1,[2]quests!$1:$1,0)-MATCH($B$1,[2]quests!$1:$1,0)+1,FALSE)</f>
        <v>28. 暴風と灼熱の罪浄</v>
      </c>
      <c r="E14" s="80">
        <v>4</v>
      </c>
      <c r="F14" s="79">
        <f ca="1">VLOOKUP($B14&amp;"_"&amp;$E14,OFFSET([2]stages!$A$1,0,0,COUNTA([2]stages!$A:$A),MATCH(E$1,[2]stages!$2:$2,0)-MATCH("temp_stage",[2]stages!$2:$2,0)+1),MATCH(E$1,[2]stages!$2:$2,0)-MATCH("temp_stage",[2]stages!$2:$2,0)+1,FALSE)</f>
        <v>4</v>
      </c>
      <c r="G14" s="79" t="str">
        <f ca="1">VLOOKUP($B14&amp;"_"&amp;$F14,OFFSET([2]stages!$A$1,0,0,COUNTA([2]stages!$A:$A),MATCH(F$1,[2]stages!$2:$2,0)-MATCH("temp_stage",[2]stages!$2:$2,0)+1),MATCH(F$1,[2]stages!$2:$2,0)-MATCH("temp_stage",[2]stages!$2:$2,0)+1,FALSE)</f>
        <v>28-4. 【1回のみ】ボーナスステージ</v>
      </c>
      <c r="H14" s="80">
        <v>1</v>
      </c>
      <c r="I14">
        <v>32</v>
      </c>
      <c r="J14" s="80" t="s">
        <v>382</v>
      </c>
      <c r="K14" s="182" t="s">
        <v>385</v>
      </c>
      <c r="L14" s="183" t="s">
        <v>386</v>
      </c>
      <c r="M14" s="53" t="s">
        <v>383</v>
      </c>
    </row>
    <row r="15" spans="1:13" x14ac:dyDescent="0.15">
      <c r="A15" s="77" t="s">
        <v>381</v>
      </c>
      <c r="B15" s="78">
        <f>floors!$C$2</f>
        <v>15028</v>
      </c>
      <c r="C15" s="79">
        <f ca="1">VLOOKUP($B15,OFFSET([2]quests!$A$1,0,0,COUNTA([2]quests!$A:$A),MATCH(B$1,[2]quests!$1:$1,0)-MATCH($B$1,[2]quests!$1:$1,0)+1),MATCH(B$1,[2]quests!$1:$1,0)-MATCH($B$1,[2]quests!$1:$1,0)+1,FALSE)</f>
        <v>15028</v>
      </c>
      <c r="D15" s="79" t="str">
        <f ca="1">VLOOKUP($B15,OFFSET([2]quests!$A$1,0,0,COUNTA([2]quests!$A:$A),MATCH(C$1,[2]quests!$1:$1,0)-MATCH($B$1,[2]quests!$1:$1,0)+1),MATCH(C$1,[2]quests!$1:$1,0)-MATCH($B$1,[2]quests!$1:$1,0)+1,FALSE)</f>
        <v>28. 暴風と灼熱の罪浄</v>
      </c>
      <c r="E15" s="80">
        <v>4</v>
      </c>
      <c r="F15" s="79">
        <f ca="1">VLOOKUP($B15&amp;"_"&amp;$E15,OFFSET([2]stages!$A$1,0,0,COUNTA([2]stages!$A:$A),MATCH(E$1,[2]stages!$2:$2,0)-MATCH("temp_stage",[2]stages!$2:$2,0)+1),MATCH(E$1,[2]stages!$2:$2,0)-MATCH("temp_stage",[2]stages!$2:$2,0)+1,FALSE)</f>
        <v>4</v>
      </c>
      <c r="G15" s="79" t="str">
        <f ca="1">VLOOKUP($B15&amp;"_"&amp;$F15,OFFSET([2]stages!$A$1,0,0,COUNTA([2]stages!$A:$A),MATCH(F$1,[2]stages!$2:$2,0)-MATCH("temp_stage",[2]stages!$2:$2,0)+1),MATCH(F$1,[2]stages!$2:$2,0)-MATCH("temp_stage",[2]stages!$2:$2,0)+1,FALSE)</f>
        <v>28-4. 【1回のみ】ボーナスステージ</v>
      </c>
      <c r="H15" s="80">
        <v>2</v>
      </c>
      <c r="I15">
        <v>33</v>
      </c>
      <c r="J15" s="80" t="s">
        <v>198</v>
      </c>
      <c r="K15" s="182" t="s">
        <v>387</v>
      </c>
      <c r="L15" s="183" t="s">
        <v>388</v>
      </c>
      <c r="M15" s="53" t="s">
        <v>200</v>
      </c>
    </row>
    <row r="16" spans="1:13" x14ac:dyDescent="0.15">
      <c r="A16" s="77" t="s">
        <v>381</v>
      </c>
      <c r="B16" s="78">
        <f>floors!$C$2</f>
        <v>15028</v>
      </c>
      <c r="C16" s="79">
        <f ca="1">VLOOKUP($B16,OFFSET([2]quests!$A$1,0,0,COUNTA([2]quests!$A:$A),MATCH(B$1,[2]quests!$1:$1,0)-MATCH($B$1,[2]quests!$1:$1,0)+1),MATCH(B$1,[2]quests!$1:$1,0)-MATCH($B$1,[2]quests!$1:$1,0)+1,FALSE)</f>
        <v>15028</v>
      </c>
      <c r="D16" s="79" t="str">
        <f ca="1">VLOOKUP($B16,OFFSET([2]quests!$A$1,0,0,COUNTA([2]quests!$A:$A),MATCH(C$1,[2]quests!$1:$1,0)-MATCH($B$1,[2]quests!$1:$1,0)+1),MATCH(C$1,[2]quests!$1:$1,0)-MATCH($B$1,[2]quests!$1:$1,0)+1,FALSE)</f>
        <v>28. 暴風と灼熱の罪浄</v>
      </c>
      <c r="E16" s="80">
        <v>4</v>
      </c>
      <c r="F16" s="79">
        <f ca="1">VLOOKUP($B16&amp;"_"&amp;$E16,OFFSET([2]stages!$A$1,0,0,COUNTA([2]stages!$A:$A),MATCH(E$1,[2]stages!$2:$2,0)-MATCH("temp_stage",[2]stages!$2:$2,0)+1),MATCH(E$1,[2]stages!$2:$2,0)-MATCH("temp_stage",[2]stages!$2:$2,0)+1,FALSE)</f>
        <v>4</v>
      </c>
      <c r="G16" s="79" t="str">
        <f ca="1">VLOOKUP($B16&amp;"_"&amp;$F16,OFFSET([2]stages!$A$1,0,0,COUNTA([2]stages!$A:$A),MATCH(F$1,[2]stages!$2:$2,0)-MATCH("temp_stage",[2]stages!$2:$2,0)+1),MATCH(F$1,[2]stages!$2:$2,0)-MATCH("temp_stage",[2]stages!$2:$2,0)+1,FALSE)</f>
        <v>28-4. 【1回のみ】ボーナスステージ</v>
      </c>
      <c r="H16" s="80">
        <v>3</v>
      </c>
      <c r="I16">
        <v>34</v>
      </c>
      <c r="J16" s="80" t="s">
        <v>198</v>
      </c>
      <c r="K16" s="182" t="s">
        <v>389</v>
      </c>
      <c r="L16" s="183" t="s">
        <v>390</v>
      </c>
      <c r="M16" s="53" t="s">
        <v>200</v>
      </c>
    </row>
    <row r="17" spans="1:13" x14ac:dyDescent="0.15">
      <c r="A17" s="77" t="s">
        <v>381</v>
      </c>
      <c r="B17" s="78">
        <f>floors!$C$2</f>
        <v>15028</v>
      </c>
      <c r="C17" s="79">
        <f ca="1">VLOOKUP($B17,OFFSET([2]quests!$A$1,0,0,COUNTA([2]quests!$A:$A),MATCH(B$1,[2]quests!$1:$1,0)-MATCH($B$1,[2]quests!$1:$1,0)+1),MATCH(B$1,[2]quests!$1:$1,0)-MATCH($B$1,[2]quests!$1:$1,0)+1,FALSE)</f>
        <v>15028</v>
      </c>
      <c r="D17" s="79" t="str">
        <f ca="1">VLOOKUP($B17,OFFSET([2]quests!$A$1,0,0,COUNTA([2]quests!$A:$A),MATCH(C$1,[2]quests!$1:$1,0)-MATCH($B$1,[2]quests!$1:$1,0)+1),MATCH(C$1,[2]quests!$1:$1,0)-MATCH($B$1,[2]quests!$1:$1,0)+1,FALSE)</f>
        <v>28. 暴風と灼熱の罪浄</v>
      </c>
      <c r="E17" s="80">
        <v>4</v>
      </c>
      <c r="F17" s="79">
        <f ca="1">VLOOKUP($B17&amp;"_"&amp;$E17,OFFSET([2]stages!$A$1,0,0,COUNTA([2]stages!$A:$A),MATCH(E$1,[2]stages!$2:$2,0)-MATCH("temp_stage",[2]stages!$2:$2,0)+1),MATCH(E$1,[2]stages!$2:$2,0)-MATCH("temp_stage",[2]stages!$2:$2,0)+1,FALSE)</f>
        <v>4</v>
      </c>
      <c r="G17" s="79" t="str">
        <f ca="1">VLOOKUP($B17&amp;"_"&amp;$F17,OFFSET([2]stages!$A$1,0,0,COUNTA([2]stages!$A:$A),MATCH(F$1,[2]stages!$2:$2,0)-MATCH("temp_stage",[2]stages!$2:$2,0)+1),MATCH(F$1,[2]stages!$2:$2,0)-MATCH("temp_stage",[2]stages!$2:$2,0)+1,FALSE)</f>
        <v>28-4. 【1回のみ】ボーナスステージ</v>
      </c>
      <c r="H17" s="80">
        <v>4</v>
      </c>
      <c r="I17">
        <v>35</v>
      </c>
      <c r="J17" s="80" t="s">
        <v>198</v>
      </c>
      <c r="K17" s="182" t="s">
        <v>391</v>
      </c>
      <c r="L17" s="183" t="s">
        <v>392</v>
      </c>
      <c r="M17" s="53" t="s">
        <v>200</v>
      </c>
    </row>
    <row r="18" spans="1:13" x14ac:dyDescent="0.15">
      <c r="A18" s="77" t="s">
        <v>381</v>
      </c>
      <c r="B18" s="78">
        <f>floors!$C$2</f>
        <v>15028</v>
      </c>
      <c r="C18" s="79">
        <f ca="1">VLOOKUP($B18,OFFSET([2]quests!$A$1,0,0,COUNTA([2]quests!$A:$A),MATCH(B$1,[2]quests!$1:$1,0)-MATCH($B$1,[2]quests!$1:$1,0)+1),MATCH(B$1,[2]quests!$1:$1,0)-MATCH($B$1,[2]quests!$1:$1,0)+1,FALSE)</f>
        <v>15028</v>
      </c>
      <c r="D18" s="79" t="str">
        <f ca="1">VLOOKUP($B18,OFFSET([2]quests!$A$1,0,0,COUNTA([2]quests!$A:$A),MATCH(C$1,[2]quests!$1:$1,0)-MATCH($B$1,[2]quests!$1:$1,0)+1),MATCH(C$1,[2]quests!$1:$1,0)-MATCH($B$1,[2]quests!$1:$1,0)+1,FALSE)</f>
        <v>28. 暴風と灼熱の罪浄</v>
      </c>
      <c r="E18" s="80">
        <v>4</v>
      </c>
      <c r="F18" s="79">
        <f ca="1">VLOOKUP($B18&amp;"_"&amp;$E18,OFFSET([2]stages!$A$1,0,0,COUNTA([2]stages!$A:$A),MATCH(E$1,[2]stages!$2:$2,0)-MATCH("temp_stage",[2]stages!$2:$2,0)+1),MATCH(E$1,[2]stages!$2:$2,0)-MATCH("temp_stage",[2]stages!$2:$2,0)+1,FALSE)</f>
        <v>4</v>
      </c>
      <c r="G18" s="79" t="str">
        <f ca="1">VLOOKUP($B18&amp;"_"&amp;$F18,OFFSET([2]stages!$A$1,0,0,COUNTA([2]stages!$A:$A),MATCH(F$1,[2]stages!$2:$2,0)-MATCH("temp_stage",[2]stages!$2:$2,0)+1),MATCH(F$1,[2]stages!$2:$2,0)-MATCH("temp_stage",[2]stages!$2:$2,0)+1,FALSE)</f>
        <v>28-4. 【1回のみ】ボーナスステージ</v>
      </c>
      <c r="H18" s="80">
        <v>5</v>
      </c>
      <c r="I18">
        <v>36</v>
      </c>
      <c r="J18" s="80" t="s">
        <v>198</v>
      </c>
      <c r="K18" s="182" t="s">
        <v>393</v>
      </c>
      <c r="L18" s="183" t="s">
        <v>394</v>
      </c>
      <c r="M18" s="53" t="s">
        <v>200</v>
      </c>
    </row>
  </sheetData>
  <phoneticPr fontId="6"/>
  <dataValidations count="1">
    <dataValidation type="list" allowBlank="1" showInputMessage="1" showErrorMessage="1" sqref="A2:A18">
      <formula1>"complete,failure"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topLeftCell="D1" workbookViewId="0">
      <pane ySplit="1" topLeftCell="A2" activePane="bottomLeft" state="frozen"/>
      <selection pane="bottomLeft" activeCell="M12" sqref="M12"/>
    </sheetView>
  </sheetViews>
  <sheetFormatPr baseColWidth="12" defaultColWidth="13" defaultRowHeight="15" outlineLevelCol="1" x14ac:dyDescent="0.15"/>
  <cols>
    <col min="1" max="1" width="13" style="85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2" t="s">
        <v>188</v>
      </c>
      <c r="B1" s="68" t="s">
        <v>151</v>
      </c>
      <c r="C1" s="73" t="s">
        <v>190</v>
      </c>
      <c r="D1" s="73" t="s">
        <v>33</v>
      </c>
      <c r="E1" s="68" t="s">
        <v>191</v>
      </c>
      <c r="F1" s="73" t="s">
        <v>18</v>
      </c>
      <c r="G1" s="73" t="s">
        <v>33</v>
      </c>
      <c r="H1" s="68" t="s">
        <v>193</v>
      </c>
      <c r="I1" s="86" t="s">
        <v>194</v>
      </c>
      <c r="J1" s="88" t="s">
        <v>195</v>
      </c>
      <c r="K1" s="75" t="s">
        <v>127</v>
      </c>
      <c r="L1" s="74" t="s">
        <v>187</v>
      </c>
      <c r="M1" s="89" t="s">
        <v>186</v>
      </c>
      <c r="N1" s="76" t="s">
        <v>196</v>
      </c>
    </row>
    <row r="2" spans="1:14" ht="42" x14ac:dyDescent="0.15">
      <c r="A2" s="77" t="s">
        <v>197</v>
      </c>
      <c r="B2" s="78">
        <f>floors!$C$2</f>
        <v>15028</v>
      </c>
      <c r="C2" s="79" t="str">
        <f ca="1">VLOOKUP($B2,OFFSET([2]quests!$A$1,0,0,COUNTA([2]quests!$A:$A),MATCH(C$1,[2]quests!$1:$1,0)-MATCH($B$1,[2]quests!$1:$1,0)+1),MATCH(C$1,[2]quests!$1:$1,0)-MATCH($B$1,[2]quests!$1:$1,0)+1,FALSE)</f>
        <v>28. 暴風と灼熱の罪浄</v>
      </c>
      <c r="D2" s="79" t="str">
        <f ca="1">VLOOKUP($B2,OFFSET([2]quests!$A$1,0,0,COUNTA([2]quests!$A:$A),MATCH(D$1,[2]quests!$1:$1,0)-MATCH($B$1,[2]quests!$1:$1,0)+1),MATCH(D$1,[2]quests!$1:$1,0)-MATCH($B$1,[2]quests!$1:$1,0)+1,FALSE)</f>
        <v>赤緑DL6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28-1. 轟翼のかまど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赤緑DL6</v>
      </c>
      <c r="H2" s="81">
        <v>1</v>
      </c>
      <c r="I2" s="87">
        <f t="shared" ref="I2:I14" si="0">ROW()-1</f>
        <v>1</v>
      </c>
      <c r="J2" s="82" t="str">
        <f t="shared" ref="J2:J14" si="1">B2&amp;TEXT(I2,"00")</f>
        <v>1502801</v>
      </c>
      <c r="K2" s="80" t="s">
        <v>198</v>
      </c>
      <c r="L2" s="83" t="s">
        <v>199</v>
      </c>
      <c r="M2" s="184" t="s">
        <v>415</v>
      </c>
      <c r="N2" s="53" t="s">
        <v>200</v>
      </c>
    </row>
    <row r="3" spans="1:14" ht="28" x14ac:dyDescent="0.15">
      <c r="A3" s="77" t="s">
        <v>197</v>
      </c>
      <c r="B3" s="78">
        <f>floors!$C$2</f>
        <v>15028</v>
      </c>
      <c r="C3" s="79" t="str">
        <f ca="1">VLOOKUP($B3,OFFSET([2]quests!$A$1,0,0,COUNTA([2]quests!$A:$A),MATCH(C$1,[2]quests!$1:$1,0)-MATCH($B$1,[2]quests!$1:$1,0)+1),MATCH(C$1,[2]quests!$1:$1,0)-MATCH($B$1,[2]quests!$1:$1,0)+1,FALSE)</f>
        <v>28. 暴風と灼熱の罪浄</v>
      </c>
      <c r="D3" s="79" t="str">
        <f ca="1">VLOOKUP($B3,OFFSET([2]quests!$A$1,0,0,COUNTA([2]quests!$A:$A),MATCH(D$1,[2]quests!$1:$1,0)-MATCH($B$1,[2]quests!$1:$1,0)+1),MATCH(D$1,[2]quests!$1:$1,0)-MATCH($B$1,[2]quests!$1:$1,0)+1,FALSE)</f>
        <v>赤緑DL6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28-1. 轟翼のかまど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赤緑DL6</v>
      </c>
      <c r="H3" s="81">
        <v>2</v>
      </c>
      <c r="I3" s="87">
        <f t="shared" si="0"/>
        <v>2</v>
      </c>
      <c r="J3" s="82" t="str">
        <f t="shared" si="1"/>
        <v>1502802</v>
      </c>
      <c r="K3" s="80" t="s">
        <v>198</v>
      </c>
      <c r="L3" s="83" t="s">
        <v>199</v>
      </c>
      <c r="M3" s="184" t="s">
        <v>416</v>
      </c>
      <c r="N3" s="53" t="s">
        <v>200</v>
      </c>
    </row>
    <row r="4" spans="1:14" ht="28" x14ac:dyDescent="0.15">
      <c r="A4" s="77" t="s">
        <v>197</v>
      </c>
      <c r="B4" s="78">
        <f>floors!$C$2</f>
        <v>15028</v>
      </c>
      <c r="C4" s="79" t="str">
        <f ca="1">VLOOKUP($B4,OFFSET([2]quests!$A$1,0,0,COUNTA([2]quests!$A:$A),MATCH(C$1,[2]quests!$1:$1,0)-MATCH($B$1,[2]quests!$1:$1,0)+1),MATCH(C$1,[2]quests!$1:$1,0)-MATCH($B$1,[2]quests!$1:$1,0)+1,FALSE)</f>
        <v>28. 暴風と灼熱の罪浄</v>
      </c>
      <c r="D4" s="79" t="str">
        <f ca="1">VLOOKUP($B4,OFFSET([2]quests!$A$1,0,0,COUNTA([2]quests!$A:$A),MATCH(D$1,[2]quests!$1:$1,0)-MATCH($B$1,[2]quests!$1:$1,0)+1),MATCH(D$1,[2]quests!$1:$1,0)-MATCH($B$1,[2]quests!$1:$1,0)+1,FALSE)</f>
        <v>赤緑DL6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28-1. 轟翼のかまど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赤緑DL6</v>
      </c>
      <c r="H4" s="81">
        <v>3</v>
      </c>
      <c r="I4" s="87">
        <f t="shared" si="0"/>
        <v>3</v>
      </c>
      <c r="J4" s="82" t="str">
        <f t="shared" si="1"/>
        <v>1502803</v>
      </c>
      <c r="K4" s="80" t="s">
        <v>198</v>
      </c>
      <c r="L4" s="83" t="s">
        <v>199</v>
      </c>
      <c r="M4" s="184" t="s">
        <v>417</v>
      </c>
      <c r="N4" s="53" t="s">
        <v>200</v>
      </c>
    </row>
    <row r="5" spans="1:14" ht="42" x14ac:dyDescent="0.15">
      <c r="A5" s="77" t="s">
        <v>197</v>
      </c>
      <c r="B5" s="78">
        <f>floors!$C$2</f>
        <v>15028</v>
      </c>
      <c r="C5" s="79" t="str">
        <f ca="1">VLOOKUP($B5,OFFSET([2]quests!$A$1,0,0,COUNTA([2]quests!$A:$A),MATCH(C$1,[2]quests!$1:$1,0)-MATCH($B$1,[2]quests!$1:$1,0)+1),MATCH(C$1,[2]quests!$1:$1,0)-MATCH($B$1,[2]quests!$1:$1,0)+1,FALSE)</f>
        <v>28. 暴風と灼熱の罪浄</v>
      </c>
      <c r="D5" s="79" t="str">
        <f ca="1">VLOOKUP($B5,OFFSET([2]quests!$A$1,0,0,COUNTA([2]quests!$A:$A),MATCH(D$1,[2]quests!$1:$1,0)-MATCH($B$1,[2]quests!$1:$1,0)+1),MATCH(D$1,[2]quests!$1:$1,0)-MATCH($B$1,[2]quests!$1:$1,0)+1,FALSE)</f>
        <v>赤緑DL6</v>
      </c>
      <c r="E5" s="80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28-1. 轟翼のかまど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赤緑DL6</v>
      </c>
      <c r="H5" s="81">
        <v>4</v>
      </c>
      <c r="I5" s="87">
        <f t="shared" si="0"/>
        <v>4</v>
      </c>
      <c r="J5" s="82" t="str">
        <f t="shared" si="1"/>
        <v>1502804</v>
      </c>
      <c r="K5" s="80" t="s">
        <v>198</v>
      </c>
      <c r="L5" s="83" t="s">
        <v>199</v>
      </c>
      <c r="M5" s="184" t="s">
        <v>418</v>
      </c>
      <c r="N5" s="53" t="s">
        <v>200</v>
      </c>
    </row>
    <row r="6" spans="1:14" ht="42" x14ac:dyDescent="0.15">
      <c r="A6" s="77" t="s">
        <v>197</v>
      </c>
      <c r="B6" s="78">
        <f>floors!$C$2</f>
        <v>15028</v>
      </c>
      <c r="C6" s="79" t="str">
        <f ca="1">VLOOKUP($B6,OFFSET([2]quests!$A$1,0,0,COUNTA([2]quests!$A:$A),MATCH(C$1,[2]quests!$1:$1,0)-MATCH($B$1,[2]quests!$1:$1,0)+1),MATCH(C$1,[2]quests!$1:$1,0)-MATCH($B$1,[2]quests!$1:$1,0)+1,FALSE)</f>
        <v>28. 暴風と灼熱の罪浄</v>
      </c>
      <c r="D6" s="79" t="str">
        <f ca="1">VLOOKUP($B6,OFFSET([2]quests!$A$1,0,0,COUNTA([2]quests!$A:$A),MATCH(D$1,[2]quests!$1:$1,0)-MATCH($B$1,[2]quests!$1:$1,0)+1),MATCH(D$1,[2]quests!$1:$1,0)-MATCH($B$1,[2]quests!$1:$1,0)+1,FALSE)</f>
        <v>赤緑DL6</v>
      </c>
      <c r="E6" s="80">
        <v>2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28-2. 空の寝殿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赤緑DL6</v>
      </c>
      <c r="H6" s="81">
        <v>1</v>
      </c>
      <c r="I6" s="87">
        <f t="shared" si="0"/>
        <v>5</v>
      </c>
      <c r="J6" s="82" t="str">
        <f t="shared" si="1"/>
        <v>1502805</v>
      </c>
      <c r="K6" s="80" t="s">
        <v>198</v>
      </c>
      <c r="L6" s="83" t="s">
        <v>199</v>
      </c>
      <c r="M6" s="184" t="s">
        <v>419</v>
      </c>
      <c r="N6" s="53" t="s">
        <v>200</v>
      </c>
    </row>
    <row r="7" spans="1:14" ht="28" x14ac:dyDescent="0.15">
      <c r="A7" s="77" t="s">
        <v>197</v>
      </c>
      <c r="B7" s="78">
        <f>floors!$C$2</f>
        <v>15028</v>
      </c>
      <c r="C7" s="79" t="str">
        <f ca="1">VLOOKUP($B7,OFFSET([2]quests!$A$1,0,0,COUNTA([2]quests!$A:$A),MATCH(C$1,[2]quests!$1:$1,0)-MATCH($B$1,[2]quests!$1:$1,0)+1),MATCH(C$1,[2]quests!$1:$1,0)-MATCH($B$1,[2]quests!$1:$1,0)+1,FALSE)</f>
        <v>28. 暴風と灼熱の罪浄</v>
      </c>
      <c r="D7" s="79" t="str">
        <f ca="1">VLOOKUP($B7,OFFSET([2]quests!$A$1,0,0,COUNTA([2]quests!$A:$A),MATCH(D$1,[2]quests!$1:$1,0)-MATCH($B$1,[2]quests!$1:$1,0)+1),MATCH(D$1,[2]quests!$1:$1,0)-MATCH($B$1,[2]quests!$1:$1,0)+1,FALSE)</f>
        <v>赤緑DL6</v>
      </c>
      <c r="E7" s="80">
        <v>2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28-2. 空の寝殿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赤緑DL6</v>
      </c>
      <c r="H7" s="81">
        <v>2</v>
      </c>
      <c r="I7" s="87">
        <f t="shared" si="0"/>
        <v>6</v>
      </c>
      <c r="J7" s="82" t="str">
        <f t="shared" si="1"/>
        <v>1502806</v>
      </c>
      <c r="K7" s="80" t="s">
        <v>198</v>
      </c>
      <c r="L7" s="83" t="s">
        <v>199</v>
      </c>
      <c r="M7" s="184" t="s">
        <v>420</v>
      </c>
      <c r="N7" s="53" t="s">
        <v>200</v>
      </c>
    </row>
    <row r="8" spans="1:14" ht="42" x14ac:dyDescent="0.15">
      <c r="A8" s="77" t="s">
        <v>197</v>
      </c>
      <c r="B8" s="78">
        <f>floors!$C$2</f>
        <v>15028</v>
      </c>
      <c r="C8" s="79" t="str">
        <f ca="1">VLOOKUP($B8,OFFSET([2]quests!$A$1,0,0,COUNTA([2]quests!$A:$A),MATCH(C$1,[2]quests!$1:$1,0)-MATCH($B$1,[2]quests!$1:$1,0)+1),MATCH(C$1,[2]quests!$1:$1,0)-MATCH($B$1,[2]quests!$1:$1,0)+1,FALSE)</f>
        <v>28. 暴風と灼熱の罪浄</v>
      </c>
      <c r="D8" s="79" t="str">
        <f ca="1">VLOOKUP($B8,OFFSET([2]quests!$A$1,0,0,COUNTA([2]quests!$A:$A),MATCH(D$1,[2]quests!$1:$1,0)-MATCH($B$1,[2]quests!$1:$1,0)+1),MATCH(D$1,[2]quests!$1:$1,0)-MATCH($B$1,[2]quests!$1:$1,0)+1,FALSE)</f>
        <v>赤緑DL6</v>
      </c>
      <c r="E8" s="80">
        <v>2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28-2. 空の寝殿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赤緑DL6</v>
      </c>
      <c r="H8" s="81">
        <v>3</v>
      </c>
      <c r="I8" s="87">
        <f t="shared" si="0"/>
        <v>7</v>
      </c>
      <c r="J8" s="82" t="str">
        <f t="shared" si="1"/>
        <v>1502807</v>
      </c>
      <c r="K8" s="80" t="s">
        <v>198</v>
      </c>
      <c r="L8" s="83" t="s">
        <v>199</v>
      </c>
      <c r="M8" s="184" t="s">
        <v>421</v>
      </c>
      <c r="N8" s="53" t="s">
        <v>200</v>
      </c>
    </row>
    <row r="9" spans="1:14" ht="28" x14ac:dyDescent="0.15">
      <c r="A9" s="77" t="s">
        <v>197</v>
      </c>
      <c r="B9" s="78">
        <f>floors!$C$2</f>
        <v>15028</v>
      </c>
      <c r="C9" s="79" t="str">
        <f ca="1">VLOOKUP($B9,OFFSET([2]quests!$A$1,0,0,COUNTA([2]quests!$A:$A),MATCH(C$1,[2]quests!$1:$1,0)-MATCH($B$1,[2]quests!$1:$1,0)+1),MATCH(C$1,[2]quests!$1:$1,0)-MATCH($B$1,[2]quests!$1:$1,0)+1,FALSE)</f>
        <v>28. 暴風と灼熱の罪浄</v>
      </c>
      <c r="D9" s="79" t="str">
        <f ca="1">VLOOKUP($B9,OFFSET([2]quests!$A$1,0,0,COUNTA([2]quests!$A:$A),MATCH(D$1,[2]quests!$1:$1,0)-MATCH($B$1,[2]quests!$1:$1,0)+1),MATCH(D$1,[2]quests!$1:$1,0)-MATCH($B$1,[2]quests!$1:$1,0)+1,FALSE)</f>
        <v>赤緑DL6</v>
      </c>
      <c r="E9" s="80">
        <v>2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28-2. 空の寝殿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赤緑DL6</v>
      </c>
      <c r="H9" s="81">
        <v>4</v>
      </c>
      <c r="I9" s="87">
        <f t="shared" si="0"/>
        <v>8</v>
      </c>
      <c r="J9" s="82" t="str">
        <f t="shared" si="1"/>
        <v>1502808</v>
      </c>
      <c r="K9" s="80" t="s">
        <v>198</v>
      </c>
      <c r="L9" s="83" t="s">
        <v>199</v>
      </c>
      <c r="M9" s="184" t="s">
        <v>422</v>
      </c>
      <c r="N9" s="53" t="s">
        <v>200</v>
      </c>
    </row>
    <row r="10" spans="1:14" ht="42" x14ac:dyDescent="0.15">
      <c r="A10" s="77" t="s">
        <v>197</v>
      </c>
      <c r="B10" s="78">
        <f>floors!$C$2</f>
        <v>15028</v>
      </c>
      <c r="C10" s="79" t="str">
        <f ca="1">VLOOKUP($B10,OFFSET([2]quests!$A$1,0,0,COUNTA([2]quests!$A:$A),MATCH(C$1,[2]quests!$1:$1,0)-MATCH($B$1,[2]quests!$1:$1,0)+1),MATCH(C$1,[2]quests!$1:$1,0)-MATCH($B$1,[2]quests!$1:$1,0)+1,FALSE)</f>
        <v>28. 暴風と灼熱の罪浄</v>
      </c>
      <c r="D10" s="79" t="str">
        <f ca="1">VLOOKUP($B10,OFFSET([2]quests!$A$1,0,0,COUNTA([2]quests!$A:$A),MATCH(D$1,[2]quests!$1:$1,0)-MATCH($B$1,[2]quests!$1:$1,0)+1),MATCH(D$1,[2]quests!$1:$1,0)-MATCH($B$1,[2]quests!$1:$1,0)+1,FALSE)</f>
        <v>赤緑DL6</v>
      </c>
      <c r="E10" s="80">
        <v>3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28-3. 縛風の洞窟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赤緑DL6</v>
      </c>
      <c r="H10" s="81">
        <v>1</v>
      </c>
      <c r="I10" s="87">
        <f t="shared" si="0"/>
        <v>9</v>
      </c>
      <c r="J10" s="82" t="str">
        <f t="shared" si="1"/>
        <v>1502809</v>
      </c>
      <c r="K10" s="80" t="s">
        <v>198</v>
      </c>
      <c r="L10" s="83" t="s">
        <v>199</v>
      </c>
      <c r="M10" s="184" t="s">
        <v>426</v>
      </c>
      <c r="N10" s="53" t="s">
        <v>200</v>
      </c>
    </row>
    <row r="11" spans="1:14" ht="42" x14ac:dyDescent="0.15">
      <c r="A11" s="77" t="s">
        <v>197</v>
      </c>
      <c r="B11" s="78">
        <f>floors!$C$2</f>
        <v>15028</v>
      </c>
      <c r="C11" s="79" t="str">
        <f ca="1">VLOOKUP($B11,OFFSET([2]quests!$A$1,0,0,COUNTA([2]quests!$A:$A),MATCH(C$1,[2]quests!$1:$1,0)-MATCH($B$1,[2]quests!$1:$1,0)+1),MATCH(C$1,[2]quests!$1:$1,0)-MATCH($B$1,[2]quests!$1:$1,0)+1,FALSE)</f>
        <v>28. 暴風と灼熱の罪浄</v>
      </c>
      <c r="D11" s="79" t="str">
        <f ca="1">VLOOKUP($B11,OFFSET([2]quests!$A$1,0,0,COUNTA([2]quests!$A:$A),MATCH(D$1,[2]quests!$1:$1,0)-MATCH($B$1,[2]quests!$1:$1,0)+1),MATCH(D$1,[2]quests!$1:$1,0)-MATCH($B$1,[2]quests!$1:$1,0)+1,FALSE)</f>
        <v>赤緑DL6</v>
      </c>
      <c r="E11" s="80">
        <v>3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28-3. 縛風の洞窟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赤緑DL6</v>
      </c>
      <c r="H11" s="81">
        <v>2</v>
      </c>
      <c r="I11" s="87">
        <f t="shared" si="0"/>
        <v>10</v>
      </c>
      <c r="J11" s="82" t="str">
        <f t="shared" si="1"/>
        <v>1502810</v>
      </c>
      <c r="K11" s="80" t="s">
        <v>198</v>
      </c>
      <c r="L11" s="83" t="s">
        <v>199</v>
      </c>
      <c r="M11" s="184" t="s">
        <v>427</v>
      </c>
      <c r="N11" s="53" t="s">
        <v>200</v>
      </c>
    </row>
    <row r="12" spans="1:14" ht="28" x14ac:dyDescent="0.15">
      <c r="A12" s="77" t="s">
        <v>197</v>
      </c>
      <c r="B12" s="78">
        <f>floors!$C$2</f>
        <v>15028</v>
      </c>
      <c r="C12" s="79" t="str">
        <f ca="1">VLOOKUP($B12,OFFSET([2]quests!$A$1,0,0,COUNTA([2]quests!$A:$A),MATCH(C$1,[2]quests!$1:$1,0)-MATCH($B$1,[2]quests!$1:$1,0)+1),MATCH(C$1,[2]quests!$1:$1,0)-MATCH($B$1,[2]quests!$1:$1,0)+1,FALSE)</f>
        <v>28. 暴風と灼熱の罪浄</v>
      </c>
      <c r="D12" s="79" t="str">
        <f ca="1">VLOOKUP($B12,OFFSET([2]quests!$A$1,0,0,COUNTA([2]quests!$A:$A),MATCH(D$1,[2]quests!$1:$1,0)-MATCH($B$1,[2]quests!$1:$1,0)+1),MATCH(D$1,[2]quests!$1:$1,0)-MATCH($B$1,[2]quests!$1:$1,0)+1,FALSE)</f>
        <v>赤緑DL6</v>
      </c>
      <c r="E12" s="80">
        <v>3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28-3. 縛風の洞窟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赤緑DL6</v>
      </c>
      <c r="H12" s="81">
        <v>3</v>
      </c>
      <c r="I12" s="87">
        <f t="shared" si="0"/>
        <v>11</v>
      </c>
      <c r="J12" s="82" t="str">
        <f t="shared" si="1"/>
        <v>1502811</v>
      </c>
      <c r="K12" s="80" t="s">
        <v>198</v>
      </c>
      <c r="L12" s="83" t="s">
        <v>199</v>
      </c>
      <c r="M12" s="184" t="s">
        <v>423</v>
      </c>
      <c r="N12" s="53" t="s">
        <v>200</v>
      </c>
    </row>
    <row r="13" spans="1:14" ht="42" x14ac:dyDescent="0.15">
      <c r="A13" s="77" t="s">
        <v>197</v>
      </c>
      <c r="B13" s="78">
        <f>floors!$C$2</f>
        <v>15028</v>
      </c>
      <c r="C13" s="79" t="str">
        <f ca="1">VLOOKUP($B13,OFFSET([2]quests!$A$1,0,0,COUNTA([2]quests!$A:$A),MATCH(C$1,[2]quests!$1:$1,0)-MATCH($B$1,[2]quests!$1:$1,0)+1),MATCH(C$1,[2]quests!$1:$1,0)-MATCH($B$1,[2]quests!$1:$1,0)+1,FALSE)</f>
        <v>28. 暴風と灼熱の罪浄</v>
      </c>
      <c r="D13" s="79" t="str">
        <f ca="1">VLOOKUP($B13,OFFSET([2]quests!$A$1,0,0,COUNTA([2]quests!$A:$A),MATCH(D$1,[2]quests!$1:$1,0)-MATCH($B$1,[2]quests!$1:$1,0)+1),MATCH(D$1,[2]quests!$1:$1,0)-MATCH($B$1,[2]quests!$1:$1,0)+1,FALSE)</f>
        <v>赤緑DL6</v>
      </c>
      <c r="E13" s="80">
        <v>3</v>
      </c>
      <c r="F13" s="79" t="str">
        <f ca="1">VLOOKUP($B13&amp;"_"&amp;$E13,OFFSET([2]stages!$A$1,0,0,COUNTA([2]stages!$A:$A),MATCH(F$1,[2]stages!$2:$2,0)-MATCH("temp_stage",[2]stages!$2:$2,0)+1),MATCH(F$1,[2]stages!$2:$2,0)-MATCH("temp_stage",[2]stages!$2:$2,0)+1,FALSE)</f>
        <v>28-3. 縛風の洞窟</v>
      </c>
      <c r="G13" s="79" t="str">
        <f ca="1">VLOOKUP($B13&amp;"_"&amp;$E13,OFFSET([2]stages!$A$1,0,0,COUNTA([2]stages!$A:$A),MATCH(G$1,[2]stages!$2:$2,0)-MATCH("temp_stage",[2]stages!$2:$2,0)+1),MATCH(G$1,[2]stages!$2:$2,0)-MATCH("temp_stage",[2]stages!$2:$2,0)+1,FALSE)</f>
        <v>赤緑DL6</v>
      </c>
      <c r="H13" s="81">
        <v>4</v>
      </c>
      <c r="I13" s="87">
        <f t="shared" si="0"/>
        <v>12</v>
      </c>
      <c r="J13" s="82" t="str">
        <f t="shared" si="1"/>
        <v>1502812</v>
      </c>
      <c r="K13" s="80" t="s">
        <v>198</v>
      </c>
      <c r="L13" s="83" t="s">
        <v>199</v>
      </c>
      <c r="M13" s="184" t="s">
        <v>424</v>
      </c>
      <c r="N13" s="53" t="s">
        <v>200</v>
      </c>
    </row>
    <row r="14" spans="1:14" ht="42" x14ac:dyDescent="0.15">
      <c r="A14" s="77" t="s">
        <v>197</v>
      </c>
      <c r="B14" s="78">
        <f>floors!$C$2</f>
        <v>15028</v>
      </c>
      <c r="C14" s="79" t="str">
        <f ca="1">VLOOKUP($B14,OFFSET([2]quests!$A$1,0,0,COUNTA([2]quests!$A:$A),MATCH(C$1,[2]quests!$1:$1,0)-MATCH($B$1,[2]quests!$1:$1,0)+1),MATCH(C$1,[2]quests!$1:$1,0)-MATCH($B$1,[2]quests!$1:$1,0)+1,FALSE)</f>
        <v>28. 暴風と灼熱の罪浄</v>
      </c>
      <c r="D14" s="79" t="str">
        <f ca="1">VLOOKUP($B14,OFFSET([2]quests!$A$1,0,0,COUNTA([2]quests!$A:$A),MATCH(D$1,[2]quests!$1:$1,0)-MATCH($B$1,[2]quests!$1:$1,0)+1),MATCH(D$1,[2]quests!$1:$1,0)-MATCH($B$1,[2]quests!$1:$1,0)+1,FALSE)</f>
        <v>赤緑DL6</v>
      </c>
      <c r="E14" s="80">
        <v>3</v>
      </c>
      <c r="F14" s="79" t="str">
        <f ca="1">VLOOKUP($B14&amp;"_"&amp;$E14,OFFSET([2]stages!$A$1,0,0,COUNTA([2]stages!$A:$A),MATCH(F$1,[2]stages!$2:$2,0)-MATCH("temp_stage",[2]stages!$2:$2,0)+1),MATCH(F$1,[2]stages!$2:$2,0)-MATCH("temp_stage",[2]stages!$2:$2,0)+1,FALSE)</f>
        <v>28-3. 縛風の洞窟</v>
      </c>
      <c r="G14" s="79" t="str">
        <f ca="1">VLOOKUP($B14&amp;"_"&amp;$E14,OFFSET([2]stages!$A$1,0,0,COUNTA([2]stages!$A:$A),MATCH(G$1,[2]stages!$2:$2,0)-MATCH("temp_stage",[2]stages!$2:$2,0)+1),MATCH(G$1,[2]stages!$2:$2,0)-MATCH("temp_stage",[2]stages!$2:$2,0)+1,FALSE)</f>
        <v>赤緑DL6</v>
      </c>
      <c r="H14" s="81">
        <v>4</v>
      </c>
      <c r="I14" s="87">
        <f t="shared" si="0"/>
        <v>13</v>
      </c>
      <c r="J14" s="82" t="str">
        <f t="shared" si="1"/>
        <v>1502813</v>
      </c>
      <c r="K14" s="80" t="s">
        <v>198</v>
      </c>
      <c r="L14" s="83" t="s">
        <v>199</v>
      </c>
      <c r="M14" s="184" t="s">
        <v>425</v>
      </c>
      <c r="N14" s="53" t="s">
        <v>200</v>
      </c>
    </row>
    <row r="15" spans="1:14" x14ac:dyDescent="0.15">
      <c r="A15" s="77" t="s">
        <v>197</v>
      </c>
      <c r="B15" s="78">
        <f>floors!$C$2</f>
        <v>15028</v>
      </c>
      <c r="C15" s="79" t="str">
        <f ca="1">VLOOKUP($B15,OFFSET([2]quests!$A$1,0,0,COUNTA([2]quests!$A:$A),MATCH(C$1,[2]quests!$1:$1,0)-MATCH($B$1,[2]quests!$1:$1,0)+1),MATCH(C$1,[2]quests!$1:$1,0)-MATCH($B$1,[2]quests!$1:$1,0)+1,FALSE)</f>
        <v>28. 暴風と灼熱の罪浄</v>
      </c>
      <c r="D15" s="79" t="str">
        <f ca="1">VLOOKUP($B15,OFFSET([2]quests!$A$1,0,0,COUNTA([2]quests!$A:$A),MATCH(D$1,[2]quests!$1:$1,0)-MATCH($B$1,[2]quests!$1:$1,0)+1),MATCH(D$1,[2]quests!$1:$1,0)-MATCH($B$1,[2]quests!$1:$1,0)+1,FALSE)</f>
        <v>赤緑DL6</v>
      </c>
      <c r="E15" s="80">
        <v>4</v>
      </c>
      <c r="F15" s="79" t="str">
        <f ca="1">VLOOKUP($B15&amp;"_"&amp;$E15,OFFSET([2]stages!$A$1,0,0,COUNTA([2]stages!$A:$A),MATCH(F$1,[2]stages!$2:$2,0)-MATCH("temp_stage",[2]stages!$2:$2,0)+1),MATCH(F$1,[2]stages!$2:$2,0)-MATCH("temp_stage",[2]stages!$2:$2,0)+1,FALSE)</f>
        <v>28-4. 【1回のみ】ボーナスステージ</v>
      </c>
      <c r="G15" s="79" t="str">
        <f ca="1">VLOOKUP($B15&amp;"_"&amp;$E15,OFFSET([2]stages!$A$1,0,0,COUNTA([2]stages!$A:$A),MATCH(G$1,[2]stages!$2:$2,0)-MATCH("temp_stage",[2]stages!$2:$2,0)+1),MATCH(G$1,[2]stages!$2:$2,0)-MATCH("temp_stage",[2]stages!$2:$2,0)+1,FALSE)</f>
        <v>赤緑DL6</v>
      </c>
      <c r="H15" s="81">
        <v>1</v>
      </c>
      <c r="I15" s="87">
        <f t="shared" ref="I15:I19" si="2">ROW()-1</f>
        <v>14</v>
      </c>
      <c r="J15" s="82" t="str">
        <f t="shared" ref="J15:J19" si="3">B15&amp;TEXT(I15,"00")</f>
        <v>1502814</v>
      </c>
      <c r="K15" s="80" t="s">
        <v>198</v>
      </c>
      <c r="L15" s="83" t="s">
        <v>199</v>
      </c>
      <c r="M15" s="84" t="s">
        <v>376</v>
      </c>
      <c r="N15" s="53" t="s">
        <v>200</v>
      </c>
    </row>
    <row r="16" spans="1:14" x14ac:dyDescent="0.15">
      <c r="A16" s="77" t="s">
        <v>197</v>
      </c>
      <c r="B16" s="78">
        <f>floors!$C$2</f>
        <v>15028</v>
      </c>
      <c r="C16" s="79" t="str">
        <f ca="1">VLOOKUP($B16,OFFSET([2]quests!$A$1,0,0,COUNTA([2]quests!$A:$A),MATCH(C$1,[2]quests!$1:$1,0)-MATCH($B$1,[2]quests!$1:$1,0)+1),MATCH(C$1,[2]quests!$1:$1,0)-MATCH($B$1,[2]quests!$1:$1,0)+1,FALSE)</f>
        <v>28. 暴風と灼熱の罪浄</v>
      </c>
      <c r="D16" s="79" t="str">
        <f ca="1">VLOOKUP($B16,OFFSET([2]quests!$A$1,0,0,COUNTA([2]quests!$A:$A),MATCH(D$1,[2]quests!$1:$1,0)-MATCH($B$1,[2]quests!$1:$1,0)+1),MATCH(D$1,[2]quests!$1:$1,0)-MATCH($B$1,[2]quests!$1:$1,0)+1,FALSE)</f>
        <v>赤緑DL6</v>
      </c>
      <c r="E16" s="80">
        <v>4</v>
      </c>
      <c r="F16" s="79" t="str">
        <f ca="1">VLOOKUP($B16&amp;"_"&amp;$E16,OFFSET([2]stages!$A$1,0,0,COUNTA([2]stages!$A:$A),MATCH(F$1,[2]stages!$2:$2,0)-MATCH("temp_stage",[2]stages!$2:$2,0)+1),MATCH(F$1,[2]stages!$2:$2,0)-MATCH("temp_stage",[2]stages!$2:$2,0)+1,FALSE)</f>
        <v>28-4. 【1回のみ】ボーナスステージ</v>
      </c>
      <c r="G16" s="79" t="str">
        <f ca="1">VLOOKUP($B16&amp;"_"&amp;$E16,OFFSET([2]stages!$A$1,0,0,COUNTA([2]stages!$A:$A),MATCH(G$1,[2]stages!$2:$2,0)-MATCH("temp_stage",[2]stages!$2:$2,0)+1),MATCH(G$1,[2]stages!$2:$2,0)-MATCH("temp_stage",[2]stages!$2:$2,0)+1,FALSE)</f>
        <v>赤緑DL6</v>
      </c>
      <c r="H16" s="81">
        <v>2</v>
      </c>
      <c r="I16" s="87">
        <f t="shared" si="2"/>
        <v>15</v>
      </c>
      <c r="J16" s="82" t="str">
        <f t="shared" si="3"/>
        <v>1502815</v>
      </c>
      <c r="K16" s="80" t="s">
        <v>377</v>
      </c>
      <c r="L16" s="83" t="s">
        <v>199</v>
      </c>
      <c r="M16" s="84" t="s">
        <v>376</v>
      </c>
      <c r="N16" s="53" t="s">
        <v>378</v>
      </c>
    </row>
    <row r="17" spans="1:14" x14ac:dyDescent="0.15">
      <c r="A17" s="77" t="s">
        <v>197</v>
      </c>
      <c r="B17" s="78">
        <f>floors!$C$2</f>
        <v>15028</v>
      </c>
      <c r="C17" s="79" t="str">
        <f ca="1">VLOOKUP($B17,OFFSET([2]quests!$A$1,0,0,COUNTA([2]quests!$A:$A),MATCH(C$1,[2]quests!$1:$1,0)-MATCH($B$1,[2]quests!$1:$1,0)+1),MATCH(C$1,[2]quests!$1:$1,0)-MATCH($B$1,[2]quests!$1:$1,0)+1,FALSE)</f>
        <v>28. 暴風と灼熱の罪浄</v>
      </c>
      <c r="D17" s="79" t="str">
        <f ca="1">VLOOKUP($B17,OFFSET([2]quests!$A$1,0,0,COUNTA([2]quests!$A:$A),MATCH(D$1,[2]quests!$1:$1,0)-MATCH($B$1,[2]quests!$1:$1,0)+1),MATCH(D$1,[2]quests!$1:$1,0)-MATCH($B$1,[2]quests!$1:$1,0)+1,FALSE)</f>
        <v>赤緑DL6</v>
      </c>
      <c r="E17" s="80">
        <v>4</v>
      </c>
      <c r="F17" s="79" t="str">
        <f ca="1">VLOOKUP($B17&amp;"_"&amp;$E17,OFFSET([2]stages!$A$1,0,0,COUNTA([2]stages!$A:$A),MATCH(F$1,[2]stages!$2:$2,0)-MATCH("temp_stage",[2]stages!$2:$2,0)+1),MATCH(F$1,[2]stages!$2:$2,0)-MATCH("temp_stage",[2]stages!$2:$2,0)+1,FALSE)</f>
        <v>28-4. 【1回のみ】ボーナスステージ</v>
      </c>
      <c r="G17" s="79" t="str">
        <f ca="1">VLOOKUP($B17&amp;"_"&amp;$E17,OFFSET([2]stages!$A$1,0,0,COUNTA([2]stages!$A:$A),MATCH(G$1,[2]stages!$2:$2,0)-MATCH("temp_stage",[2]stages!$2:$2,0)+1),MATCH(G$1,[2]stages!$2:$2,0)-MATCH("temp_stage",[2]stages!$2:$2,0)+1,FALSE)</f>
        <v>赤緑DL6</v>
      </c>
      <c r="H17" s="81">
        <v>3</v>
      </c>
      <c r="I17" s="87">
        <f t="shared" si="2"/>
        <v>16</v>
      </c>
      <c r="J17" s="82" t="str">
        <f t="shared" si="3"/>
        <v>1502816</v>
      </c>
      <c r="K17" s="80" t="s">
        <v>198</v>
      </c>
      <c r="L17" s="83" t="s">
        <v>199</v>
      </c>
      <c r="M17" s="84" t="s">
        <v>376</v>
      </c>
      <c r="N17" s="53" t="s">
        <v>200</v>
      </c>
    </row>
    <row r="18" spans="1:14" x14ac:dyDescent="0.15">
      <c r="A18" s="77" t="s">
        <v>197</v>
      </c>
      <c r="B18" s="78">
        <f>floors!$C$2</f>
        <v>15028</v>
      </c>
      <c r="C18" s="79" t="str">
        <f ca="1">VLOOKUP($B18,OFFSET([2]quests!$A$1,0,0,COUNTA([2]quests!$A:$A),MATCH(C$1,[2]quests!$1:$1,0)-MATCH($B$1,[2]quests!$1:$1,0)+1),MATCH(C$1,[2]quests!$1:$1,0)-MATCH($B$1,[2]quests!$1:$1,0)+1,FALSE)</f>
        <v>28. 暴風と灼熱の罪浄</v>
      </c>
      <c r="D18" s="79" t="str">
        <f ca="1">VLOOKUP($B18,OFFSET([2]quests!$A$1,0,0,COUNTA([2]quests!$A:$A),MATCH(D$1,[2]quests!$1:$1,0)-MATCH($B$1,[2]quests!$1:$1,0)+1),MATCH(D$1,[2]quests!$1:$1,0)-MATCH($B$1,[2]quests!$1:$1,0)+1,FALSE)</f>
        <v>赤緑DL6</v>
      </c>
      <c r="E18" s="80">
        <v>4</v>
      </c>
      <c r="F18" s="79" t="str">
        <f ca="1">VLOOKUP($B18&amp;"_"&amp;$E18,OFFSET([2]stages!$A$1,0,0,COUNTA([2]stages!$A:$A),MATCH(F$1,[2]stages!$2:$2,0)-MATCH("temp_stage",[2]stages!$2:$2,0)+1),MATCH(F$1,[2]stages!$2:$2,0)-MATCH("temp_stage",[2]stages!$2:$2,0)+1,FALSE)</f>
        <v>28-4. 【1回のみ】ボーナスステージ</v>
      </c>
      <c r="G18" s="79" t="str">
        <f ca="1">VLOOKUP($B18&amp;"_"&amp;$E18,OFFSET([2]stages!$A$1,0,0,COUNTA([2]stages!$A:$A),MATCH(G$1,[2]stages!$2:$2,0)-MATCH("temp_stage",[2]stages!$2:$2,0)+1),MATCH(G$1,[2]stages!$2:$2,0)-MATCH("temp_stage",[2]stages!$2:$2,0)+1,FALSE)</f>
        <v>赤緑DL6</v>
      </c>
      <c r="H18" s="81">
        <v>4</v>
      </c>
      <c r="I18" s="87">
        <f t="shared" si="2"/>
        <v>17</v>
      </c>
      <c r="J18" s="82" t="str">
        <f t="shared" si="3"/>
        <v>1502817</v>
      </c>
      <c r="K18" s="80" t="s">
        <v>198</v>
      </c>
      <c r="L18" s="83" t="s">
        <v>199</v>
      </c>
      <c r="M18" s="84" t="s">
        <v>376</v>
      </c>
      <c r="N18" s="53" t="s">
        <v>200</v>
      </c>
    </row>
    <row r="19" spans="1:14" x14ac:dyDescent="0.15">
      <c r="A19" s="77" t="s">
        <v>197</v>
      </c>
      <c r="B19" s="78">
        <f>floors!$C$2</f>
        <v>15028</v>
      </c>
      <c r="C19" s="79" t="str">
        <f ca="1">VLOOKUP($B19,OFFSET([2]quests!$A$1,0,0,COUNTA([2]quests!$A:$A),MATCH(C$1,[2]quests!$1:$1,0)-MATCH($B$1,[2]quests!$1:$1,0)+1),MATCH(C$1,[2]quests!$1:$1,0)-MATCH($B$1,[2]quests!$1:$1,0)+1,FALSE)</f>
        <v>28. 暴風と灼熱の罪浄</v>
      </c>
      <c r="D19" s="79" t="str">
        <f ca="1">VLOOKUP($B19,OFFSET([2]quests!$A$1,0,0,COUNTA([2]quests!$A:$A),MATCH(D$1,[2]quests!$1:$1,0)-MATCH($B$1,[2]quests!$1:$1,0)+1),MATCH(D$1,[2]quests!$1:$1,0)-MATCH($B$1,[2]quests!$1:$1,0)+1,FALSE)</f>
        <v>赤緑DL6</v>
      </c>
      <c r="E19" s="80">
        <v>4</v>
      </c>
      <c r="F19" s="79" t="str">
        <f ca="1">VLOOKUP($B19&amp;"_"&amp;$E19,OFFSET([2]stages!$A$1,0,0,COUNTA([2]stages!$A:$A),MATCH(F$1,[2]stages!$2:$2,0)-MATCH("temp_stage",[2]stages!$2:$2,0)+1),MATCH(F$1,[2]stages!$2:$2,0)-MATCH("temp_stage",[2]stages!$2:$2,0)+1,FALSE)</f>
        <v>28-4. 【1回のみ】ボーナスステージ</v>
      </c>
      <c r="G19" s="79" t="str">
        <f ca="1">VLOOKUP($B19&amp;"_"&amp;$E19,OFFSET([2]stages!$A$1,0,0,COUNTA([2]stages!$A:$A),MATCH(G$1,[2]stages!$2:$2,0)-MATCH("temp_stage",[2]stages!$2:$2,0)+1),MATCH(G$1,[2]stages!$2:$2,0)-MATCH("temp_stage",[2]stages!$2:$2,0)+1,FALSE)</f>
        <v>赤緑DL6</v>
      </c>
      <c r="H19" s="81">
        <v>5</v>
      </c>
      <c r="I19" s="87">
        <f t="shared" si="2"/>
        <v>18</v>
      </c>
      <c r="J19" s="82" t="str">
        <f t="shared" si="3"/>
        <v>1502818</v>
      </c>
      <c r="K19" s="80" t="s">
        <v>379</v>
      </c>
      <c r="L19" s="83" t="s">
        <v>199</v>
      </c>
      <c r="M19" s="84" t="s">
        <v>376</v>
      </c>
      <c r="N19" s="53" t="s">
        <v>380</v>
      </c>
    </row>
  </sheetData>
  <phoneticPr fontId="6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2016-06-23T08:27:41Z</dcterms:modified>
</cp:coreProperties>
</file>