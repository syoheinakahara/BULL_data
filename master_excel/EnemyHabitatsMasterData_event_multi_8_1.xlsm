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2220" yWindow="620" windowWidth="25600" windowHeight="1392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11" l="1"/>
  <c r="O22" i="9"/>
  <c r="N22" i="9"/>
  <c r="M22" i="9"/>
  <c r="L22" i="9"/>
  <c r="K22" i="9"/>
  <c r="J22" i="9"/>
  <c r="I22" i="9"/>
  <c r="H22" i="9"/>
  <c r="G22" i="9"/>
  <c r="E22" i="9"/>
  <c r="D22" i="9"/>
  <c r="A22" i="9"/>
  <c r="E23" i="9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O24" i="9"/>
  <c r="N24" i="9"/>
  <c r="M24" i="9"/>
  <c r="L24" i="9"/>
  <c r="K24" i="9"/>
  <c r="J24" i="9"/>
  <c r="I24" i="9"/>
  <c r="H24" i="9"/>
  <c r="G24" i="9"/>
  <c r="E24" i="9"/>
  <c r="D24" i="9"/>
  <c r="A24" i="9"/>
  <c r="J6" i="11"/>
  <c r="O23" i="9"/>
  <c r="N23" i="9"/>
  <c r="M23" i="9"/>
  <c r="L23" i="9"/>
  <c r="K23" i="9"/>
  <c r="J23" i="9"/>
  <c r="I23" i="9"/>
  <c r="H23" i="9"/>
  <c r="G23" i="9"/>
  <c r="D23" i="9"/>
  <c r="A23" i="9"/>
  <c r="O17" i="9"/>
  <c r="N17" i="9"/>
  <c r="M17" i="9"/>
  <c r="L17" i="9"/>
  <c r="K17" i="9"/>
  <c r="J17" i="9"/>
  <c r="I17" i="9"/>
  <c r="H17" i="9"/>
  <c r="G17" i="9"/>
  <c r="E17" i="9"/>
  <c r="D17" i="9"/>
  <c r="A17" i="9"/>
  <c r="W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3" i="7"/>
  <c r="I3" i="7"/>
  <c r="D3" i="7"/>
  <c r="F3" i="7"/>
  <c r="E3" i="7"/>
  <c r="A3" i="7"/>
  <c r="J18" i="11"/>
  <c r="O21" i="9"/>
  <c r="N21" i="9"/>
  <c r="M21" i="9"/>
  <c r="L21" i="9"/>
  <c r="K21" i="9"/>
  <c r="J21" i="9"/>
  <c r="I21" i="9"/>
  <c r="H21" i="9"/>
  <c r="G21" i="9"/>
  <c r="E21" i="9"/>
  <c r="D21" i="9"/>
  <c r="A21" i="9"/>
  <c r="J17" i="11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J7" i="11"/>
  <c r="O18" i="9"/>
  <c r="N18" i="9"/>
  <c r="M18" i="9"/>
  <c r="L18" i="9"/>
  <c r="K18" i="9"/>
  <c r="J18" i="9"/>
  <c r="I18" i="9"/>
  <c r="H18" i="9"/>
  <c r="G18" i="9"/>
  <c r="E18" i="9"/>
  <c r="D18" i="9"/>
  <c r="A18" i="9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C33" i="18"/>
  <c r="D33" i="18"/>
  <c r="AB9" i="1"/>
  <c r="AD9" i="1"/>
  <c r="AG9" i="1"/>
  <c r="AE9" i="1"/>
  <c r="AC9" i="1"/>
  <c r="AA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8" i="1"/>
  <c r="AD8" i="1"/>
  <c r="AG8" i="1"/>
  <c r="AE8" i="1"/>
  <c r="AC8" i="1"/>
  <c r="AA8" i="1"/>
  <c r="W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AA7" i="1"/>
  <c r="W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AA6" i="1"/>
  <c r="W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AA5" i="1"/>
  <c r="W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W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W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2" i="1"/>
  <c r="AD2" i="1"/>
  <c r="AG2" i="1"/>
  <c r="AE2" i="1"/>
  <c r="AC2" i="1"/>
  <c r="AA2" i="1"/>
  <c r="W2" i="1"/>
  <c r="V2" i="1"/>
  <c r="Q2" i="1"/>
  <c r="P2" i="1"/>
  <c r="O2" i="1"/>
  <c r="N2" i="1"/>
  <c r="M2" i="1"/>
  <c r="H2" i="1"/>
  <c r="J2" i="1"/>
  <c r="I2" i="1"/>
  <c r="D2" i="1"/>
  <c r="F2" i="1"/>
  <c r="E2" i="1"/>
  <c r="A2" i="1"/>
  <c r="AB17" i="1"/>
  <c r="AD17" i="1"/>
  <c r="AG17" i="1"/>
  <c r="AE17" i="1"/>
  <c r="AC17" i="1"/>
  <c r="AA17" i="1"/>
  <c r="W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W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AA15" i="1"/>
  <c r="W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AA14" i="1"/>
  <c r="W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AA13" i="1"/>
  <c r="W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W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W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W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J22" i="11"/>
  <c r="J21" i="11"/>
  <c r="J20" i="11"/>
  <c r="J19" i="11"/>
  <c r="O16" i="9"/>
  <c r="N16" i="9"/>
  <c r="M16" i="9"/>
  <c r="L16" i="9"/>
  <c r="K16" i="9"/>
  <c r="J16" i="9"/>
  <c r="I16" i="9"/>
  <c r="H16" i="9"/>
  <c r="G16" i="9"/>
  <c r="E16" i="9"/>
  <c r="D16" i="9"/>
  <c r="A16" i="9"/>
  <c r="O9" i="9"/>
  <c r="N9" i="9"/>
  <c r="M9" i="9"/>
  <c r="L9" i="9"/>
  <c r="K9" i="9"/>
  <c r="J9" i="9"/>
  <c r="I9" i="9"/>
  <c r="H9" i="9"/>
  <c r="G9" i="9"/>
  <c r="E9" i="9"/>
  <c r="D9" i="9"/>
  <c r="A9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W28" i="1"/>
  <c r="V28" i="1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J13" i="11"/>
  <c r="J12" i="11"/>
  <c r="J11" i="11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10" i="11"/>
  <c r="J9" i="11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J8" i="11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B28" i="1"/>
  <c r="AD28" i="1"/>
  <c r="AG28" i="1"/>
  <c r="AE28" i="1"/>
  <c r="AC28" i="1"/>
  <c r="AA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AA27" i="1"/>
  <c r="W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AA26" i="1"/>
  <c r="W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B24" i="1"/>
  <c r="AD24" i="1"/>
  <c r="AG24" i="1"/>
  <c r="AE24" i="1"/>
  <c r="AC24" i="1"/>
  <c r="AA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22" i="1"/>
  <c r="AD22" i="1"/>
  <c r="AG22" i="1"/>
  <c r="AE22" i="1"/>
  <c r="AC22" i="1"/>
  <c r="AA22" i="1"/>
  <c r="W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W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AA20" i="1"/>
  <c r="W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W19" i="1"/>
  <c r="W25" i="1"/>
  <c r="AD29" i="1"/>
  <c r="AG29" i="1"/>
  <c r="AE29" i="1"/>
  <c r="AC29" i="1"/>
  <c r="AA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5" i="1"/>
  <c r="AD25" i="1"/>
  <c r="AG25" i="1"/>
  <c r="AE25" i="1"/>
  <c r="AC25" i="1"/>
  <c r="AA25" i="1"/>
  <c r="V25" i="1"/>
  <c r="Q25" i="1"/>
  <c r="P25" i="1"/>
  <c r="O25" i="1"/>
  <c r="N25" i="1"/>
  <c r="M25" i="1"/>
  <c r="H25" i="1"/>
  <c r="J25" i="1"/>
  <c r="I25" i="1"/>
  <c r="D25" i="1"/>
  <c r="F25" i="1"/>
  <c r="E25" i="1"/>
  <c r="A25" i="1"/>
  <c r="AB23" i="1"/>
  <c r="AD23" i="1"/>
  <c r="AG23" i="1"/>
  <c r="AE23" i="1"/>
  <c r="AC23" i="1"/>
  <c r="E2" i="9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AB19" i="1"/>
  <c r="AD19" i="1"/>
  <c r="AG19" i="1"/>
  <c r="AE19" i="1"/>
  <c r="AC19" i="1"/>
  <c r="AA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AA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9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<sst xmlns="http://schemas.openxmlformats.org/spreadsheetml/2006/main" count="873" uniqueCount="269">
  <si>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</si>
  <si>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</si>
  <si>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</si>
  <si>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</si>
  <si>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</si>
  <si>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</si>
  <si>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</si>
  <si>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</si>
  <si>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</si>
  <si>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</si>
  <si>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</si>
  <si>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</si>
  <si>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</si>
  <si>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</si>
  <si>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</si>
  <si>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</si>
  <si>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</si>
  <si>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</si>
  <si>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</si>
  <si>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</si>
  <si>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</si>
  <si>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</si>
  <si>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</si>
  <si>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</si>
  <si>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</si>
  <si>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</si>
  <si>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</si>
  <si>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</si>
  <si>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</si>
  <si>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</si>
  <si>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</si>
  <si>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</si>
  <si>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</si>
  <si>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</si>
  <si>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</si>
  <si>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</si>
  <si>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</si>
  <si>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</si>
  <si>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</si>
  <si>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</si>
  <si>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</si>
  <si>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</si>
  <si>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</si>
  <si>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</si>
  <si>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</si>
  <si>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</si>
  <si>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</si>
  <si>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</si>
  <si>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</si>
  <si>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</si>
  <si>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</si>
  <si>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</si>
  <si>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</si>
  <si>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</si>
  <si>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</si>
  <si>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</si>
  <si>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</si>
  <si>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</si>
  <si>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</si>
  <si>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</si>
  <si>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</si>
  <si>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</si>
  <si>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</si>
  <si>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</si>
  <si>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</si>
  <si>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</si>
  <si>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</si>
  <si>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</si>
  <si>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</si>
  <si>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</si>
  <si>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</si>
  <si>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</si>
  <si>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</si>
  <si>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</si>
  <si>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</si>
  <si>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</si>
  <si>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</si>
  <si>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</si>
  <si>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</si>
  <si>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</si>
  <si>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</si>
  <si>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</si>
  <si>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</si>
  <si>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</si>
  <si>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</si>
  <si>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</si>
  <si>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</si>
  <si>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</si>
  <si>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</si>
  <si>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</si>
  <si>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</si>
  <si>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</si>
  <si>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</si>
  <si>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</si>
  <si>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</si>
  <si>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</si>
  <si>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</si>
  <si>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</si>
  <si>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</si>
  <si>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</si>
  <si>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</si>
  <si>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</si>
  <si>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</si>
  <si>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</si>
  <si>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</si>
  <si>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</si>
  <si>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</si>
  <si>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</si>
  <si>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</si>
  <si>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</si>
  <si>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</si>
  <si>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</si>
  <si>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</si>
  <si>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</si>
  <si>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</si>
  <si>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</si>
  <si>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</si>
  <si>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</si>
  <si>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</si>
  <si>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</si>
  <si>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</si>
  <si>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</si>
  <si>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</si>
  <si>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</si>
  <si>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</si>
  <si>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</si>
  <si>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</si>
  <si>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</si>
  <si>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</si>
  <si>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</si>
  <si>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</si>
  <si>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</si>
  <si>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</si>
  <si>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</si>
  <si>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</si>
  <si>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</si>
  <si>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</si>
  <si>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</si>
  <si>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</si>
  <si>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</si>
  <si>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</si>
  <si>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</si>
  <si>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</si>
  <si>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</si>
  <si>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</si>
  <si>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</si>
  <si>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</si>
  <si>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</si>
  <si>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</si>
  <si>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</si>
  <si>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</si>
  <si>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</si>
  <si>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</si>
  <si>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</si>
  <si>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</si>
  <si>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</si>
  <si>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</si>
  <si>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</si>
  <si>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</si>
  <si>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</si>
  <si>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</si>
  <si>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</si>
  <si>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</si>
  <si>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</si>
  <si>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</si>
  <si>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</si>
  <si>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</si>
  <si>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</si>
  <si>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</si>
  <si>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</si>
  <si>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</si>
  <si>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</si>
  <si>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</si>
  <si>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</si>
  <si>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</si>
  <si>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</si>
  <si>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</si>
  <si>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</si>
  <si>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</si>
  <si>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</si>
  <si>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</si>
  <si>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</si>
  <si>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</si>
  <si>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</si>
  <si>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</si>
  <si>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</si>
  <si>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</si>
  <si>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</si>
  <si>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</si>
  <si>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</si>
  <si>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</si>
  <si>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</si>
  <si>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</si>
  <si>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</si>
  <si>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</si>
  <si>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</si>
  <si>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</si>
  <si>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</si>
  <si>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</si>
  <si>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</si>
  <si>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</si>
  <si>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</si>
  <si>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</si>
  <si>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</si>
  <si>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</si>
  <si>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</si>
  <si>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</si>
  <si>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</si>
  <si>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</si>
  <si>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</si>
  <si>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</si>
  <si>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</si>
  <si>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</si>
  <si>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  <phoneticPr fontId="5"/>
  </si>
  <si>
    <t>2ターンスキルが使えない！</t>
    <rPh sb="8" eb="9">
      <t>ツカ</t>
    </rPh>
    <phoneticPr fontId="5"/>
  </si>
  <si>
    <t>ランダムで赤パネルに変換</t>
    <rPh sb="5" eb="6">
      <t>アカ</t>
    </rPh>
    <rPh sb="10" eb="12">
      <t>ヘンカン</t>
    </rPh>
    <phoneticPr fontId="5"/>
  </si>
  <si>
    <t>5ターンの間ダメージを受ける</t>
    <phoneticPr fontId="5"/>
  </si>
  <si>
    <t>2ターンの間ダメージを受ける</t>
    <phoneticPr fontId="5"/>
  </si>
  <si>
    <t>ユニット1体に2ターンスリープ</t>
    <rPh sb="5" eb="6">
      <t>タイ</t>
    </rPh>
    <phoneticPr fontId="5"/>
  </si>
  <si>
    <t>3ターン攻撃力が50%DOWN</t>
    <rPh sb="4" eb="7">
      <t>コウゲキリョク</t>
    </rPh>
    <phoneticPr fontId="5"/>
  </si>
  <si>
    <t>3ターン黄パネルが使えない！</t>
    <rPh sb="4" eb="5">
      <t>キイロ</t>
    </rPh>
    <phoneticPr fontId="5"/>
  </si>
  <si>
    <t>赤パネル破壊攻撃</t>
    <rPh sb="0" eb="1">
      <t>アカ</t>
    </rPh>
    <rPh sb="4" eb="6">
      <t>ハカイ</t>
    </rPh>
    <rPh sb="6" eb="8">
      <t>コウゲキ</t>
    </rPh>
    <phoneticPr fontId="5"/>
  </si>
  <si>
    <t>雪女 赤パネル破壊攻撃</t>
    <rPh sb="0" eb="2">
      <t>ユキオンナ</t>
    </rPh>
    <rPh sb="3" eb="4">
      <t>アカ</t>
    </rPh>
    <rPh sb="7" eb="9">
      <t>ハカイ</t>
    </rPh>
    <rPh sb="9" eb="11">
      <t>コウゲキ</t>
    </rPh>
    <phoneticPr fontId="5"/>
  </si>
  <si>
    <t>赤パネル破壊攻撃力強化</t>
    <rPh sb="0" eb="1">
      <t>アカ</t>
    </rPh>
    <rPh sb="4" eb="6">
      <t>ハカイ</t>
    </rPh>
    <rPh sb="6" eb="9">
      <t>コウゲキリョク</t>
    </rPh>
    <rPh sb="9" eb="11">
      <t>キョウカ</t>
    </rPh>
    <phoneticPr fontId="5"/>
  </si>
  <si>
    <t>[effect:degrade_unit, target:unit_all, turn:3, status:attack, val:0.5, calc:mul],,[effect:rush, count:1, val:0.8]</t>
    <phoneticPr fontId="5"/>
  </si>
  <si>
    <t>[effect:dis_panel, target:block_yellow, turn:3, animation:enemy_dis_yellow],[effect:spread, val:0.3, animation:enemy_spread]</t>
    <phoneticPr fontId="5"/>
  </si>
  <si>
    <t>[effect:spread, val:0.25, animation:enemy_spread],[effect:break_enchance_enemy, val:100, lowest_val:0, count :1, status:attack, turn:-1, block:block_red, target:myself, calc:add, animation:enemy_enhance_attack]</t>
    <phoneticPr fontId="5"/>
  </si>
  <si>
    <t>null</t>
  </si>
  <si>
    <t>[effect:change_block, new_block:block_red, target:block_all, count:1, val:0, animation:change_block],[effect:rush, count:1, val:1.0]</t>
    <phoneticPr fontId="5"/>
  </si>
  <si>
    <t>[effect:break_attack, val:0.3, lowest_val:1000, count:1, block:block_red, target:unit_all]</t>
    <phoneticPr fontId="5"/>
  </si>
  <si>
    <t>[effect:change_block, new_block:block_red, target:block_all, count:2, val:0, animation:change_block],[effect:rush, count:1, val:1.1]</t>
    <phoneticPr fontId="5"/>
  </si>
  <si>
    <t>[effect:change_block, new_block:block_red, target:block_all, count:3, val:0, animation:change_block],[effect:rush, count:1, val:1.2]</t>
    <phoneticPr fontId="5"/>
  </si>
  <si>
    <t>[effect:break_attack, val:0.4, lowest_val:1200, count:2, block:block_red, target:unit_all]</t>
    <phoneticPr fontId="5"/>
  </si>
  <si>
    <t>[effect:break_attack, val:0.5, lowest_val:1400, count:3, block:block_red, target:unit_all]</t>
    <phoneticPr fontId="5"/>
  </si>
  <si>
    <t>[effect:fix_speed, target:myself, turn:1],[effect:tolerance, target:myself, turn:-1, tolerance_effect:virus, count:-1],[effect:tolerance, target:myself, turn:-1, tolerance_effect:sleep, count:-1],[effect:tolerance, target:myself, turn:-1, tolerance_effect:hungup, count:-1, animation:enemy_tolerance]</t>
    <phoneticPr fontId="5"/>
  </si>
  <si>
    <t>炎華の香り</t>
    <rPh sb="0" eb="1">
      <t>ホノオ</t>
    </rPh>
    <rPh sb="1" eb="2">
      <t>ハナ</t>
    </rPh>
    <rPh sb="3" eb="4">
      <t>カオ</t>
    </rPh>
    <phoneticPr fontId="5"/>
  </si>
  <si>
    <t>炎華の香り・真打</t>
    <rPh sb="6" eb="8">
      <t>シンウチ</t>
    </rPh>
    <phoneticPr fontId="5"/>
  </si>
  <si>
    <t>紅葉静止</t>
    <rPh sb="0" eb="2">
      <t>コウヨウ</t>
    </rPh>
    <rPh sb="2" eb="4">
      <t>セイシ</t>
    </rPh>
    <phoneticPr fontId="7"/>
  </si>
  <si>
    <t>紅葉静止・乱打</t>
    <rPh sb="0" eb="2">
      <t>コウヨウ</t>
    </rPh>
    <rPh sb="2" eb="4">
      <t>セイシ</t>
    </rPh>
    <rPh sb="5" eb="7">
      <t>ランダ</t>
    </rPh>
    <phoneticPr fontId="7"/>
  </si>
  <si>
    <t>link</t>
    <phoneticPr fontId="5"/>
  </si>
  <si>
    <t>unit</t>
    <phoneticPr fontId="5"/>
  </si>
  <si>
    <t>link</t>
    <phoneticPr fontId="5"/>
  </si>
  <si>
    <t>null</t>
    <phoneticPr fontId="5"/>
  </si>
  <si>
    <t>ワタシに興味があるのかな？</t>
  </si>
  <si>
    <t>ホラ、一緒に楽しみましょう？</t>
  </si>
  <si>
    <t>アナタも凍らせてほしいのね？</t>
  </si>
  <si>
    <t>泡雪の抱擁</t>
    <rPh sb="0" eb="2">
      <t>アワユキ</t>
    </rPh>
    <rPh sb="3" eb="5">
      <t>ホウヨウ</t>
    </rPh>
    <phoneticPr fontId="5"/>
  </si>
  <si>
    <t>粉雪</t>
    <rPh sb="0" eb="2">
      <t>コナユキ</t>
    </rPh>
    <phoneticPr fontId="5"/>
  </si>
  <si>
    <t>玉雪</t>
    <rPh sb="0" eb="2">
      <t>タマユキ</t>
    </rPh>
    <phoneticPr fontId="5"/>
  </si>
  <si>
    <t>餅雪</t>
    <rPh sb="0" eb="1">
      <t>モチ</t>
    </rPh>
    <rPh sb="1" eb="2">
      <t>ユキ</t>
    </rPh>
    <phoneticPr fontId="5"/>
  </si>
  <si>
    <t>綿雪の抱擁</t>
    <rPh sb="0" eb="1">
      <t>ワタ</t>
    </rPh>
    <rPh sb="1" eb="2">
      <t>ユキ</t>
    </rPh>
    <rPh sb="3" eb="5">
      <t>ホウヨウ</t>
    </rPh>
    <phoneticPr fontId="5"/>
  </si>
  <si>
    <t>雪花の舞・細</t>
    <rPh sb="0" eb="2">
      <t>セッカ</t>
    </rPh>
    <rPh sb="3" eb="4">
      <t>マイ</t>
    </rPh>
    <rPh sb="5" eb="6">
      <t>ホソ</t>
    </rPh>
    <phoneticPr fontId="5"/>
  </si>
  <si>
    <t>雪花の舞・灰</t>
    <rPh sb="0" eb="2">
      <t>セッカ</t>
    </rPh>
    <rPh sb="3" eb="4">
      <t>マイ</t>
    </rPh>
    <rPh sb="5" eb="6">
      <t>ハイイロ</t>
    </rPh>
    <phoneticPr fontId="5"/>
  </si>
  <si>
    <t>雪花の舞・吹雪</t>
    <rPh sb="0" eb="2">
      <t>セッカ</t>
    </rPh>
    <rPh sb="3" eb="4">
      <t>マイ</t>
    </rPh>
    <rPh sb="5" eb="7">
      <t>フブキ</t>
    </rPh>
    <phoneticPr fontId="5"/>
  </si>
  <si>
    <t>行動頻度が速いユニットから
先に倒しましょう</t>
    <phoneticPr fontId="5"/>
  </si>
  <si>
    <t>行動頻度が速いユニットから
先に倒しましょう</t>
    <phoneticPr fontId="5"/>
  </si>
  <si>
    <t>行動頻度が速いユニットから
先に倒しましょう</t>
    <phoneticPr fontId="5"/>
  </si>
  <si>
    <t>ユニット1体に1ターンスリープ</t>
    <rPh sb="5" eb="6">
      <t>タイ</t>
    </rPh>
    <phoneticPr fontId="5"/>
  </si>
  <si>
    <t>タマモは高確率でスキルバインドを
使用してきます
優先して倒しましょう</t>
    <rPh sb="4" eb="7">
      <t>コウカクリツ</t>
    </rPh>
    <rPh sb="17" eb="19">
      <t>シヨウ</t>
    </rPh>
    <rPh sb="26" eb="28">
      <t>ユウセン</t>
    </rPh>
    <rPh sb="30" eb="31">
      <t>タオ</t>
    </rPh>
    <phoneticPr fontId="5"/>
  </si>
  <si>
    <t>ユキは赤パネル破壊攻撃を
使用してきます
赤パネルを優先して消しましょう</t>
    <rPh sb="3" eb="4">
      <t>アカ</t>
    </rPh>
    <rPh sb="7" eb="9">
      <t>ハカイ</t>
    </rPh>
    <rPh sb="9" eb="11">
      <t>コウゲキ</t>
    </rPh>
    <rPh sb="13" eb="15">
      <t>シヨウ</t>
    </rPh>
    <rPh sb="22" eb="23">
      <t>アカ</t>
    </rPh>
    <rPh sb="27" eb="29">
      <t>ユウセン</t>
    </rPh>
    <rPh sb="31" eb="32">
      <t>ケ</t>
    </rPh>
    <phoneticPr fontId="5"/>
  </si>
  <si>
    <t>勝てない時はゲリラに参加して
ユニットのレベルを上げましょう</t>
    <phoneticPr fontId="5"/>
  </si>
  <si>
    <t>[effect:fix_speed, target:myself, turn:2],[effect:tolerance, target:myself, turn:-1, tolerance_effect:virus, count:-1],[effect:tolerance, target:myself, turn:-1, tolerance_effect:sleep, count:-1],[effect:tolerance, target:myself, turn:-1, tolerance_effect:hungup, count:-1, animation:enemy_tolerance]</t>
    <phoneticPr fontId="5"/>
  </si>
  <si>
    <t>状態異常無効</t>
    <rPh sb="0" eb="2">
      <t>ジョウタイ</t>
    </rPh>
    <rPh sb="2" eb="4">
      <t>イジョウ</t>
    </rPh>
    <rPh sb="4" eb="6">
      <t>ムコウ</t>
    </rPh>
    <phoneticPr fontId="5"/>
  </si>
  <si>
    <t>[effect:sleep, target:unit_one, turn:2, rate:1.0, animation:sleep01],[effect:spread, val:0.25]</t>
    <phoneticPr fontId="5"/>
  </si>
  <si>
    <t xml:space="preserve">[effect:sleep, target:unit_one, turn:1, rate:1.0, animation:sleep01],[effect:spread, val:0.225] </t>
    <phoneticPr fontId="5"/>
  </si>
  <si>
    <t>[effect:hungup, target:unit_one, turn:2, rate:1.0, animation:hungup01],[effect:rush, count:1, val:1.0]</t>
    <phoneticPr fontId="5"/>
  </si>
  <si>
    <t>[effect:spread, val:0.3, animation:enemy_spread],[effect:hungup, target:unit_all, turn:2, rate:1.0, animation:hungup01]</t>
    <phoneticPr fontId="5"/>
  </si>
  <si>
    <t>[effect:spread, val:0.3, animation:enemy_spread],[effect:virus, turn:5, rate:1.0, val:0.10, animation:enemy_virus]</t>
    <phoneticPr fontId="5"/>
  </si>
  <si>
    <t>[effect:rush, count:1, val:1.0],[effect:virus, turn:2, rate:1.0, val:0.10, animation:enemy_virus]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</si>
</sst>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8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4" fillId="31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16" fillId="6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</cellXfs>
  <cellStyles count="88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赤字強調" xfId="431"/>
    <cellStyle name="青字強調" xfId="43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15" sqref="A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213</v>
      </c>
      <c r="B2" s="57" t="s">
        <v>106</v>
      </c>
      <c r="C2" s="62">
        <v>30027</v>
      </c>
      <c r="D2" s="57" t="s">
        <v>107</v>
      </c>
      <c r="E2" s="56" t="str">
        <f>B2&amp;C2&amp;D2</f>
        <v>floors_30027.tmp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213</v>
      </c>
      <c r="B3" s="57" t="s">
        <v>109</v>
      </c>
      <c r="C3" s="62">
        <f>C$2</f>
        <v>30027</v>
      </c>
      <c r="D3" s="57" t="s">
        <v>107</v>
      </c>
      <c r="E3" s="56" t="str">
        <f>B3&amp;C3&amp;D3</f>
        <v>enemy_habitats_30027.tmp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178</v>
      </c>
    </row>
    <row r="4" spans="1:30" x14ac:dyDescent="0.15">
      <c r="A4" s="61" t="s">
        <v>213</v>
      </c>
      <c r="B4" s="57" t="s">
        <v>111</v>
      </c>
      <c r="C4" s="62">
        <f t="shared" ref="C4:C12" si="0">C$2</f>
        <v>30027</v>
      </c>
      <c r="D4" s="57" t="s">
        <v>107</v>
      </c>
      <c r="E4" s="56" t="str">
        <f>B4&amp;C4&amp;D4</f>
        <v>enemy_habitat_S_30027.tmp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213</v>
      </c>
      <c r="B5" s="57" t="s">
        <v>113</v>
      </c>
      <c r="C5" s="62">
        <f t="shared" si="0"/>
        <v>30027</v>
      </c>
      <c r="D5" s="57" t="s">
        <v>107</v>
      </c>
      <c r="E5" s="56" t="str">
        <f>B5&amp;C5&amp;D5</f>
        <v>enemy_skill_sets_30027.tmp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213</v>
      </c>
      <c r="B6" s="57" t="s">
        <v>115</v>
      </c>
      <c r="C6" s="62">
        <f t="shared" si="0"/>
        <v>30027</v>
      </c>
      <c r="D6" s="57" t="s">
        <v>116</v>
      </c>
      <c r="E6" s="56" t="str">
        <f t="shared" ref="E6:E10" si="1">B6&amp;C6&amp;D6</f>
        <v>enemy_skills_tmp_30027.tmp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213</v>
      </c>
      <c r="B7" s="57" t="s">
        <v>117</v>
      </c>
      <c r="C7" s="62">
        <f t="shared" si="0"/>
        <v>30027</v>
      </c>
      <c r="D7" s="57" t="s">
        <v>107</v>
      </c>
      <c r="E7" s="56" t="str">
        <f>B7&amp;C7&amp;D7</f>
        <v>enemy_skills_i18n_30027.tmp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213</v>
      </c>
      <c r="B8" s="57" t="s">
        <v>119</v>
      </c>
      <c r="C8" s="62">
        <f t="shared" si="0"/>
        <v>30027</v>
      </c>
      <c r="D8" s="57" t="s">
        <v>120</v>
      </c>
      <c r="E8" s="56" t="str">
        <f t="shared" si="1"/>
        <v>enemy_skill_triggers_30027.tmp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213</v>
      </c>
      <c r="B9" s="67" t="s">
        <v>177</v>
      </c>
      <c r="C9" s="62">
        <f t="shared" si="0"/>
        <v>30027</v>
      </c>
      <c r="D9" s="67" t="s">
        <v>171</v>
      </c>
      <c r="E9" s="68" t="str">
        <f t="shared" si="1"/>
        <v>stage_bug_bonuses_30027.tmp</v>
      </c>
      <c r="F9" s="67" t="s">
        <v>172</v>
      </c>
      <c r="G9" s="64" t="s">
        <v>150</v>
      </c>
      <c r="H9" s="64" t="s">
        <v>173</v>
      </c>
      <c r="I9" s="64" t="s">
        <v>174</v>
      </c>
      <c r="J9" s="66" t="s">
        <v>175</v>
      </c>
      <c r="K9" s="64" t="s">
        <v>176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6" customFormat="1" x14ac:dyDescent="0.15">
      <c r="A10" s="61" t="s">
        <v>213</v>
      </c>
      <c r="B10" s="67" t="s">
        <v>201</v>
      </c>
      <c r="C10" s="62">
        <f>C$2</f>
        <v>30027</v>
      </c>
      <c r="D10" s="67" t="s">
        <v>180</v>
      </c>
      <c r="E10" s="68" t="str">
        <f t="shared" si="1"/>
        <v>stage_hints_data_c_30027.tmp</v>
      </c>
      <c r="F10" s="67" t="s">
        <v>209</v>
      </c>
      <c r="G10" s="73" t="s">
        <v>181</v>
      </c>
      <c r="H10" s="73" t="s">
        <v>173</v>
      </c>
      <c r="I10" s="74" t="s">
        <v>182</v>
      </c>
      <c r="J10" s="66" t="s">
        <v>183</v>
      </c>
      <c r="K10" s="75" t="s">
        <v>184</v>
      </c>
    </row>
    <row r="11" spans="1:30" s="76" customFormat="1" x14ac:dyDescent="0.15">
      <c r="A11" s="61" t="s">
        <v>213</v>
      </c>
      <c r="B11" s="67" t="s">
        <v>202</v>
      </c>
      <c r="C11" s="62">
        <f t="shared" si="0"/>
        <v>30027</v>
      </c>
      <c r="D11" s="67" t="s">
        <v>171</v>
      </c>
      <c r="E11" s="68" t="str">
        <f t="shared" ref="E11:E12" si="2">B11&amp;C11&amp;D11</f>
        <v>stage_hints_data_f_30027.tmp</v>
      </c>
      <c r="F11" s="67" t="s">
        <v>211</v>
      </c>
      <c r="G11" s="73" t="s">
        <v>181</v>
      </c>
      <c r="H11" s="73" t="s">
        <v>173</v>
      </c>
      <c r="I11" s="74" t="s">
        <v>182</v>
      </c>
      <c r="J11" s="66" t="s">
        <v>183</v>
      </c>
      <c r="K11" s="75" t="s">
        <v>184</v>
      </c>
    </row>
    <row r="12" spans="1:30" s="76" customFormat="1" x14ac:dyDescent="0.15">
      <c r="A12" s="61" t="s">
        <v>213</v>
      </c>
      <c r="B12" s="67" t="s">
        <v>203</v>
      </c>
      <c r="C12" s="62">
        <f t="shared" si="0"/>
        <v>30027</v>
      </c>
      <c r="D12" s="67" t="s">
        <v>171</v>
      </c>
      <c r="E12" s="68" t="str">
        <f t="shared" si="2"/>
        <v>stage_hints_i18n_30027.tmp</v>
      </c>
      <c r="F12" s="67" t="s">
        <v>212</v>
      </c>
      <c r="G12" s="74" t="s">
        <v>204</v>
      </c>
      <c r="H12" s="96" t="s">
        <v>205</v>
      </c>
      <c r="I12" s="73" t="s">
        <v>206</v>
      </c>
      <c r="J12" s="97" t="s">
        <v>207</v>
      </c>
      <c r="K12" s="75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K23" sqref="K2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1" si="0">G2&amp;"-"&amp;I2</f>
        <v>30027_1-1</v>
      </c>
      <c r="B2" s="16" t="str">
        <f>IF(COUNTIF(enemy_habitats!$H:$H,A2),"OK","NG")</f>
        <v>OK</v>
      </c>
      <c r="C2" s="7">
        <v>30027</v>
      </c>
      <c r="D2" s="11" t="str">
        <f ca="1">VLOOKUP($C2,OFFSET([2]quests!$A$1,0,0,COUNTA([2]quests!$A:$A),MATCH(D$1,[2]quests!$1:$1,0)-MATCH($C$1,[2]quests!$1:$1,0)+1),MATCH(D$1,[2]quests!$1:$1,0)-MATCH($C$1,[2]quests!$1:$1,0)+1,FALSE)</f>
        <v>凍りつくまで愛してあげる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ドロップイベント7（マルチ専用）</v>
      </c>
      <c r="F2" s="21">
        <v>1</v>
      </c>
      <c r="G2" s="23" t="str">
        <f t="shared" ref="G2:G11" si="1">C2&amp;"_"&amp;F2</f>
        <v>30027_1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【中級】凍りつくまで愛してあげる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30027_1-2</v>
      </c>
      <c r="B3" s="16" t="str">
        <f>IF(COUNTIF(enemy_habitats!$H:$H,A3),"OK","NG")</f>
        <v>OK</v>
      </c>
      <c r="C3" s="7">
        <v>30027</v>
      </c>
      <c r="D3" s="11" t="str">
        <f ca="1">VLOOKUP($C3,OFFSET([2]quests!$A$1,0,0,COUNTA([2]quests!$A:$A),MATCH(D$1,[2]quests!$1:$1,0)-MATCH($C$1,[2]quests!$1:$1,0)+1),MATCH(D$1,[2]quests!$1:$1,0)-MATCH($C$1,[2]quests!$1:$1,0)+1,FALSE)</f>
        <v>凍りつくまで愛してあげる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ドロップイベント7（マルチ専用）</v>
      </c>
      <c r="F3" s="21">
        <v>1</v>
      </c>
      <c r="G3" s="23" t="str">
        <f t="shared" si="1"/>
        <v>30027_1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【中級】凍りつくまで愛してあげる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30027_1-3</v>
      </c>
      <c r="B4" s="16" t="str">
        <f>IF(COUNTIF(enemy_habitats!$H:$H,A4),"OK","NG")</f>
        <v>OK</v>
      </c>
      <c r="C4" s="7">
        <v>30027</v>
      </c>
      <c r="D4" s="11" t="str">
        <f ca="1">VLOOKUP($C4,OFFSET([2]quests!$A$1,0,0,COUNTA([2]quests!$A:$A),MATCH(D$1,[2]quests!$1:$1,0)-MATCH($C$1,[2]quests!$1:$1,0)+1),MATCH(D$1,[2]quests!$1:$1,0)-MATCH($C$1,[2]quests!$1:$1,0)+1,FALSE)</f>
        <v>凍りつくまで愛してあげる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ドロップイベント7（マルチ専用）</v>
      </c>
      <c r="F4" s="21">
        <v>1</v>
      </c>
      <c r="G4" s="23" t="str">
        <f t="shared" si="1"/>
        <v>30027_1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【中級】凍りつくまで愛してあげる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30027_2-1</v>
      </c>
      <c r="B5" s="16" t="str">
        <f>IF(COUNTIF(enemy_habitats!$H:$H,A5),"OK","NG")</f>
        <v>OK</v>
      </c>
      <c r="C5" s="7">
        <v>30027</v>
      </c>
      <c r="D5" s="11" t="str">
        <f ca="1">VLOOKUP($C5,OFFSET([2]quests!$A$1,0,0,COUNTA([2]quests!$A:$A),MATCH(D$1,[2]quests!$1:$1,0)-MATCH($C$1,[2]quests!$1:$1,0)+1),MATCH(D$1,[2]quests!$1:$1,0)-MATCH($C$1,[2]quests!$1:$1,0)+1,FALSE)</f>
        <v>凍りつくまで愛してあげる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ドロップイベント7（マルチ専用）</v>
      </c>
      <c r="F5" s="21">
        <v>2</v>
      </c>
      <c r="G5" s="23" t="str">
        <f t="shared" si="1"/>
        <v>30027_2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【上級】凍りつくまで愛してあげる</v>
      </c>
      <c r="I5" s="21">
        <v>1</v>
      </c>
      <c r="J5" s="12">
        <v>45</v>
      </c>
      <c r="K5" s="12">
        <v>45</v>
      </c>
    </row>
    <row r="6" spans="1:11" ht="21" customHeight="1" x14ac:dyDescent="0.15">
      <c r="A6" s="16" t="str">
        <f t="shared" si="0"/>
        <v>30027_2-2</v>
      </c>
      <c r="B6" s="16" t="str">
        <f>IF(COUNTIF(enemy_habitats!$H:$H,A6),"OK","NG")</f>
        <v>OK</v>
      </c>
      <c r="C6" s="7">
        <v>30027</v>
      </c>
      <c r="D6" s="11" t="str">
        <f ca="1">VLOOKUP($C6,OFFSET([2]quests!$A$1,0,0,COUNTA([2]quests!$A:$A),MATCH(D$1,[2]quests!$1:$1,0)-MATCH($C$1,[2]quests!$1:$1,0)+1),MATCH(D$1,[2]quests!$1:$1,0)-MATCH($C$1,[2]quests!$1:$1,0)+1,FALSE)</f>
        <v>凍りつくまで愛してあげる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ドロップイベント7（マルチ専用）</v>
      </c>
      <c r="F6" s="21">
        <v>2</v>
      </c>
      <c r="G6" s="23" t="str">
        <f t="shared" si="1"/>
        <v>30027_2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【上級】凍りつくまで愛してあげる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30027_2-3</v>
      </c>
      <c r="B7" s="16" t="str">
        <f>IF(COUNTIF(enemy_habitats!$H:$H,A7),"OK","NG")</f>
        <v>OK</v>
      </c>
      <c r="C7" s="7">
        <v>30027</v>
      </c>
      <c r="D7" s="11" t="str">
        <f ca="1">VLOOKUP($C7,OFFSET([2]quests!$A$1,0,0,COUNTA([2]quests!$A:$A),MATCH(D$1,[2]quests!$1:$1,0)-MATCH($C$1,[2]quests!$1:$1,0)+1),MATCH(D$1,[2]quests!$1:$1,0)-MATCH($C$1,[2]quests!$1:$1,0)+1,FALSE)</f>
        <v>凍りつくまで愛してあげる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ドロップイベント7（マルチ専用）</v>
      </c>
      <c r="F7" s="21">
        <v>2</v>
      </c>
      <c r="G7" s="23" t="str">
        <f t="shared" si="1"/>
        <v>30027_2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【上級】凍りつくまで愛してあげる</v>
      </c>
      <c r="I7" s="21">
        <v>3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30027_3-1</v>
      </c>
      <c r="B8" s="16" t="str">
        <f>IF(COUNTIF(enemy_habitats!$H:$H,A8),"OK","NG")</f>
        <v>OK</v>
      </c>
      <c r="C8" s="7">
        <v>30027</v>
      </c>
      <c r="D8" s="11" t="str">
        <f ca="1">VLOOKUP($C8,OFFSET([2]quests!$A$1,0,0,COUNTA([2]quests!$A:$A),MATCH(D$1,[2]quests!$1:$1,0)-MATCH($C$1,[2]quests!$1:$1,0)+1),MATCH(D$1,[2]quests!$1:$1,0)-MATCH($C$1,[2]quests!$1:$1,0)+1,FALSE)</f>
        <v>凍りつくまで愛してあげる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ドロップイベント7（マルチ専用）</v>
      </c>
      <c r="F8" s="21">
        <v>3</v>
      </c>
      <c r="G8" s="23" t="str">
        <f t="shared" si="1"/>
        <v>30027_3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【超級】凍りつくまで愛してあげる</v>
      </c>
      <c r="I8" s="21">
        <v>1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30027_3-2</v>
      </c>
      <c r="B9" s="16" t="str">
        <f>IF(COUNTIF(enemy_habitats!$H:$H,A9),"OK","NG")</f>
        <v>OK</v>
      </c>
      <c r="C9" s="7">
        <v>30027</v>
      </c>
      <c r="D9" s="11" t="str">
        <f ca="1">VLOOKUP($C9,OFFSET([2]quests!$A$1,0,0,COUNTA([2]quests!$A:$A),MATCH(D$1,[2]quests!$1:$1,0)-MATCH($C$1,[2]quests!$1:$1,0)+1),MATCH(D$1,[2]quests!$1:$1,0)-MATCH($C$1,[2]quests!$1:$1,0)+1,FALSE)</f>
        <v>凍りつくまで愛してあげる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ドロップイベント7（マルチ専用）</v>
      </c>
      <c r="F9" s="21">
        <v>3</v>
      </c>
      <c r="G9" s="23" t="str">
        <f t="shared" si="1"/>
        <v>30027_3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【超級】凍りつくまで愛してあげる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30027_3-3</v>
      </c>
      <c r="B10" s="16" t="str">
        <f>IF(COUNTIF(enemy_habitats!$H:$H,A10),"OK","NG")</f>
        <v>OK</v>
      </c>
      <c r="C10" s="7">
        <v>30027</v>
      </c>
      <c r="D10" s="11" t="str">
        <f ca="1">VLOOKUP($C10,OFFSET([2]quests!$A$1,0,0,COUNTA([2]quests!$A:$A),MATCH(D$1,[2]quests!$1:$1,0)-MATCH($C$1,[2]quests!$1:$1,0)+1),MATCH(D$1,[2]quests!$1:$1,0)-MATCH($C$1,[2]quests!$1:$1,0)+1,FALSE)</f>
        <v>凍りつくまで愛してあげる</v>
      </c>
      <c r="E10" s="18" t="str">
        <f ca="1">VLOOKUP($C10,OFFSET([2]quests!$A$1,0,0,COUNTA([2]quests!$A:$A),MATCH(E$1,[2]quests!$1:$1,0)-MATCH($C$1,[2]quests!$1:$1,0)+1),MATCH(E$1,[2]quests!$1:$1,0)-MATCH($C$1,[2]quests!$1:$1,0)+1,FALSE)</f>
        <v>ドロップイベント7（マルチ専用）</v>
      </c>
      <c r="F10" s="21">
        <v>3</v>
      </c>
      <c r="G10" s="23" t="str">
        <f t="shared" si="1"/>
        <v>30027_3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【超級】凍りつくまで愛してあげる</v>
      </c>
      <c r="I10" s="21">
        <v>3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30027_3-4</v>
      </c>
      <c r="B11" s="16" t="str">
        <f>IF(COUNTIF(enemy_habitats!$H:$H,A11),"OK","NG")</f>
        <v>OK</v>
      </c>
      <c r="C11" s="7">
        <v>30027</v>
      </c>
      <c r="D11" s="11" t="str">
        <f ca="1">VLOOKUP($C11,OFFSET([2]quests!$A$1,0,0,COUNTA([2]quests!$A:$A),MATCH(D$1,[2]quests!$1:$1,0)-MATCH($C$1,[2]quests!$1:$1,0)+1),MATCH(D$1,[2]quests!$1:$1,0)-MATCH($C$1,[2]quests!$1:$1,0)+1,FALSE)</f>
        <v>凍りつくまで愛してあげる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ドロップイベント7（マルチ専用）</v>
      </c>
      <c r="F11" s="21">
        <v>3</v>
      </c>
      <c r="G11" s="23" t="str">
        <f t="shared" si="1"/>
        <v>30027_3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【超級】凍りつくまで愛してあげる</v>
      </c>
      <c r="I11" s="21">
        <v>4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9"/>
  <sheetViews>
    <sheetView showGridLines="0" zoomScale="90" zoomScaleNormal="90" zoomScalePageLayoutView="90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AF18" sqref="AF1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customWidth="1" outlineLevel="1"/>
    <col min="31" max="31" width="12" style="14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179</v>
      </c>
    </row>
    <row r="2" spans="1:40" ht="21" customHeight="1" x14ac:dyDescent="0.15">
      <c r="A2" s="16" t="str">
        <f t="shared" ref="A2:A9" ca="1" si="0">B2&amp;"_"&amp;C2&amp;"-"&amp;G2&amp;"/"&amp;L2&amp;"&lt;lv"&amp;R2&amp;"&gt;s"&amp;AA2</f>
        <v>30027_1-1/13&lt;lv30&gt;s2</v>
      </c>
      <c r="B2" s="22">
        <v>30027</v>
      </c>
      <c r="C2" s="99">
        <v>1</v>
      </c>
      <c r="D2" s="2" t="str">
        <f t="shared" ref="D2:D9" si="1">B2&amp;"_"&amp;C2</f>
        <v>30027_1</v>
      </c>
      <c r="E2" s="4" t="str">
        <f ca="1">VLOOKUP($B2,OFFSET([2]quests!$A$1,0,0,COUNTA([2]quests!$A:$A),MATCH(E$1,[2]quests!$1:$1,0)-MATCH($B$1,[2]quests!$1:$1,0)+1),MATCH(E$1,[2]quests!$1:$1,0)-MATCH($B$1,[2]quests!$1:$1,0)+1,FALSE)</f>
        <v>凍りつくまで愛してあげる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【中級】凍りつくまで愛してあげる</v>
      </c>
      <c r="G2" s="99">
        <v>1</v>
      </c>
      <c r="H2" s="15" t="str">
        <f t="shared" ref="H2:H9" si="2">B2&amp;"_"&amp;C2&amp;"-"&amp;G2</f>
        <v>30027_1-1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13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ミミ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25">
        <v>1.2</v>
      </c>
      <c r="T2" s="25">
        <v>0.6</v>
      </c>
      <c r="U2" s="5">
        <v>0</v>
      </c>
      <c r="V2" s="4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4">
        <f ca="1">VLOOKUP($L2,OFFSET([3]enemies!$A$1,0,0,COUNTA([3]enemies!$A:$A),MATCH(W$1,[3]enemies!$1:$1,0)-MATCH($L$1,[3]enemies!$1:$1,0)+1),MATCH(W$1,[3]enemies!$1:$1,0)-MATCH($L$1,[3]enemies!$1:$1,0)+1,FALSE)</f>
        <v>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24">
        <f t="shared" ref="AB2:AB9" si="3">L2</f>
        <v>13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ミミ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7">
        <v>1</v>
      </c>
      <c r="AG2" s="24">
        <f t="shared" ref="AG2:AG9" ca="1" si="4">AD2</f>
        <v>1</v>
      </c>
      <c r="AH2" s="8">
        <v>60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ca="1" si="0"/>
        <v>30027_1-1/23&lt;lv30&gt;s4</v>
      </c>
      <c r="B3" s="22">
        <v>30027</v>
      </c>
      <c r="C3" s="99">
        <v>1</v>
      </c>
      <c r="D3" s="2" t="str">
        <f t="shared" si="1"/>
        <v>30027_1</v>
      </c>
      <c r="E3" s="4" t="str">
        <f ca="1">VLOOKUP($B3,OFFSET([2]quests!$A$1,0,0,COUNTA([2]quests!$A:$A),MATCH(E$1,[2]quests!$1:$1,0)-MATCH($B$1,[2]quests!$1:$1,0)+1),MATCH(E$1,[2]quests!$1:$1,0)-MATCH($B$1,[2]quests!$1:$1,0)+1,FALSE)</f>
        <v>凍りつくまで愛してあげる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【中級】凍りつくまで愛してあげる</v>
      </c>
      <c r="G3" s="99">
        <v>1</v>
      </c>
      <c r="H3" s="15" t="str">
        <f t="shared" si="2"/>
        <v>30027_1-1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53</v>
      </c>
      <c r="L3" s="20">
        <v>23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ミール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25">
        <v>1</v>
      </c>
      <c r="T3" s="25">
        <v>0.7</v>
      </c>
      <c r="U3" s="5">
        <v>0</v>
      </c>
      <c r="V3" s="4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4</v>
      </c>
      <c r="AB3" s="24">
        <f t="shared" si="3"/>
        <v>23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t="shared" ca="1" si="4"/>
        <v>1</v>
      </c>
      <c r="AH3" s="8">
        <v>60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30027_1-1/25&lt;lv30&gt;s3</v>
      </c>
      <c r="B4" s="22">
        <v>30027</v>
      </c>
      <c r="C4" s="99">
        <v>1</v>
      </c>
      <c r="D4" s="2" t="str">
        <f t="shared" si="1"/>
        <v>30027_1</v>
      </c>
      <c r="E4" s="4" t="str">
        <f ca="1">VLOOKUP($B4,OFFSET([2]quests!$A$1,0,0,COUNTA([2]quests!$A:$A),MATCH(E$1,[2]quests!$1:$1,0)-MATCH($B$1,[2]quests!$1:$1,0)+1),MATCH(E$1,[2]quests!$1:$1,0)-MATCH($B$1,[2]quests!$1:$1,0)+1,FALSE)</f>
        <v>凍りつくまで愛してあげる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【中級】凍りつくまで愛してあげる</v>
      </c>
      <c r="G4" s="99">
        <v>1</v>
      </c>
      <c r="H4" s="15" t="str">
        <f t="shared" si="2"/>
        <v>30027_1-1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25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ハチ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30</v>
      </c>
      <c r="S4" s="25">
        <v>1.1000000000000001</v>
      </c>
      <c r="T4" s="25">
        <v>0.8</v>
      </c>
      <c r="U4" s="5">
        <v>0</v>
      </c>
      <c r="V4" s="4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si="3"/>
        <v>25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ハチ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1</v>
      </c>
      <c r="AH4" s="8">
        <v>60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0"/>
        <v>30027_1-1/9&lt;lv30&gt;s2</v>
      </c>
      <c r="B5" s="22">
        <v>30027</v>
      </c>
      <c r="C5" s="99">
        <v>1</v>
      </c>
      <c r="D5" s="2" t="str">
        <f t="shared" si="1"/>
        <v>30027_1</v>
      </c>
      <c r="E5" s="4" t="str">
        <f ca="1">VLOOKUP($B5,OFFSET([2]quests!$A$1,0,0,COUNTA([2]quests!$A:$A),MATCH(E$1,[2]quests!$1:$1,0)-MATCH($B$1,[2]quests!$1:$1,0)+1),MATCH(E$1,[2]quests!$1:$1,0)-MATCH($B$1,[2]quests!$1:$1,0)+1,FALSE)</f>
        <v>凍りつくまで愛してあげる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【中級】凍りつくまで愛してあげる</v>
      </c>
      <c r="G5" s="99">
        <v>1</v>
      </c>
      <c r="H5" s="15" t="str">
        <f t="shared" si="2"/>
        <v>30027_1-1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53</v>
      </c>
      <c r="L5" s="20">
        <v>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ブレット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30</v>
      </c>
      <c r="S5" s="25">
        <v>1.3</v>
      </c>
      <c r="T5" s="25">
        <v>0.9</v>
      </c>
      <c r="U5" s="5">
        <v>0</v>
      </c>
      <c r="V5" s="4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f t="shared" si="3"/>
        <v>9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4">
        <f t="shared" ca="1" si="4"/>
        <v>1</v>
      </c>
      <c r="AH5" s="8">
        <v>60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ca="1" si="0"/>
        <v>30027_1-2/45&lt;lv30&gt;s3</v>
      </c>
      <c r="B6" s="22">
        <v>30027</v>
      </c>
      <c r="C6" s="99">
        <v>1</v>
      </c>
      <c r="D6" s="2" t="str">
        <f t="shared" si="1"/>
        <v>30027_1</v>
      </c>
      <c r="E6" s="4" t="str">
        <f ca="1">VLOOKUP($B6,OFFSET([2]quests!$A$1,0,0,COUNTA([2]quests!$A:$A),MATCH(E$1,[2]quests!$1:$1,0)-MATCH($B$1,[2]quests!$1:$1,0)+1),MATCH(E$1,[2]quests!$1:$1,0)-MATCH($B$1,[2]quests!$1:$1,0)+1,FALSE)</f>
        <v>凍りつくまで愛してあげる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【中級】凍りつくまで愛してあげる</v>
      </c>
      <c r="G6" s="100">
        <v>2</v>
      </c>
      <c r="H6" s="15" t="str">
        <f t="shared" si="2"/>
        <v>30027_1-2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53</v>
      </c>
      <c r="L6" s="20">
        <v>45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ショウイン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30</v>
      </c>
      <c r="S6" s="25">
        <v>1.4</v>
      </c>
      <c r="T6" s="25">
        <v>1.2</v>
      </c>
      <c r="U6" s="5">
        <v>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1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3"/>
        <v>45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2</v>
      </c>
      <c r="AH6" s="8">
        <v>60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ca="1" si="0"/>
        <v>30027_1-2/61&lt;lv30&gt;s2</v>
      </c>
      <c r="B7" s="22">
        <v>30027</v>
      </c>
      <c r="C7" s="99">
        <v>1</v>
      </c>
      <c r="D7" s="2" t="str">
        <f t="shared" si="1"/>
        <v>30027_1</v>
      </c>
      <c r="E7" s="4" t="str">
        <f ca="1">VLOOKUP($B7,OFFSET([2]quests!$A$1,0,0,COUNTA([2]quests!$A:$A),MATCH(E$1,[2]quests!$1:$1,0)-MATCH($B$1,[2]quests!$1:$1,0)+1),MATCH(E$1,[2]quests!$1:$1,0)-MATCH($B$1,[2]quests!$1:$1,0)+1,FALSE)</f>
        <v>凍りつくまで愛してあげる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【中級】凍りつくまで愛してあげる</v>
      </c>
      <c r="G7" s="100">
        <v>2</v>
      </c>
      <c r="H7" s="15" t="str">
        <f t="shared" si="2"/>
        <v>30027_1-2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53</v>
      </c>
      <c r="L7" s="20">
        <v>61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クロウ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30</v>
      </c>
      <c r="S7" s="25">
        <v>1.5</v>
      </c>
      <c r="T7" s="25">
        <v>1.2</v>
      </c>
      <c r="U7" s="5">
        <v>0</v>
      </c>
      <c r="V7" s="4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7" s="4">
        <f ca="1">VLOOKUP($L7,OFFSET([3]enemies!$A$1,0,0,COUNTA([3]enemies!$A:$A),MATCH(W$1,[3]enemies!$1:$1,0)-MATCH($L$1,[3]enemies!$1:$1,0)+1),MATCH(W$1,[3]enemies!$1:$1,0)-MATCH($L$1,[3]enemies!$1:$1,0)+1,FALSE)</f>
        <v>61</v>
      </c>
      <c r="X7" s="6">
        <v>1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61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ca="1" si="4"/>
        <v>2</v>
      </c>
      <c r="AH7" s="8">
        <v>60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ca="1" si="0"/>
        <v>30027_1-2/71&lt;lv30&gt;s4</v>
      </c>
      <c r="B8" s="22">
        <v>30027</v>
      </c>
      <c r="C8" s="99">
        <v>1</v>
      </c>
      <c r="D8" s="2" t="str">
        <f t="shared" si="1"/>
        <v>30027_1</v>
      </c>
      <c r="E8" s="4" t="str">
        <f ca="1">VLOOKUP($B8,OFFSET([2]quests!$A$1,0,0,COUNTA([2]quests!$A:$A),MATCH(E$1,[2]quests!$1:$1,0)-MATCH($B$1,[2]quests!$1:$1,0)+1),MATCH(E$1,[2]quests!$1:$1,0)-MATCH($B$1,[2]quests!$1:$1,0)+1,FALSE)</f>
        <v>凍りつくまで愛してあげる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【中級】凍りつくまで愛してあげる</v>
      </c>
      <c r="G8" s="100">
        <v>2</v>
      </c>
      <c r="H8" s="15" t="str">
        <f t="shared" si="2"/>
        <v>30027_1-2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8" t="s">
        <v>53</v>
      </c>
      <c r="L8" s="20">
        <v>71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ダックス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30</v>
      </c>
      <c r="S8" s="25">
        <v>1.8</v>
      </c>
      <c r="T8" s="25">
        <v>1.2</v>
      </c>
      <c r="U8" s="5">
        <v>0</v>
      </c>
      <c r="V8" s="4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3ターン攻撃頻度が1ターンにUP</v>
      </c>
      <c r="W8" s="4">
        <f ca="1">VLOOKUP($L8,OFFSET([3]enemies!$A$1,0,0,COUNTA([3]enemies!$A:$A),MATCH(W$1,[3]enemies!$1:$1,0)-MATCH($L$1,[3]enemies!$1:$1,0)+1),MATCH(W$1,[3]enemies!$1:$1,0)-MATCH($L$1,[3]enemies!$1:$1,0)+1,FALSE)</f>
        <v>71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4</v>
      </c>
      <c r="AB8" s="24">
        <f t="shared" si="3"/>
        <v>71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Drop1S</v>
      </c>
      <c r="AF8" s="7">
        <v>1</v>
      </c>
      <c r="AG8" s="24">
        <f t="shared" ca="1" si="4"/>
        <v>2</v>
      </c>
      <c r="AH8" s="8">
        <v>60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ca="1" si="0"/>
        <v>30027_1-3/646&lt;lv40&gt;s2</v>
      </c>
      <c r="B9" s="22">
        <v>30027</v>
      </c>
      <c r="C9" s="99">
        <v>1</v>
      </c>
      <c r="D9" s="2" t="str">
        <f t="shared" si="1"/>
        <v>30027_1</v>
      </c>
      <c r="E9" s="4" t="str">
        <f ca="1">VLOOKUP($B9,OFFSET([2]quests!$A$1,0,0,COUNTA([2]quests!$A:$A),MATCH(E$1,[2]quests!$1:$1,0)-MATCH($B$1,[2]quests!$1:$1,0)+1),MATCH(E$1,[2]quests!$1:$1,0)-MATCH($B$1,[2]quests!$1:$1,0)+1,FALSE)</f>
        <v>凍りつくまで愛してあげる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【中級】凍りつくまで愛してあげる</v>
      </c>
      <c r="G9" s="21">
        <v>3</v>
      </c>
      <c r="H9" s="15" t="str">
        <f t="shared" si="2"/>
        <v>30027_1-3</v>
      </c>
      <c r="I9" s="4">
        <f ca="1">VLOOKUP($H9,OFFSET(floors!$A$1,0,0,COUNTA(floors!$A:$A),MATCH(I$1,floors!$1:$1,0)-MATCH($H$1,floors!$1:$1,0)+1),MATCH(I$1,floors!$1:$1,0)-MATCH($H$1,floors!$1:$1,0)+1,FALSE)</f>
        <v>30</v>
      </c>
      <c r="J9" s="4">
        <f ca="1">VLOOKUP($H9,OFFSET(floors!$A$1,0,0,COUNTA(floors!$A:$A),MATCH(J$1,floors!$1:$1,0)-MATCH($H$1,floors!$1:$1,0)+1),MATCH(J$1,floors!$1:$1,0)-MATCH($H$1,floors!$1:$1,0)+1,FALSE)</f>
        <v>30</v>
      </c>
      <c r="K9" s="38" t="s">
        <v>53</v>
      </c>
      <c r="L9" s="20">
        <v>646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雪女 ユキ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Drop2N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40</v>
      </c>
      <c r="S9" s="25">
        <v>3</v>
      </c>
      <c r="T9" s="25">
        <v>1.4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ユニット1体に1ターンスリープ</v>
      </c>
      <c r="W9" s="102">
        <v>30027007</v>
      </c>
      <c r="X9" s="6">
        <v>0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f t="shared" si="3"/>
        <v>646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雪女 ユキ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Drop2N</v>
      </c>
      <c r="AF9" s="7">
        <v>1</v>
      </c>
      <c r="AG9" s="24">
        <f t="shared" ca="1" si="4"/>
        <v>4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ref="A10:A17" ca="1" si="5">B10&amp;"_"&amp;C10&amp;"-"&amp;G10&amp;"/"&amp;L10&amp;"&lt;lv"&amp;R10&amp;"&gt;s"&amp;AA10</f>
        <v>30027_2-1/13&lt;lv40&gt;s2</v>
      </c>
      <c r="B10" s="22">
        <v>30027</v>
      </c>
      <c r="C10" s="100">
        <v>2</v>
      </c>
      <c r="D10" s="2" t="str">
        <f t="shared" ref="D10:D17" si="6">B10&amp;"_"&amp;C10</f>
        <v>30027_2</v>
      </c>
      <c r="E10" s="4" t="str">
        <f ca="1">VLOOKUP($B10,OFFSET([2]quests!$A$1,0,0,COUNTA([2]quests!$A:$A),MATCH(E$1,[2]quests!$1:$1,0)-MATCH($B$1,[2]quests!$1:$1,0)+1),MATCH(E$1,[2]quests!$1:$1,0)-MATCH($B$1,[2]quests!$1:$1,0)+1,FALSE)</f>
        <v>凍りつくまで愛してあげる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【上級】凍りつくまで愛してあげる</v>
      </c>
      <c r="G10" s="99">
        <v>1</v>
      </c>
      <c r="H10" s="15" t="str">
        <f t="shared" ref="H10:H17" si="7">B10&amp;"_"&amp;C10&amp;"-"&amp;G10</f>
        <v>30027_2-1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13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ミミ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40</v>
      </c>
      <c r="S10" s="25">
        <v>1.2</v>
      </c>
      <c r="T10" s="25">
        <v>0.6</v>
      </c>
      <c r="U10" s="5">
        <v>0</v>
      </c>
      <c r="V10" s="4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6">
        <v>0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24">
        <f t="shared" ref="AB10:AB17" si="8">L10</f>
        <v>13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ミミ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" s="7">
        <v>1</v>
      </c>
      <c r="AG10" s="24">
        <f t="shared" ref="AG10:AG17" ca="1" si="9">AD10</f>
        <v>1</v>
      </c>
      <c r="AH10" s="8">
        <v>60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ca="1" si="5"/>
        <v>30027_2-1/23&lt;lv40&gt;s4</v>
      </c>
      <c r="B11" s="22">
        <v>30027</v>
      </c>
      <c r="C11" s="100">
        <v>2</v>
      </c>
      <c r="D11" s="2" t="str">
        <f t="shared" si="6"/>
        <v>30027_2</v>
      </c>
      <c r="E11" s="4" t="str">
        <f ca="1">VLOOKUP($B11,OFFSET([2]quests!$A$1,0,0,COUNTA([2]quests!$A:$A),MATCH(E$1,[2]quests!$1:$1,0)-MATCH($B$1,[2]quests!$1:$1,0)+1),MATCH(E$1,[2]quests!$1:$1,0)-MATCH($B$1,[2]quests!$1:$1,0)+1,FALSE)</f>
        <v>凍りつくまで愛してあげる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【上級】凍りつくまで愛してあげる</v>
      </c>
      <c r="G11" s="99">
        <v>1</v>
      </c>
      <c r="H11" s="15" t="str">
        <f t="shared" si="7"/>
        <v>30027_2-1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53</v>
      </c>
      <c r="L11" s="20">
        <v>23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ミール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40</v>
      </c>
      <c r="S11" s="25">
        <v>1</v>
      </c>
      <c r="T11" s="25">
        <v>0.7</v>
      </c>
      <c r="U11" s="5">
        <v>0</v>
      </c>
      <c r="V11" s="4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4">
        <f ca="1">VLOOKUP($L11,OFFSET([3]enemies!$A$1,0,0,COUNTA([3]enemies!$A:$A),MATCH(W$1,[3]enemies!$1:$1,0)-MATCH($L$1,[3]enemies!$1:$1,0)+1),MATCH(W$1,[3]enemies!$1:$1,0)-MATCH($L$1,[3]enemies!$1:$1,0)+1,FALSE)</f>
        <v>0</v>
      </c>
      <c r="X11" s="6">
        <v>0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4</v>
      </c>
      <c r="AB11" s="24">
        <f t="shared" si="8"/>
        <v>23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1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7">
        <v>1</v>
      </c>
      <c r="AG11" s="24">
        <f t="shared" ca="1" si="9"/>
        <v>1</v>
      </c>
      <c r="AH11" s="8">
        <v>60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ca="1" si="5"/>
        <v>30027_2-1/25&lt;lv40&gt;s3</v>
      </c>
      <c r="B12" s="22">
        <v>30027</v>
      </c>
      <c r="C12" s="100">
        <v>2</v>
      </c>
      <c r="D12" s="2" t="str">
        <f t="shared" si="6"/>
        <v>30027_2</v>
      </c>
      <c r="E12" s="4" t="str">
        <f ca="1">VLOOKUP($B12,OFFSET([2]quests!$A$1,0,0,COUNTA([2]quests!$A:$A),MATCH(E$1,[2]quests!$1:$1,0)-MATCH($B$1,[2]quests!$1:$1,0)+1),MATCH(E$1,[2]quests!$1:$1,0)-MATCH($B$1,[2]quests!$1:$1,0)+1,FALSE)</f>
        <v>凍りつくまで愛してあげる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【上級】凍りつくまで愛してあげる</v>
      </c>
      <c r="G12" s="99">
        <v>1</v>
      </c>
      <c r="H12" s="15" t="str">
        <f t="shared" si="7"/>
        <v>30027_2-1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25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ハチ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40</v>
      </c>
      <c r="S12" s="25">
        <v>1.1000000000000001</v>
      </c>
      <c r="T12" s="25">
        <v>0.8</v>
      </c>
      <c r="U12" s="5">
        <v>0</v>
      </c>
      <c r="V12" s="4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4">
        <f ca="1">VLOOKUP($L12,OFFSET([3]enemies!$A$1,0,0,COUNTA([3]enemies!$A:$A),MATCH(W$1,[3]enemies!$1:$1,0)-MATCH($L$1,[3]enemies!$1:$1,0)+1),MATCH(W$1,[3]enemies!$1:$1,0)-MATCH($L$1,[3]enemies!$1:$1,0)+1,FALSE)</f>
        <v>0</v>
      </c>
      <c r="X12" s="6">
        <v>0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si="8"/>
        <v>25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ハチ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1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4">
        <f t="shared" ca="1" si="9"/>
        <v>1</v>
      </c>
      <c r="AH12" s="8">
        <v>60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ca="1" si="5"/>
        <v>30027_2-1/9&lt;lv40&gt;s2</v>
      </c>
      <c r="B13" s="22">
        <v>30027</v>
      </c>
      <c r="C13" s="100">
        <v>2</v>
      </c>
      <c r="D13" s="2" t="str">
        <f t="shared" si="6"/>
        <v>30027_2</v>
      </c>
      <c r="E13" s="4" t="str">
        <f ca="1">VLOOKUP($B13,OFFSET([2]quests!$A$1,0,0,COUNTA([2]quests!$A:$A),MATCH(E$1,[2]quests!$1:$1,0)-MATCH($B$1,[2]quests!$1:$1,0)+1),MATCH(E$1,[2]quests!$1:$1,0)-MATCH($B$1,[2]quests!$1:$1,0)+1,FALSE)</f>
        <v>凍りつくまで愛してあげる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【上級】凍りつくまで愛してあげる</v>
      </c>
      <c r="G13" s="99">
        <v>1</v>
      </c>
      <c r="H13" s="15" t="str">
        <f t="shared" si="7"/>
        <v>30027_2-1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ブレット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40</v>
      </c>
      <c r="S13" s="25">
        <v>1.3</v>
      </c>
      <c r="T13" s="25">
        <v>0.9</v>
      </c>
      <c r="U13" s="5">
        <v>0</v>
      </c>
      <c r="V13" s="4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4">
        <f ca="1">VLOOKUP($L13,OFFSET([3]enemies!$A$1,0,0,COUNTA([3]enemies!$A:$A),MATCH(W$1,[3]enemies!$1:$1,0)-MATCH($L$1,[3]enemies!$1:$1,0)+1),MATCH(W$1,[3]enemies!$1:$1,0)-MATCH($L$1,[3]enemies!$1:$1,0)+1,FALSE)</f>
        <v>0</v>
      </c>
      <c r="X13" s="6">
        <v>0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f t="shared" si="8"/>
        <v>9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Drop1W</v>
      </c>
      <c r="AF13" s="7">
        <v>1</v>
      </c>
      <c r="AG13" s="24">
        <f t="shared" ca="1" si="9"/>
        <v>1</v>
      </c>
      <c r="AH13" s="8">
        <v>60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ca="1" si="5"/>
        <v>30027_2-2/45&lt;lv40&gt;s3</v>
      </c>
      <c r="B14" s="22">
        <v>30027</v>
      </c>
      <c r="C14" s="100">
        <v>2</v>
      </c>
      <c r="D14" s="2" t="str">
        <f t="shared" si="6"/>
        <v>30027_2</v>
      </c>
      <c r="E14" s="4" t="str">
        <f ca="1">VLOOKUP($B14,OFFSET([2]quests!$A$1,0,0,COUNTA([2]quests!$A:$A),MATCH(E$1,[2]quests!$1:$1,0)-MATCH($B$1,[2]quests!$1:$1,0)+1),MATCH(E$1,[2]quests!$1:$1,0)-MATCH($B$1,[2]quests!$1:$1,0)+1,FALSE)</f>
        <v>凍りつくまで愛してあげる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【上級】凍りつくまで愛してあげる</v>
      </c>
      <c r="G14" s="100">
        <v>2</v>
      </c>
      <c r="H14" s="15" t="str">
        <f t="shared" si="7"/>
        <v>30027_2-2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45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ショウイン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blue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40</v>
      </c>
      <c r="S14" s="25">
        <v>1.3</v>
      </c>
      <c r="T14" s="25">
        <v>1.1000000000000001</v>
      </c>
      <c r="U14" s="5">
        <v>0</v>
      </c>
      <c r="V14" s="4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6">
        <v>1</v>
      </c>
      <c r="Y14" s="6">
        <v>100</v>
      </c>
      <c r="Z14" s="6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3</v>
      </c>
      <c r="AB14" s="24">
        <f t="shared" si="8"/>
        <v>45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7">
        <v>1</v>
      </c>
      <c r="AG14" s="24">
        <f t="shared" ca="1" si="9"/>
        <v>2</v>
      </c>
      <c r="AH14" s="8">
        <v>60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ca="1" si="5"/>
        <v>30027_2-2/53&lt;lv40&gt;s2</v>
      </c>
      <c r="B15" s="22">
        <v>30027</v>
      </c>
      <c r="C15" s="100">
        <v>2</v>
      </c>
      <c r="D15" s="2" t="str">
        <f t="shared" si="6"/>
        <v>30027_2</v>
      </c>
      <c r="E15" s="4" t="str">
        <f ca="1">VLOOKUP($B15,OFFSET([2]quests!$A$1,0,0,COUNTA([2]quests!$A:$A),MATCH(E$1,[2]quests!$1:$1,0)-MATCH($B$1,[2]quests!$1:$1,0)+1),MATCH(E$1,[2]quests!$1:$1,0)-MATCH($B$1,[2]quests!$1:$1,0)+1,FALSE)</f>
        <v>凍りつくまで愛してあげる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【上級】凍りつくまで愛してあげる</v>
      </c>
      <c r="G15" s="100">
        <v>2</v>
      </c>
      <c r="H15" s="15" t="str">
        <f t="shared" si="7"/>
        <v>30027_2-2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53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ケンジ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40</v>
      </c>
      <c r="S15" s="25">
        <v>1.3</v>
      </c>
      <c r="T15" s="25">
        <v>1.1000000000000001</v>
      </c>
      <c r="U15" s="5">
        <v>0</v>
      </c>
      <c r="V15" s="4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効いてしまうと２ターン行動できない</v>
      </c>
      <c r="W15" s="4">
        <f ca="1">VLOOKUP($L15,OFFSET([3]enemies!$A$1,0,0,COUNTA([3]enemies!$A:$A),MATCH(W$1,[3]enemies!$1:$1,0)-MATCH($L$1,[3]enemies!$1:$1,0)+1),MATCH(W$1,[3]enemies!$1:$1,0)-MATCH($L$1,[3]enemies!$1:$1,0)+1,FALSE)</f>
        <v>53</v>
      </c>
      <c r="X15" s="6">
        <v>1</v>
      </c>
      <c r="Y15" s="6">
        <v>100</v>
      </c>
      <c r="Z15" s="6">
        <v>0</v>
      </c>
      <c r="AA15" s="17">
        <f ca="1">VLOOKUP($L15,OFFSET([3]enemies!$A$1,0,0,COUNTA([3]enemies!$A:$A),MATCH(AA$1,[3]enemies!$1:$1,0)-MATCH($L$1,[3]enemies!$1:$1,0)+1),MATCH(AA$1,[3]enemies!$1:$1,0)-MATCH($L$1,[3]enemies!$1:$1,0)+1,FALSE)</f>
        <v>2</v>
      </c>
      <c r="AB15" s="24">
        <f t="shared" si="8"/>
        <v>53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Drop1N</v>
      </c>
      <c r="AF15" s="7">
        <v>1</v>
      </c>
      <c r="AG15" s="24">
        <f t="shared" ca="1" si="9"/>
        <v>2</v>
      </c>
      <c r="AH15" s="8">
        <v>60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ca="1" si="5"/>
        <v>30027_2-2/61&lt;lv40&gt;s2</v>
      </c>
      <c r="B16" s="22">
        <v>30027</v>
      </c>
      <c r="C16" s="100">
        <v>2</v>
      </c>
      <c r="D16" s="2" t="str">
        <f t="shared" si="6"/>
        <v>30027_2</v>
      </c>
      <c r="E16" s="4" t="str">
        <f ca="1">VLOOKUP($B16,OFFSET([2]quests!$A$1,0,0,COUNTA([2]quests!$A:$A),MATCH(E$1,[2]quests!$1:$1,0)-MATCH($B$1,[2]quests!$1:$1,0)+1),MATCH(E$1,[2]quests!$1:$1,0)-MATCH($B$1,[2]quests!$1:$1,0)+1,FALSE)</f>
        <v>凍りつくまで愛してあげる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【上級】凍りつくまで愛してあげる</v>
      </c>
      <c r="G16" s="100">
        <v>2</v>
      </c>
      <c r="H16" s="15" t="str">
        <f t="shared" si="7"/>
        <v>30027_2-2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61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クロウ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40</v>
      </c>
      <c r="S16" s="25">
        <v>1.4</v>
      </c>
      <c r="T16" s="25">
        <v>1.1000000000000001</v>
      </c>
      <c r="U16" s="5">
        <v>0</v>
      </c>
      <c r="V16" s="4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6" s="4">
        <f ca="1">VLOOKUP($L16,OFFSET([3]enemies!$A$1,0,0,COUNTA([3]enemies!$A:$A),MATCH(W$1,[3]enemies!$1:$1,0)-MATCH($L$1,[3]enemies!$1:$1,0)+1),MATCH(W$1,[3]enemies!$1:$1,0)-MATCH($L$1,[3]enemies!$1:$1,0)+1,FALSE)</f>
        <v>61</v>
      </c>
      <c r="X16" s="6">
        <v>1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2</v>
      </c>
      <c r="AB16" s="24">
        <f t="shared" si="8"/>
        <v>61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Drop1N</v>
      </c>
      <c r="AF16" s="7">
        <v>1</v>
      </c>
      <c r="AG16" s="24">
        <f t="shared" ca="1" si="9"/>
        <v>2</v>
      </c>
      <c r="AH16" s="8">
        <v>60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ca="1" si="5"/>
        <v>30027_2-2/71&lt;lv40&gt;s4</v>
      </c>
      <c r="B17" s="22">
        <v>30027</v>
      </c>
      <c r="C17" s="100">
        <v>2</v>
      </c>
      <c r="D17" s="2" t="str">
        <f t="shared" si="6"/>
        <v>30027_2</v>
      </c>
      <c r="E17" s="4" t="str">
        <f ca="1">VLOOKUP($B17,OFFSET([2]quests!$A$1,0,0,COUNTA([2]quests!$A:$A),MATCH(E$1,[2]quests!$1:$1,0)-MATCH($B$1,[2]quests!$1:$1,0)+1),MATCH(E$1,[2]quests!$1:$1,0)-MATCH($B$1,[2]quests!$1:$1,0)+1,FALSE)</f>
        <v>凍りつくまで愛してあげる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【上級】凍りつくまで愛してあげる</v>
      </c>
      <c r="G17" s="100">
        <v>2</v>
      </c>
      <c r="H17" s="15" t="str">
        <f t="shared" si="7"/>
        <v>30027_2-2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71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ダックス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40</v>
      </c>
      <c r="S17" s="25">
        <v>1.7</v>
      </c>
      <c r="T17" s="25">
        <v>1.1000000000000001</v>
      </c>
      <c r="U17" s="5">
        <v>0</v>
      </c>
      <c r="V17" s="4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3ターン攻撃頻度が1ターンにUP</v>
      </c>
      <c r="W17" s="4">
        <f ca="1">VLOOKUP($L17,OFFSET([3]enemies!$A$1,0,0,COUNTA([3]enemies!$A:$A),MATCH(W$1,[3]enemies!$1:$1,0)-MATCH($L$1,[3]enemies!$1:$1,0)+1),MATCH(W$1,[3]enemies!$1:$1,0)-MATCH($L$1,[3]enemies!$1:$1,0)+1,FALSE)</f>
        <v>71</v>
      </c>
      <c r="X17" s="6">
        <v>1</v>
      </c>
      <c r="Y17" s="6">
        <v>100</v>
      </c>
      <c r="Z17" s="6">
        <v>0</v>
      </c>
      <c r="AA17" s="17">
        <f ca="1">VLOOKUP($L17,OFFSET([3]enemies!$A$1,0,0,COUNTA([3]enemies!$A:$A),MATCH(AA$1,[3]enemies!$1:$1,0)-MATCH($L$1,[3]enemies!$1:$1,0)+1),MATCH(AA$1,[3]enemies!$1:$1,0)-MATCH($L$1,[3]enemies!$1:$1,0)+1,FALSE)</f>
        <v>4</v>
      </c>
      <c r="AB17" s="24">
        <f t="shared" si="8"/>
        <v>71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Drop1S</v>
      </c>
      <c r="AF17" s="7">
        <v>1</v>
      </c>
      <c r="AG17" s="24">
        <f t="shared" ca="1" si="9"/>
        <v>2</v>
      </c>
      <c r="AH17" s="8">
        <v>60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ref="A18:A29" ca="1" si="10">B18&amp;"_"&amp;C18&amp;"-"&amp;G18&amp;"/"&amp;L18&amp;"&lt;lv"&amp;R18&amp;"&gt;s"&amp;AA18</f>
        <v>30027_2-3/646&lt;lv50&gt;s2</v>
      </c>
      <c r="B18" s="22">
        <v>30027</v>
      </c>
      <c r="C18" s="100">
        <v>2</v>
      </c>
      <c r="D18" s="2" t="str">
        <f t="shared" ref="D18:D29" si="11">B18&amp;"_"&amp;C18</f>
        <v>30027_2</v>
      </c>
      <c r="E18" s="4" t="str">
        <f ca="1">VLOOKUP($B18,OFFSET([2]quests!$A$1,0,0,COUNTA([2]quests!$A:$A),MATCH(E$1,[2]quests!$1:$1,0)-MATCH($B$1,[2]quests!$1:$1,0)+1),MATCH(E$1,[2]quests!$1:$1,0)-MATCH($B$1,[2]quests!$1:$1,0)+1,FALSE)</f>
        <v>凍りつくまで愛してあげる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【上級】凍りつくまで愛してあげる</v>
      </c>
      <c r="G18" s="21">
        <v>3</v>
      </c>
      <c r="H18" s="15" t="str">
        <f t="shared" ref="H18:H29" si="12">B18&amp;"_"&amp;C18&amp;"-"&amp;G18</f>
        <v>30027_2-3</v>
      </c>
      <c r="I18" s="4">
        <f ca="1">VLOOKUP($H18,OFFSET(floors!$A$1,0,0,COUNTA(floors!$A:$A),MATCH(I$1,floors!$1:$1,0)-MATCH($H$1,floors!$1:$1,0)+1),MATCH(I$1,floors!$1:$1,0)-MATCH($H$1,floors!$1:$1,0)+1,FALSE)</f>
        <v>30</v>
      </c>
      <c r="J18" s="4">
        <f ca="1">VLOOKUP($H18,OFFSET(floors!$A$1,0,0,COUNTA(floors!$A:$A),MATCH(J$1,floors!$1:$1,0)-MATCH($H$1,floors!$1:$1,0)+1),MATCH(J$1,floors!$1:$1,0)-MATCH($H$1,floors!$1:$1,0)+1,FALSE)</f>
        <v>30</v>
      </c>
      <c r="K18" s="38">
        <v>2</v>
      </c>
      <c r="L18" s="20">
        <v>646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雪女 ユキ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Drop2N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50</v>
      </c>
      <c r="S18" s="25">
        <v>2.5</v>
      </c>
      <c r="T18" s="25">
        <v>1.4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ユニット1体に1ターンスリープ</v>
      </c>
      <c r="W18" s="102">
        <v>30027005</v>
      </c>
      <c r="X18" s="6">
        <v>0</v>
      </c>
      <c r="Y18" s="6">
        <v>100</v>
      </c>
      <c r="Z18" s="6">
        <v>1</v>
      </c>
      <c r="AA18" s="17">
        <f ca="1">VLOOKUP($L18,OFFSET([3]enemies!$A$1,0,0,COUNTA([3]enemies!$A:$A),MATCH(AA$1,[3]enemies!$1:$1,0)-MATCH($L$1,[3]enemies!$1:$1,0)+1),MATCH(AA$1,[3]enemies!$1:$1,0)-MATCH($L$1,[3]enemies!$1:$1,0)+1,FALSE)</f>
        <v>2</v>
      </c>
      <c r="AB18" s="24">
        <f t="shared" ref="AB18:AB25" si="13">L18</f>
        <v>646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雪女 ユキ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Drop2N</v>
      </c>
      <c r="AF18" s="7">
        <v>1</v>
      </c>
      <c r="AG18" s="24">
        <f t="shared" ref="AG18:AG29" ca="1" si="14">AD18</f>
        <v>4</v>
      </c>
      <c r="AH18" s="8">
        <v>50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ca="1" si="10"/>
        <v>30027_3-1/13&lt;lv50&gt;s2</v>
      </c>
      <c r="B19" s="22">
        <v>30027</v>
      </c>
      <c r="C19" s="101">
        <v>3</v>
      </c>
      <c r="D19" s="2" t="str">
        <f t="shared" si="11"/>
        <v>30027_3</v>
      </c>
      <c r="E19" s="4" t="str">
        <f ca="1">VLOOKUP($B19,OFFSET([2]quests!$A$1,0,0,COUNTA([2]quests!$A:$A),MATCH(E$1,[2]quests!$1:$1,0)-MATCH($B$1,[2]quests!$1:$1,0)+1),MATCH(E$1,[2]quests!$1:$1,0)-MATCH($B$1,[2]quests!$1:$1,0)+1,FALSE)</f>
        <v>凍りつくまで愛してあげる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【超級】凍りつくまで愛してあげる</v>
      </c>
      <c r="G19" s="99">
        <v>1</v>
      </c>
      <c r="H19" s="15" t="str">
        <f t="shared" si="12"/>
        <v>30027_3-1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13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ミミ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Drop1W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50</v>
      </c>
      <c r="S19" s="25">
        <v>1.1000000000000001</v>
      </c>
      <c r="T19" s="25">
        <v>0.7</v>
      </c>
      <c r="U19" s="5">
        <v>0</v>
      </c>
      <c r="V19" s="4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" s="4">
        <f ca="1">VLOOKUP($L19,OFFSET([3]enemies!$A$1,0,0,COUNTA([3]enemies!$A:$A),MATCH(W$1,[3]enemies!$1:$1,0)-MATCH($L$1,[3]enemies!$1:$1,0)+1),MATCH(W$1,[3]enemies!$1:$1,0)-MATCH($L$1,[3]enemies!$1:$1,0)+1,FALSE)</f>
        <v>0</v>
      </c>
      <c r="X19" s="6">
        <v>0</v>
      </c>
      <c r="Y19" s="6">
        <v>100</v>
      </c>
      <c r="Z19" s="6">
        <v>0</v>
      </c>
      <c r="AA19" s="17">
        <f ca="1">VLOOKUP($L19,OFFSET([3]enemies!$A$1,0,0,COUNTA([3]enemies!$A:$A),MATCH(AA$1,[3]enemies!$1:$1,0)-MATCH($L$1,[3]enemies!$1:$1,0)+1),MATCH(AA$1,[3]enemies!$1:$1,0)-MATCH($L$1,[3]enemies!$1:$1,0)+1,FALSE)</f>
        <v>2</v>
      </c>
      <c r="AB19" s="24">
        <f t="shared" si="13"/>
        <v>13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ミミ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1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Drop1W</v>
      </c>
      <c r="AF19" s="7">
        <v>1</v>
      </c>
      <c r="AG19" s="24">
        <f t="shared" ca="1" si="14"/>
        <v>1</v>
      </c>
      <c r="AH19" s="8">
        <v>60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16" t="str">
        <f t="shared" ref="A20:A21" ca="1" si="15">B20&amp;"_"&amp;C20&amp;"-"&amp;G20&amp;"/"&amp;L20&amp;"&lt;lv"&amp;R20&amp;"&gt;s"&amp;AA20</f>
        <v>30027_3-1/23&lt;lv50&gt;s4</v>
      </c>
      <c r="B20" s="22">
        <v>30027</v>
      </c>
      <c r="C20" s="101">
        <v>3</v>
      </c>
      <c r="D20" s="2" t="str">
        <f t="shared" ref="D20:D21" si="16">B20&amp;"_"&amp;C20</f>
        <v>30027_3</v>
      </c>
      <c r="E20" s="4" t="str">
        <f ca="1">VLOOKUP($B20,OFFSET([2]quests!$A$1,0,0,COUNTA([2]quests!$A:$A),MATCH(E$1,[2]quests!$1:$1,0)-MATCH($B$1,[2]quests!$1:$1,0)+1),MATCH(E$1,[2]quests!$1:$1,0)-MATCH($B$1,[2]quests!$1:$1,0)+1,FALSE)</f>
        <v>凍りつくまで愛してあげる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【超級】凍りつくまで愛してあげる</v>
      </c>
      <c r="G20" s="99">
        <v>1</v>
      </c>
      <c r="H20" s="15" t="str">
        <f t="shared" ref="H20:H21" si="17">B20&amp;"_"&amp;C20&amp;"-"&amp;G20</f>
        <v>30027_3-1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23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ミール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green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Drop1N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50</v>
      </c>
      <c r="S20" s="25">
        <v>0.9</v>
      </c>
      <c r="T20" s="25">
        <v>0.8</v>
      </c>
      <c r="U20" s="5">
        <v>0</v>
      </c>
      <c r="V20" s="4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4">
        <f ca="1">VLOOKUP($L20,OFFSET([3]enemies!$A$1,0,0,COUNTA([3]enemies!$A:$A),MATCH(W$1,[3]enemies!$1:$1,0)-MATCH($L$1,[3]enemies!$1:$1,0)+1),MATCH(W$1,[3]enemies!$1:$1,0)-MATCH($L$1,[3]enemies!$1:$1,0)+1,FALSE)</f>
        <v>0</v>
      </c>
      <c r="X20" s="6">
        <v>0</v>
      </c>
      <c r="Y20" s="6">
        <v>100</v>
      </c>
      <c r="Z20" s="6">
        <v>0</v>
      </c>
      <c r="AA20" s="17">
        <f ca="1">VLOOKUP($L20,OFFSET([3]enemies!$A$1,0,0,COUNTA([3]enemies!$A:$A),MATCH(AA$1,[3]enemies!$1:$1,0)-MATCH($L$1,[3]enemies!$1:$1,0)+1),MATCH(AA$1,[3]enemies!$1:$1,0)-MATCH($L$1,[3]enemies!$1:$1,0)+1,FALSE)</f>
        <v>4</v>
      </c>
      <c r="AB20" s="24">
        <f t="shared" ref="AB20:AB21" si="18">L20</f>
        <v>23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ミール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1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Drop1N</v>
      </c>
      <c r="AF20" s="7">
        <v>1</v>
      </c>
      <c r="AG20" s="24">
        <f t="shared" ref="AG20:AG21" ca="1" si="19">AD20</f>
        <v>1</v>
      </c>
      <c r="AH20" s="8">
        <v>60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 x14ac:dyDescent="0.15">
      <c r="A21" s="16" t="str">
        <f t="shared" ca="1" si="15"/>
        <v>30027_3-1/25&lt;lv50&gt;s3</v>
      </c>
      <c r="B21" s="22">
        <v>30027</v>
      </c>
      <c r="C21" s="101">
        <v>3</v>
      </c>
      <c r="D21" s="2" t="str">
        <f t="shared" si="16"/>
        <v>30027_3</v>
      </c>
      <c r="E21" s="4" t="str">
        <f ca="1">VLOOKUP($B21,OFFSET([2]quests!$A$1,0,0,COUNTA([2]quests!$A:$A),MATCH(E$1,[2]quests!$1:$1,0)-MATCH($B$1,[2]quests!$1:$1,0)+1),MATCH(E$1,[2]quests!$1:$1,0)-MATCH($B$1,[2]quests!$1:$1,0)+1,FALSE)</f>
        <v>凍りつくまで愛してあげる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【超級】凍りつくまで愛してあげる</v>
      </c>
      <c r="G21" s="99">
        <v>1</v>
      </c>
      <c r="H21" s="15" t="str">
        <f t="shared" si="17"/>
        <v>30027_3-1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25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ハチ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50</v>
      </c>
      <c r="S21" s="25">
        <v>1</v>
      </c>
      <c r="T21" s="25">
        <v>0.9</v>
      </c>
      <c r="U21" s="5">
        <v>0</v>
      </c>
      <c r="V21" s="4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4">
        <f ca="1">VLOOKUP($L21,OFFSET([3]enemies!$A$1,0,0,COUNTA([3]enemies!$A:$A),MATCH(W$1,[3]enemies!$1:$1,0)-MATCH($L$1,[3]enemies!$1:$1,0)+1),MATCH(W$1,[3]enemies!$1:$1,0)-MATCH($L$1,[3]enemies!$1:$1,0)+1,FALSE)</f>
        <v>0</v>
      </c>
      <c r="X21" s="6">
        <v>0</v>
      </c>
      <c r="Y21" s="6">
        <v>100</v>
      </c>
      <c r="Z21" s="6">
        <v>0</v>
      </c>
      <c r="AA21" s="17">
        <f ca="1">VLOOKUP($L21,OFFSET([3]enemies!$A$1,0,0,COUNTA([3]enemies!$A:$A),MATCH(AA$1,[3]enemies!$1:$1,0)-MATCH($L$1,[3]enemies!$1:$1,0)+1),MATCH(AA$1,[3]enemies!$1:$1,0)-MATCH($L$1,[3]enemies!$1:$1,0)+1,FALSE)</f>
        <v>3</v>
      </c>
      <c r="AB21" s="24">
        <f t="shared" si="18"/>
        <v>25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ハチ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1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7">
        <v>1</v>
      </c>
      <c r="AG21" s="24">
        <f t="shared" ca="1" si="19"/>
        <v>1</v>
      </c>
      <c r="AH21" s="8">
        <v>60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 x14ac:dyDescent="0.15">
      <c r="A22" s="16" t="str">
        <f t="shared" ref="A22" ca="1" si="20">B22&amp;"_"&amp;C22&amp;"-"&amp;G22&amp;"/"&amp;L22&amp;"&lt;lv"&amp;R22&amp;"&gt;s"&amp;AA22</f>
        <v>30027_3-1/9&lt;lv50&gt;s2</v>
      </c>
      <c r="B22" s="22">
        <v>30027</v>
      </c>
      <c r="C22" s="101">
        <v>3</v>
      </c>
      <c r="D22" s="2" t="str">
        <f t="shared" ref="D22" si="21">B22&amp;"_"&amp;C22</f>
        <v>30027_3</v>
      </c>
      <c r="E22" s="4" t="str">
        <f ca="1">VLOOKUP($B22,OFFSET([2]quests!$A$1,0,0,COUNTA([2]quests!$A:$A),MATCH(E$1,[2]quests!$1:$1,0)-MATCH($B$1,[2]quests!$1:$1,0)+1),MATCH(E$1,[2]quests!$1:$1,0)-MATCH($B$1,[2]quests!$1:$1,0)+1,FALSE)</f>
        <v>凍りつくまで愛してあげる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【超級】凍りつくまで愛してあげる</v>
      </c>
      <c r="G22" s="99">
        <v>1</v>
      </c>
      <c r="H22" s="15" t="str">
        <f t="shared" ref="H22" si="22">B22&amp;"_"&amp;C22&amp;"-"&amp;G22</f>
        <v>30027_3-1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53</v>
      </c>
      <c r="L22" s="20">
        <v>9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ブレット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Drop1W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50</v>
      </c>
      <c r="S22" s="25">
        <v>1.2</v>
      </c>
      <c r="T22" s="25">
        <v>1</v>
      </c>
      <c r="U22" s="5">
        <v>0</v>
      </c>
      <c r="V22" s="4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4">
        <f ca="1">VLOOKUP($L22,OFFSET([3]enemies!$A$1,0,0,COUNTA([3]enemies!$A:$A),MATCH(W$1,[3]enemies!$1:$1,0)-MATCH($L$1,[3]enemies!$1:$1,0)+1),MATCH(W$1,[3]enemies!$1:$1,0)-MATCH($L$1,[3]enemies!$1:$1,0)+1,FALSE)</f>
        <v>0</v>
      </c>
      <c r="X22" s="6">
        <v>0</v>
      </c>
      <c r="Y22" s="6">
        <v>100</v>
      </c>
      <c r="Z22" s="6">
        <v>0</v>
      </c>
      <c r="AA22" s="17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f t="shared" ref="AB22" si="23">L22</f>
        <v>9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1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2" s="7">
        <v>1</v>
      </c>
      <c r="AG22" s="24">
        <f t="shared" ref="AG22" ca="1" si="24">AD22</f>
        <v>1</v>
      </c>
      <c r="AH22" s="8">
        <v>60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 x14ac:dyDescent="0.15">
      <c r="A23" s="16" t="str">
        <f t="shared" si="10"/>
        <v>30027_3-2/135&lt;lv55&gt;s2</v>
      </c>
      <c r="B23" s="22">
        <v>30027</v>
      </c>
      <c r="C23" s="101">
        <v>3</v>
      </c>
      <c r="D23" s="2" t="str">
        <f t="shared" si="11"/>
        <v>30027_3</v>
      </c>
      <c r="E23" s="4" t="str">
        <f ca="1">VLOOKUP($B23,OFFSET([2]quests!$A$1,0,0,COUNTA([2]quests!$A:$A),MATCH(E$1,[2]quests!$1:$1,0)-MATCH($B$1,[2]quests!$1:$1,0)+1),MATCH(E$1,[2]quests!$1:$1,0)-MATCH($B$1,[2]quests!$1:$1,0)+1,FALSE)</f>
        <v>凍りつくまで愛してあげる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【超級】凍りつくまで愛してあげる</v>
      </c>
      <c r="G23" s="100">
        <v>2</v>
      </c>
      <c r="H23" s="15" t="str">
        <f t="shared" si="12"/>
        <v>30027_3-2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53</v>
      </c>
      <c r="L23" s="20">
        <v>135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京の炎華夕霧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PremiumW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human</v>
      </c>
      <c r="Q23" s="17">
        <f ca="1">VLOOKUP($L23,OFFSET([3]enemies!$A$1,0,0,COUNTA([3]enemies!$A:$A),MATCH(Q$1,[3]enemies!$1:$1,0)-MATCH($L$1,[3]enemies!$1:$1,0)+1),MATCH(Q$1,[3]enemies!$1:$1,0)-MATCH($L$1,[3]enemies!$1:$1,0)+1,FALSE)</f>
        <v>30</v>
      </c>
      <c r="R23" s="5">
        <v>55</v>
      </c>
      <c r="S23" s="25">
        <v>1.2</v>
      </c>
      <c r="T23" s="25">
        <v>0.9</v>
      </c>
      <c r="U23" s="5">
        <v>0</v>
      </c>
      <c r="V23" s="4" t="str">
        <f ca="1">VLOOKUP($W23,OFFSET(enemy_skill_sets!$B$1,0,0,COUNTA(enemy_skill_sets!$B:$B),MATCH(M$1,enemy_skill_sets!$1:$1,0)-MATCH($W$1,enemy_skill_sets!$1:$1,0)+2),MATCH(M$1,enemy_skill_sets!$1:$1,0)-MATCH($W$1,enemy_skill_sets!$1:$1,0)+2,FALSE)</f>
        <v>5ターンの間ダメージを受ける</v>
      </c>
      <c r="W23" s="47">
        <v>30027001</v>
      </c>
      <c r="X23" s="6">
        <v>1</v>
      </c>
      <c r="Y23" s="6">
        <v>100</v>
      </c>
      <c r="Z23" s="6">
        <v>0</v>
      </c>
      <c r="AA23" s="17">
        <v>2</v>
      </c>
      <c r="AB23" s="24">
        <f t="shared" si="13"/>
        <v>135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京の炎華夕霧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3" s="7">
        <v>1</v>
      </c>
      <c r="AG23" s="24">
        <f t="shared" ca="1" si="14"/>
        <v>4</v>
      </c>
      <c r="AH23" s="8">
        <v>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 x14ac:dyDescent="0.15">
      <c r="A24" s="16" t="str">
        <f t="shared" ref="A24" ca="1" si="25">B24&amp;"_"&amp;C24&amp;"-"&amp;G24&amp;"/"&amp;L24&amp;"&lt;lv"&amp;R24&amp;"&gt;s"&amp;AA24</f>
        <v>30027_3-2/141&lt;lv55&gt;s2</v>
      </c>
      <c r="B24" s="22">
        <v>30027</v>
      </c>
      <c r="C24" s="101">
        <v>3</v>
      </c>
      <c r="D24" s="2" t="str">
        <f t="shared" ref="D24" si="26">B24&amp;"_"&amp;C24</f>
        <v>30027_3</v>
      </c>
      <c r="E24" s="4" t="str">
        <f ca="1">VLOOKUP($B24,OFFSET([2]quests!$A$1,0,0,COUNTA([2]quests!$A:$A),MATCH(E$1,[2]quests!$1:$1,0)-MATCH($B$1,[2]quests!$1:$1,0)+1),MATCH(E$1,[2]quests!$1:$1,0)-MATCH($B$1,[2]quests!$1:$1,0)+1,FALSE)</f>
        <v>凍りつくまで愛してあげる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【超級】凍りつくまで愛してあげる</v>
      </c>
      <c r="G24" s="100">
        <v>2</v>
      </c>
      <c r="H24" s="15" t="str">
        <f t="shared" ref="H24" si="27">B24&amp;"_"&amp;C24&amp;"-"&amp;G24</f>
        <v>30027_3-2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 t="s">
        <v>53</v>
      </c>
      <c r="L24" s="20">
        <v>141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妖狐演舞 タマモ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PremiumW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animal</v>
      </c>
      <c r="Q24" s="17">
        <f ca="1">VLOOKUP($L24,OFFSET([3]enemies!$A$1,0,0,COUNTA([3]enemies!$A:$A),MATCH(Q$1,[3]enemies!$1:$1,0)-MATCH($L$1,[3]enemies!$1:$1,0)+1),MATCH(Q$1,[3]enemies!$1:$1,0)-MATCH($L$1,[3]enemies!$1:$1,0)+1,FALSE)</f>
        <v>30</v>
      </c>
      <c r="R24" s="5">
        <v>55</v>
      </c>
      <c r="S24" s="25">
        <v>1.4</v>
      </c>
      <c r="T24" s="25">
        <v>0.8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2ターンスキルが使えない！</v>
      </c>
      <c r="W24" s="47">
        <v>30027002</v>
      </c>
      <c r="X24" s="6">
        <v>1</v>
      </c>
      <c r="Y24" s="6">
        <v>100</v>
      </c>
      <c r="Z24" s="6">
        <v>0</v>
      </c>
      <c r="AA24" s="17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f t="shared" ref="AB24" si="28">L24</f>
        <v>141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妖狐演舞 タマモ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4" s="7">
        <v>1</v>
      </c>
      <c r="AG24" s="24">
        <f t="shared" ref="AG24" ca="1" si="29">AD24</f>
        <v>4</v>
      </c>
      <c r="AH24" s="8">
        <v>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21" customHeight="1" x14ac:dyDescent="0.15">
      <c r="A25" s="16" t="str">
        <f t="shared" ca="1" si="10"/>
        <v>30027_3-3/45&lt;lv50&gt;s3</v>
      </c>
      <c r="B25" s="22">
        <v>30027</v>
      </c>
      <c r="C25" s="101">
        <v>3</v>
      </c>
      <c r="D25" s="2" t="str">
        <f t="shared" si="11"/>
        <v>30027_3</v>
      </c>
      <c r="E25" s="4" t="str">
        <f ca="1">VLOOKUP($B25,OFFSET([2]quests!$A$1,0,0,COUNTA([2]quests!$A:$A),MATCH(E$1,[2]quests!$1:$1,0)-MATCH($B$1,[2]quests!$1:$1,0)+1),MATCH(E$1,[2]quests!$1:$1,0)-MATCH($B$1,[2]quests!$1:$1,0)+1,FALSE)</f>
        <v>凍りつくまで愛してあげる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【超級】凍りつくまで愛してあげる</v>
      </c>
      <c r="G25" s="101">
        <v>3</v>
      </c>
      <c r="H25" s="15" t="str">
        <f t="shared" si="12"/>
        <v>30027_3-3</v>
      </c>
      <c r="I25" s="4">
        <f ca="1">VLOOKUP($H25,OFFSET(floors!$A$1,0,0,COUNTA(floors!$A:$A),MATCH(I$1,floors!$1:$1,0)-MATCH($H$1,floors!$1:$1,0)+1),MATCH(I$1,floors!$1:$1,0)-MATCH($H$1,floors!$1:$1,0)+1,FALSE)</f>
        <v>60</v>
      </c>
      <c r="J25" s="4">
        <f ca="1">VLOOKUP($H25,OFFSET(floors!$A$1,0,0,COUNTA(floors!$A:$A),MATCH(J$1,floors!$1:$1,0)-MATCH($H$1,floors!$1:$1,0)+1),MATCH(J$1,floors!$1:$1,0)-MATCH($H$1,floors!$1:$1,0)+1,FALSE)</f>
        <v>60</v>
      </c>
      <c r="K25" s="38" t="s">
        <v>53</v>
      </c>
      <c r="L25" s="20">
        <v>45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ショウイン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animal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50</v>
      </c>
      <c r="S25" s="25">
        <v>1.2</v>
      </c>
      <c r="T25" s="25">
        <v>1</v>
      </c>
      <c r="U25" s="5">
        <v>0</v>
      </c>
      <c r="V25" s="4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4">
        <f ca="1">VLOOKUP($L25,OFFSET([3]enemies!$A$1,0,0,COUNTA([3]enemies!$A:$A),MATCH(W$1,[3]enemies!$1:$1,0)-MATCH($L$1,[3]enemies!$1:$1,0)+1),MATCH(W$1,[3]enemies!$1:$1,0)-MATCH($L$1,[3]enemies!$1:$1,0)+1,FALSE)</f>
        <v>0</v>
      </c>
      <c r="X25" s="6">
        <v>1</v>
      </c>
      <c r="Y25" s="6">
        <v>100</v>
      </c>
      <c r="Z25" s="6">
        <v>0</v>
      </c>
      <c r="AA25" s="17">
        <f ca="1">VLOOKUP($L25,OFFSET([3]enemies!$A$1,0,0,COUNTA([3]enemies!$A:$A),MATCH(AA$1,[3]enemies!$1:$1,0)-MATCH($L$1,[3]enemies!$1:$1,0)+1),MATCH(AA$1,[3]enemies!$1:$1,0)-MATCH($L$1,[3]enemies!$1:$1,0)+1,FALSE)</f>
        <v>3</v>
      </c>
      <c r="AB25" s="24">
        <f t="shared" si="13"/>
        <v>45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2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Drop1N</v>
      </c>
      <c r="AF25" s="7">
        <v>1</v>
      </c>
      <c r="AG25" s="24">
        <f t="shared" ca="1" si="14"/>
        <v>2</v>
      </c>
      <c r="AH25" s="8">
        <v>60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  <row r="26" spans="1:40" ht="21" customHeight="1" x14ac:dyDescent="0.15">
      <c r="A26" s="16" t="str">
        <f t="shared" ref="A26:A28" ca="1" si="30">B26&amp;"_"&amp;C26&amp;"-"&amp;G26&amp;"/"&amp;L26&amp;"&lt;lv"&amp;R26&amp;"&gt;s"&amp;AA26</f>
        <v>30027_3-3/53&lt;lv50&gt;s2</v>
      </c>
      <c r="B26" s="22">
        <v>30027</v>
      </c>
      <c r="C26" s="101">
        <v>3</v>
      </c>
      <c r="D26" s="2" t="str">
        <f t="shared" ref="D26:D28" si="31">B26&amp;"_"&amp;C26</f>
        <v>30027_3</v>
      </c>
      <c r="E26" s="4" t="str">
        <f ca="1">VLOOKUP($B26,OFFSET([2]quests!$A$1,0,0,COUNTA([2]quests!$A:$A),MATCH(E$1,[2]quests!$1:$1,0)-MATCH($B$1,[2]quests!$1:$1,0)+1),MATCH(E$1,[2]quests!$1:$1,0)-MATCH($B$1,[2]quests!$1:$1,0)+1,FALSE)</f>
        <v>凍りつくまで愛してあげる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【超級】凍りつくまで愛してあげる</v>
      </c>
      <c r="G26" s="101">
        <v>3</v>
      </c>
      <c r="H26" s="15" t="str">
        <f t="shared" ref="H26:H28" si="32">B26&amp;"_"&amp;C26&amp;"-"&amp;G26</f>
        <v>30027_3-3</v>
      </c>
      <c r="I26" s="4">
        <f ca="1">VLOOKUP($H26,OFFSET(floors!$A$1,0,0,COUNTA(floors!$A:$A),MATCH(I$1,floors!$1:$1,0)-MATCH($H$1,floors!$1:$1,0)+1),MATCH(I$1,floors!$1:$1,0)-MATCH($H$1,floors!$1:$1,0)+1,FALSE)</f>
        <v>60</v>
      </c>
      <c r="J26" s="4">
        <f ca="1">VLOOKUP($H26,OFFSET(floors!$A$1,0,0,COUNTA(floors!$A:$A),MATCH(J$1,floors!$1:$1,0)-MATCH($H$1,floors!$1:$1,0)+1),MATCH(J$1,floors!$1:$1,0)-MATCH($H$1,floors!$1:$1,0)+1,FALSE)</f>
        <v>60</v>
      </c>
      <c r="K26" s="38" t="s">
        <v>53</v>
      </c>
      <c r="L26" s="20">
        <v>53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ケンジ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Drop1N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50</v>
      </c>
      <c r="S26" s="25">
        <v>1.2</v>
      </c>
      <c r="T26" s="25">
        <v>1</v>
      </c>
      <c r="U26" s="5">
        <v>0</v>
      </c>
      <c r="V26" s="4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効いてしまうと２ターン行動できない</v>
      </c>
      <c r="W26" s="4">
        <f ca="1">VLOOKUP($L26,OFFSET([3]enemies!$A$1,0,0,COUNTA([3]enemies!$A:$A),MATCH(W$1,[3]enemies!$1:$1,0)-MATCH($L$1,[3]enemies!$1:$1,0)+1),MATCH(W$1,[3]enemies!$1:$1,0)-MATCH($L$1,[3]enemies!$1:$1,0)+1,FALSE)</f>
        <v>53</v>
      </c>
      <c r="X26" s="6">
        <v>1</v>
      </c>
      <c r="Y26" s="6">
        <v>100</v>
      </c>
      <c r="Z26" s="6">
        <v>0</v>
      </c>
      <c r="AA26" s="17">
        <f ca="1">VLOOKUP($L26,OFFSET([3]enemies!$A$1,0,0,COUNTA([3]enemies!$A:$A),MATCH(AA$1,[3]enemies!$1:$1,0)-MATCH($L$1,[3]enemies!$1:$1,0)+1),MATCH(AA$1,[3]enemies!$1:$1,0)-MATCH($L$1,[3]enemies!$1:$1,0)+1,FALSE)</f>
        <v>2</v>
      </c>
      <c r="AB26" s="24">
        <f t="shared" ref="AB26:AB28" si="33">L26</f>
        <v>53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ケンジ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2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Drop1N</v>
      </c>
      <c r="AF26" s="7">
        <v>1</v>
      </c>
      <c r="AG26" s="24">
        <f t="shared" ref="AG26:AG28" ca="1" si="34">AD26</f>
        <v>2</v>
      </c>
      <c r="AH26" s="8">
        <v>60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9">
        <v>1</v>
      </c>
    </row>
    <row r="27" spans="1:40" ht="21" customHeight="1" x14ac:dyDescent="0.15">
      <c r="A27" s="16" t="str">
        <f t="shared" ca="1" si="30"/>
        <v>30027_3-3/61&lt;lv50&gt;s2</v>
      </c>
      <c r="B27" s="22">
        <v>30027</v>
      </c>
      <c r="C27" s="101">
        <v>3</v>
      </c>
      <c r="D27" s="2" t="str">
        <f t="shared" si="31"/>
        <v>30027_3</v>
      </c>
      <c r="E27" s="4" t="str">
        <f ca="1">VLOOKUP($B27,OFFSET([2]quests!$A$1,0,0,COUNTA([2]quests!$A:$A),MATCH(E$1,[2]quests!$1:$1,0)-MATCH($B$1,[2]quests!$1:$1,0)+1),MATCH(E$1,[2]quests!$1:$1,0)-MATCH($B$1,[2]quests!$1:$1,0)+1,FALSE)</f>
        <v>凍りつくまで愛してあげる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【超級】凍りつくまで愛してあげる</v>
      </c>
      <c r="G27" s="101">
        <v>3</v>
      </c>
      <c r="H27" s="15" t="str">
        <f t="shared" si="32"/>
        <v>30027_3-3</v>
      </c>
      <c r="I27" s="4">
        <f ca="1">VLOOKUP($H27,OFFSET(floors!$A$1,0,0,COUNTA(floors!$A:$A),MATCH(I$1,floors!$1:$1,0)-MATCH($H$1,floors!$1:$1,0)+1),MATCH(I$1,floors!$1:$1,0)-MATCH($H$1,floors!$1:$1,0)+1,FALSE)</f>
        <v>60</v>
      </c>
      <c r="J27" s="4">
        <f ca="1">VLOOKUP($H27,OFFSET(floors!$A$1,0,0,COUNTA(floors!$A:$A),MATCH(J$1,floors!$1:$1,0)-MATCH($H$1,floors!$1:$1,0)+1),MATCH(J$1,floors!$1:$1,0)-MATCH($H$1,floors!$1:$1,0)+1,FALSE)</f>
        <v>60</v>
      </c>
      <c r="K27" s="38" t="s">
        <v>53</v>
      </c>
      <c r="L27" s="20">
        <v>61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クロウ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Drop1N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50</v>
      </c>
      <c r="S27" s="25">
        <v>1.3</v>
      </c>
      <c r="T27" s="25">
        <v>1</v>
      </c>
      <c r="U27" s="5">
        <v>0</v>
      </c>
      <c r="V27" s="4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7" s="4">
        <f ca="1">VLOOKUP($L27,OFFSET([3]enemies!$A$1,0,0,COUNTA([3]enemies!$A:$A),MATCH(W$1,[3]enemies!$1:$1,0)-MATCH($L$1,[3]enemies!$1:$1,0)+1),MATCH(W$1,[3]enemies!$1:$1,0)-MATCH($L$1,[3]enemies!$1:$1,0)+1,FALSE)</f>
        <v>61</v>
      </c>
      <c r="X27" s="6">
        <v>1</v>
      </c>
      <c r="Y27" s="6">
        <v>100</v>
      </c>
      <c r="Z27" s="6">
        <v>0</v>
      </c>
      <c r="AA27" s="17">
        <f ca="1">VLOOKUP($L27,OFFSET([3]enemies!$A$1,0,0,COUNTA([3]enemies!$A:$A),MATCH(AA$1,[3]enemies!$1:$1,0)-MATCH($L$1,[3]enemies!$1:$1,0)+1),MATCH(AA$1,[3]enemies!$1:$1,0)-MATCH($L$1,[3]enemies!$1:$1,0)+1,FALSE)</f>
        <v>2</v>
      </c>
      <c r="AB27" s="24">
        <f t="shared" si="33"/>
        <v>61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2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Drop1N</v>
      </c>
      <c r="AF27" s="7">
        <v>1</v>
      </c>
      <c r="AG27" s="24">
        <f t="shared" ca="1" si="34"/>
        <v>2</v>
      </c>
      <c r="AH27" s="8">
        <v>60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 x14ac:dyDescent="0.15">
      <c r="A28" s="16" t="str">
        <f t="shared" ca="1" si="30"/>
        <v>30027_3-3/71&lt;lv50&gt;s4</v>
      </c>
      <c r="B28" s="22">
        <v>30027</v>
      </c>
      <c r="C28" s="101">
        <v>3</v>
      </c>
      <c r="D28" s="2" t="str">
        <f t="shared" si="31"/>
        <v>30027_3</v>
      </c>
      <c r="E28" s="4" t="str">
        <f ca="1">VLOOKUP($B28,OFFSET([2]quests!$A$1,0,0,COUNTA([2]quests!$A:$A),MATCH(E$1,[2]quests!$1:$1,0)-MATCH($B$1,[2]quests!$1:$1,0)+1),MATCH(E$1,[2]quests!$1:$1,0)-MATCH($B$1,[2]quests!$1:$1,0)+1,FALSE)</f>
        <v>凍りつくまで愛してあげる</v>
      </c>
      <c r="F28" s="4" t="str">
        <f ca="1">VLOOKUP($D28,OFFSET([2]stages!$A$1,0,0,COUNTA([2]stages!$A:$A),MATCH(F$1,[2]stages!$2:$2,0)-MATCH($D$1,[2]stages!$2:$2,0)+1),MATCH(F$1,[2]stages!$2:$2,0)-MATCH($D$1,[2]stages!$2:$2,0)+1,FALSE)</f>
        <v>【超級】凍りつくまで愛してあげる</v>
      </c>
      <c r="G28" s="101">
        <v>3</v>
      </c>
      <c r="H28" s="15" t="str">
        <f t="shared" si="32"/>
        <v>30027_3-3</v>
      </c>
      <c r="I28" s="4">
        <f ca="1">VLOOKUP($H28,OFFSET(floors!$A$1,0,0,COUNTA(floors!$A:$A),MATCH(I$1,floors!$1:$1,0)-MATCH($H$1,floors!$1:$1,0)+1),MATCH(I$1,floors!$1:$1,0)-MATCH($H$1,floors!$1:$1,0)+1,FALSE)</f>
        <v>60</v>
      </c>
      <c r="J28" s="4">
        <f ca="1">VLOOKUP($H28,OFFSET(floors!$A$1,0,0,COUNTA(floors!$A:$A),MATCH(J$1,floors!$1:$1,0)-MATCH($H$1,floors!$1:$1,0)+1),MATCH(J$1,floors!$1:$1,0)-MATCH($H$1,floors!$1:$1,0)+1,FALSE)</f>
        <v>60</v>
      </c>
      <c r="K28" s="38" t="s">
        <v>53</v>
      </c>
      <c r="L28" s="20">
        <v>71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ダックス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Drop1S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animal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50</v>
      </c>
      <c r="S28" s="25">
        <v>1.6</v>
      </c>
      <c r="T28" s="25">
        <v>1</v>
      </c>
      <c r="U28" s="5">
        <v>0</v>
      </c>
      <c r="V28" s="4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3ターン攻撃頻度が1ターンにUP</v>
      </c>
      <c r="W28" s="4">
        <f ca="1">VLOOKUP($L28,OFFSET([3]enemies!$A$1,0,0,COUNTA([3]enemies!$A:$A),MATCH(W$1,[3]enemies!$1:$1,0)-MATCH($L$1,[3]enemies!$1:$1,0)+1),MATCH(W$1,[3]enemies!$1:$1,0)-MATCH($L$1,[3]enemies!$1:$1,0)+1,FALSE)</f>
        <v>71</v>
      </c>
      <c r="X28" s="6">
        <v>1</v>
      </c>
      <c r="Y28" s="6">
        <v>100</v>
      </c>
      <c r="Z28" s="6">
        <v>0</v>
      </c>
      <c r="AA28" s="17">
        <f ca="1">VLOOKUP($L28,OFFSET([3]enemies!$A$1,0,0,COUNTA([3]enemies!$A:$A),MATCH(AA$1,[3]enemies!$1:$1,0)-MATCH($L$1,[3]enemies!$1:$1,0)+1),MATCH(AA$1,[3]enemies!$1:$1,0)-MATCH($L$1,[3]enemies!$1:$1,0)+1,FALSE)</f>
        <v>4</v>
      </c>
      <c r="AB28" s="24">
        <f t="shared" si="33"/>
        <v>71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ダックス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2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Drop1S</v>
      </c>
      <c r="AF28" s="7">
        <v>1</v>
      </c>
      <c r="AG28" s="24">
        <f t="shared" ca="1" si="34"/>
        <v>2</v>
      </c>
      <c r="AH28" s="8">
        <v>60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  <row r="29" spans="1:40" ht="21" customHeight="1" x14ac:dyDescent="0.15">
      <c r="A29" s="16" t="str">
        <f t="shared" ca="1" si="10"/>
        <v>30027_3-4/647&lt;lv60&gt;s2</v>
      </c>
      <c r="B29" s="22">
        <v>30027</v>
      </c>
      <c r="C29" s="101">
        <v>3</v>
      </c>
      <c r="D29" s="2" t="str">
        <f t="shared" si="11"/>
        <v>30027_3</v>
      </c>
      <c r="E29" s="4" t="str">
        <f ca="1">VLOOKUP($B29,OFFSET([2]quests!$A$1,0,0,COUNTA([2]quests!$A:$A),MATCH(E$1,[2]quests!$1:$1,0)-MATCH($B$1,[2]quests!$1:$1,0)+1),MATCH(E$1,[2]quests!$1:$1,0)-MATCH($B$1,[2]quests!$1:$1,0)+1,FALSE)</f>
        <v>凍りつくまで愛してあげる</v>
      </c>
      <c r="F29" s="4" t="str">
        <f ca="1">VLOOKUP($D29,OFFSET([2]stages!$A$1,0,0,COUNTA([2]stages!$A:$A),MATCH(F$1,[2]stages!$2:$2,0)-MATCH($D$1,[2]stages!$2:$2,0)+1),MATCH(F$1,[2]stages!$2:$2,0)-MATCH($D$1,[2]stages!$2:$2,0)+1,FALSE)</f>
        <v>【超級】凍りつくまで愛してあげる</v>
      </c>
      <c r="G29" s="21">
        <v>4</v>
      </c>
      <c r="H29" s="15" t="str">
        <f t="shared" si="12"/>
        <v>30027_3-4</v>
      </c>
      <c r="I29" s="4">
        <f ca="1">VLOOKUP($H29,OFFSET(floors!$A$1,0,0,COUNTA(floors!$A:$A),MATCH(I$1,floors!$1:$1,0)-MATCH($H$1,floors!$1:$1,0)+1),MATCH(I$1,floors!$1:$1,0)-MATCH($H$1,floors!$1:$1,0)+1,FALSE)</f>
        <v>60</v>
      </c>
      <c r="J29" s="4">
        <f ca="1">VLOOKUP($H29,OFFSET(floors!$A$1,0,0,COUNTA(floors!$A:$A),MATCH(J$1,floors!$1:$1,0)-MATCH($H$1,floors!$1:$1,0)+1),MATCH(J$1,floors!$1:$1,0)-MATCH($H$1,floors!$1:$1,0)+1,FALSE)</f>
        <v>60</v>
      </c>
      <c r="K29" s="38">
        <v>1</v>
      </c>
      <c r="L29" s="20">
        <v>647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氷麗の雪化生 ユキ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blue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Drop2N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7">
        <f ca="1">VLOOKUP($L29,OFFSET([3]enemies!$A$1,0,0,COUNTA([3]enemies!$A:$A),MATCH(Q$1,[3]enemies!$1:$1,0)-MATCH($L$1,[3]enemies!$1:$1,0)+1),MATCH(Q$1,[3]enemies!$1:$1,0)-MATCH($L$1,[3]enemies!$1:$1,0)+1,FALSE)</f>
        <v>60</v>
      </c>
      <c r="R29" s="5">
        <v>60</v>
      </c>
      <c r="S29" s="25">
        <v>2.5</v>
      </c>
      <c r="T29" s="25">
        <v>1.4</v>
      </c>
      <c r="U29" s="5">
        <v>0</v>
      </c>
      <c r="V29" s="4" t="str">
        <f ca="1">VLOOKUP($W29,OFFSET(enemy_skill_sets!$B$1,0,0,COUNTA(enemy_skill_sets!$B:$B),MATCH(M$1,enemy_skill_sets!$1:$1,0)-MATCH($W$1,enemy_skill_sets!$1:$1,0)+2),MATCH(M$1,enemy_skill_sets!$1:$1,0)-MATCH($W$1,enemy_skill_sets!$1:$1,0)+2,FALSE)</f>
        <v>ユニット1体に2ターンスリープ</v>
      </c>
      <c r="W29" s="102">
        <v>30027003</v>
      </c>
      <c r="X29" s="6">
        <v>1</v>
      </c>
      <c r="Y29" s="6">
        <v>100</v>
      </c>
      <c r="Z29" s="6">
        <v>1</v>
      </c>
      <c r="AA29" s="17">
        <f ca="1">VLOOKUP($L29,OFFSET([3]enemies!$A$1,0,0,COUNTA([3]enemies!$A:$A),MATCH(AA$1,[3]enemies!$1:$1,0)-MATCH($L$1,[3]enemies!$1:$1,0)+1),MATCH(AA$1,[3]enemies!$1:$1,0)-MATCH($L$1,[3]enemies!$1:$1,0)+1,FALSE)</f>
        <v>2</v>
      </c>
      <c r="AB29" s="24">
        <v>646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雪女 ユキ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Drop2N</v>
      </c>
      <c r="AF29" s="7">
        <v>1</v>
      </c>
      <c r="AG29" s="24">
        <f t="shared" ca="1" si="14"/>
        <v>4</v>
      </c>
      <c r="AH29" s="8">
        <v>100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4" sqref="U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30027_3-4/647&lt;lv60&gt;sq1st2</v>
      </c>
      <c r="B2" s="22">
        <v>30027</v>
      </c>
      <c r="C2" s="21">
        <v>3</v>
      </c>
      <c r="D2" s="2" t="str">
        <f>B2&amp;"_"&amp;C2</f>
        <v>30027_3</v>
      </c>
      <c r="E2" s="4" t="str">
        <f ca="1">VLOOKUP($B2,OFFSET([2]quests!$A$1,0,0,COUNTA([2]quests!$A:$A),MATCH(E$1,[2]quests!$1:$1,0)-MATCH($B$1,[2]quests!$1:$1,0)+1),MATCH(E$1,[2]quests!$1:$1,0)-MATCH($B$1,[2]quests!$1:$1,0)+1,FALSE)</f>
        <v>凍りつくまで愛してあげる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【超級】凍りつくまで愛してあげる</v>
      </c>
      <c r="G2" s="21">
        <v>4</v>
      </c>
      <c r="H2" s="15" t="str">
        <f>B2&amp;"_"&amp;C2&amp;"-"&amp;G2</f>
        <v>30027_3-4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647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氷麗の雪化生 ユキ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4</v>
      </c>
      <c r="U2" s="25">
        <v>0.7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03">
        <v>30027004</v>
      </c>
      <c r="Y2" s="70">
        <v>1</v>
      </c>
    </row>
    <row r="3" spans="1:25" ht="21" customHeight="1" x14ac:dyDescent="0.15">
      <c r="A3" s="16" t="str">
        <f>B3&amp;"_"&amp;C3&amp;"-"&amp;G3&amp;"/"&amp;M3&amp;"&lt;lv"&amp;S3&amp;"&gt;sq"&amp;K3&amp;"st"&amp;L3</f>
        <v>30027_2-3/646&lt;lv50&gt;sq2st2</v>
      </c>
      <c r="B3" s="22">
        <v>30027</v>
      </c>
      <c r="C3" s="21">
        <v>2</v>
      </c>
      <c r="D3" s="2" t="str">
        <f>B3&amp;"_"&amp;C3</f>
        <v>30027_2</v>
      </c>
      <c r="E3" s="4" t="str">
        <f ca="1">VLOOKUP($B3,OFFSET([2]quests!$A$1,0,0,COUNTA([2]quests!$A:$A),MATCH(E$1,[2]quests!$1:$1,0)-MATCH($B$1,[2]quests!$1:$1,0)+1),MATCH(E$1,[2]quests!$1:$1,0)-MATCH($B$1,[2]quests!$1:$1,0)+1,FALSE)</f>
        <v>凍りつくまで愛してあげる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【上級】凍りつくまで愛してあげる</v>
      </c>
      <c r="G3" s="21">
        <v>3</v>
      </c>
      <c r="H3" s="15" t="str">
        <f>B3&amp;"_"&amp;C3&amp;"-"&amp;G3</f>
        <v>30027_2-3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>
        <v>2</v>
      </c>
      <c r="L3" s="38">
        <v>2</v>
      </c>
      <c r="M3" s="20">
        <v>646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雪女 ユキ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50</v>
      </c>
      <c r="T3" s="25">
        <v>4</v>
      </c>
      <c r="U3" s="25">
        <v>0.9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03">
        <v>30027006</v>
      </c>
      <c r="Y3" s="70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8"/>
  <sheetViews>
    <sheetView showGridLines="0" zoomScaleNormal="75" zoomScalePageLayoutView="75" workbookViewId="0">
      <pane ySplit="1" topLeftCell="A2" activePane="bottomLeft" state="frozenSplit"/>
      <selection pane="bottomLeft" activeCell="B4" sqref="B4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30027001</v>
      </c>
      <c r="B2" s="47" t="s">
        <v>267</v>
      </c>
      <c r="C2" s="50">
        <v>3</v>
      </c>
      <c r="D2" s="50" t="s">
        <v>127</v>
      </c>
      <c r="E2" s="51" t="s">
        <v>235</v>
      </c>
      <c r="F2" s="51" t="s">
        <v>216</v>
      </c>
      <c r="G2" s="63" t="str">
        <f t="shared" ref="G2:G10" si="0">IFERROR(LEFT(B2,FIND("],",B2)),B2)</f>
        <v>[effect:spread, val:0.3, animation:enemy_spread]</v>
      </c>
      <c r="H2" s="63">
        <f t="shared" ref="H2:H10" si="1">FIND("effect:",G2)+7</f>
        <v>9</v>
      </c>
      <c r="I2" s="63">
        <f t="shared" ref="I2:I10" si="2">IFERROR(FIND(",",G2),LEN(G2))</f>
        <v>15</v>
      </c>
      <c r="J2" s="63" t="e">
        <f t="shared" ref="J2:J10" si="3">FIND("target:",G2)+7</f>
        <v>#VALUE!</v>
      </c>
      <c r="K2" s="63">
        <f t="shared" ref="K2:K10" si="4">FIND(",",G2,I2+1)</f>
        <v>24</v>
      </c>
      <c r="L2" s="63" t="str">
        <f>IFERROR(VLOOKUP(MID(G2,J2,K2-J2),[6]skilldef!$C:$D,2,FALSE),"-") &amp; " / " &amp; IFERROR(VLOOKUP(MID(G2,H2,I2-H2),[6]skilldef!$A:$B,2,FALSE),"-")</f>
        <v>- / 全体攻撃</v>
      </c>
      <c r="M2" s="63" t="str">
        <f t="shared" ref="M2:M10" si="5">IFERROR(RIGHT(B2,LEN(B2)-FIND("],",B2)-1),"none")</f>
        <v>[effect:virus, turn:5, rate:1.0, val:0.10, animation:enemy_virus]</v>
      </c>
      <c r="N2" s="48" t="str">
        <f t="shared" ref="N2" si="6">IFERROR(LEFT(M2,FIND("],",M2)+S11),M2)</f>
        <v>[effect:virus, turn:5, rate:1.0, val:0.10, animation:enemy_virus]</v>
      </c>
      <c r="O2" s="63">
        <f t="shared" ref="O2:O10" si="7">FIND("effect:",N2)+7</f>
        <v>9</v>
      </c>
      <c r="P2" s="63">
        <f t="shared" ref="P2:P10" si="8">IFERROR(FIND(",",N2),LEN(N2))</f>
        <v>14</v>
      </c>
      <c r="Q2" s="63" t="e">
        <f t="shared" ref="Q2:Q10" si="9">FIND("target:",N2)+7</f>
        <v>#VALUE!</v>
      </c>
      <c r="R2" s="63">
        <f t="shared" ref="R2:R10" si="10">FIND(",",N2,P2+1)</f>
        <v>22</v>
      </c>
      <c r="S2" s="63" t="str">
        <f>IFERROR(VLOOKUP(MID(N2,Q2,R2-Q2),[6]skilldef!$C:$D,2,FALSE),"-") &amp; " / " &amp; IFERROR(VLOOKUP(MID(N2,O2,P2-O2),[6]skilldef!$A:$B,2,FALSE),"-")</f>
        <v>- / ウィルス</v>
      </c>
      <c r="T2" s="48" t="str">
        <f t="shared" ref="T2:T10" si="11">IFERROR(RIGHT(M2,LEN(M2)-FIND("],",M2)-1),"none")</f>
        <v>none</v>
      </c>
      <c r="U2" s="63" t="e">
        <f t="shared" ref="U2:U10" si="12">FIND("effect:",T2)+7</f>
        <v>#VALUE!</v>
      </c>
      <c r="V2" s="63">
        <f t="shared" ref="V2:V10" si="13">IFERROR(FIND(",",T2),LEN(T2))</f>
        <v>4</v>
      </c>
      <c r="W2" s="63" t="e">
        <f t="shared" ref="W2:W10" si="14">FIND("target:",T2)+7</f>
        <v>#VALUE!</v>
      </c>
      <c r="X2" s="63" t="e">
        <f t="shared" ref="X2:X10" si="15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30027002</v>
      </c>
      <c r="B3" s="47" t="s">
        <v>268</v>
      </c>
      <c r="C3" s="50">
        <v>3</v>
      </c>
      <c r="D3" s="50" t="s">
        <v>127</v>
      </c>
      <c r="E3" s="51" t="s">
        <v>236</v>
      </c>
      <c r="F3" s="51" t="s">
        <v>217</v>
      </c>
      <c r="G3" s="63" t="str">
        <f t="shared" si="0"/>
        <v>[effect:rush, count:1, val:1.0]</v>
      </c>
      <c r="H3" s="63">
        <f t="shared" si="1"/>
        <v>9</v>
      </c>
      <c r="I3" s="63">
        <f t="shared" si="2"/>
        <v>13</v>
      </c>
      <c r="J3" s="63" t="e">
        <f t="shared" si="3"/>
        <v>#VALUE!</v>
      </c>
      <c r="K3" s="63">
        <f t="shared" si="4"/>
        <v>22</v>
      </c>
      <c r="L3" s="63" t="str">
        <f>IFERROR(VLOOKUP(MID(G3,J3,K3-J3),[6]skilldef!$C:$D,2,FALSE),"-") &amp; " / " &amp; IFERROR(VLOOKUP(MID(G3,H3,I3-H3),[6]skilldef!$A:$B,2,FALSE),"-")</f>
        <v>- / 連続攻撃</v>
      </c>
      <c r="M3" s="63" t="str">
        <f t="shared" si="5"/>
        <v>[effect:virus, turn:2, rate:1.0, val:0.10, animation:enemy_virus]</v>
      </c>
      <c r="N3" s="48" t="str">
        <f>IFERROR(LEFT(M3,FIND("],",M3)+#REF!),M3)</f>
        <v>[effect:virus, turn:2, rate:1.0, val:0.10, animation:enemy_virus]</v>
      </c>
      <c r="O3" s="63">
        <f t="shared" si="7"/>
        <v>9</v>
      </c>
      <c r="P3" s="63">
        <f t="shared" si="8"/>
        <v>14</v>
      </c>
      <c r="Q3" s="63" t="e">
        <f t="shared" si="9"/>
        <v>#VALUE!</v>
      </c>
      <c r="R3" s="63">
        <f t="shared" si="10"/>
        <v>22</v>
      </c>
      <c r="S3" s="63" t="str">
        <f>IFERROR(VLOOKUP(MID(N3,Q3,R3-Q3),[6]skilldef!$C:$D,2,FALSE),"-") &amp; " / " &amp; IFERROR(VLOOKUP(MID(N3,O3,P3-O3),[6]skilldef!$A:$B,2,FALSE),"-")</f>
        <v>- / ウィルス</v>
      </c>
      <c r="T3" s="48" t="str">
        <f t="shared" si="11"/>
        <v>none</v>
      </c>
      <c r="U3" s="63" t="e">
        <f t="shared" si="12"/>
        <v>#VALUE!</v>
      </c>
      <c r="V3" s="63">
        <f t="shared" si="13"/>
        <v>4</v>
      </c>
      <c r="W3" s="63" t="e">
        <f t="shared" si="14"/>
        <v>#VALUE!</v>
      </c>
      <c r="X3" s="63" t="e">
        <f t="shared" si="15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30027003</v>
      </c>
      <c r="B4" s="47" t="s">
        <v>265</v>
      </c>
      <c r="C4" s="50">
        <v>3</v>
      </c>
      <c r="D4" s="50" t="s">
        <v>127</v>
      </c>
      <c r="E4" s="47" t="s">
        <v>237</v>
      </c>
      <c r="F4" s="47" t="s">
        <v>214</v>
      </c>
      <c r="G4" s="63" t="str">
        <f t="shared" si="0"/>
        <v>[effect:hungup, target:unit_one, turn:2, rate:1.0, animation:hungup01]</v>
      </c>
      <c r="H4" s="63">
        <f t="shared" si="1"/>
        <v>9</v>
      </c>
      <c r="I4" s="63">
        <f t="shared" si="2"/>
        <v>15</v>
      </c>
      <c r="J4" s="63">
        <f t="shared" si="3"/>
        <v>24</v>
      </c>
      <c r="K4" s="63">
        <f t="shared" si="4"/>
        <v>32</v>
      </c>
      <c r="L4" s="63" t="str">
        <f>IFERROR(VLOOKUP(MID(G4,J4,K4-J4),[6]skilldef!$C:$D,2,FALSE),"-") &amp; " / " &amp; IFERROR(VLOOKUP(MID(G4,H4,I4-H4),[6]skilldef!$A:$B,2,FALSE),"-")</f>
        <v>味方単体に / ハングアップ</v>
      </c>
      <c r="M4" s="63" t="str">
        <f t="shared" si="5"/>
        <v>[effect:rush, count:1, val:1.0]</v>
      </c>
      <c r="N4" s="48" t="str">
        <f t="shared" ref="N4:N10" si="16">IFERROR(LEFT(M4,FIND("],",M4)+S12),M4)</f>
        <v>[effect:rush, count:1, val:1.0]</v>
      </c>
      <c r="O4" s="63">
        <f t="shared" si="7"/>
        <v>9</v>
      </c>
      <c r="P4" s="63">
        <f t="shared" si="8"/>
        <v>13</v>
      </c>
      <c r="Q4" s="63" t="e">
        <f t="shared" si="9"/>
        <v>#VALUE!</v>
      </c>
      <c r="R4" s="63">
        <f t="shared" si="10"/>
        <v>22</v>
      </c>
      <c r="S4" s="63" t="str">
        <f>IFERROR(VLOOKUP(MID(N4,Q4,R4-Q4),[6]skilldef!$C:$D,2,FALSE),"-") &amp; " / " &amp; IFERROR(VLOOKUP(MID(N4,O4,P4-O4),[6]skilldef!$A:$B,2,FALSE),"-")</f>
        <v>- / 連続攻撃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30027004</v>
      </c>
      <c r="B5" s="47" t="s">
        <v>266</v>
      </c>
      <c r="C5" s="50">
        <v>3</v>
      </c>
      <c r="D5" s="50" t="s">
        <v>127</v>
      </c>
      <c r="E5" s="47" t="s">
        <v>238</v>
      </c>
      <c r="F5" s="47" t="s">
        <v>214</v>
      </c>
      <c r="G5" s="63" t="str">
        <f t="shared" si="0"/>
        <v>[effect:spread, val:0.3, animation:enemy_spread]</v>
      </c>
      <c r="H5" s="63">
        <f t="shared" si="1"/>
        <v>9</v>
      </c>
      <c r="I5" s="63">
        <f t="shared" si="2"/>
        <v>15</v>
      </c>
      <c r="J5" s="63" t="e">
        <f t="shared" si="3"/>
        <v>#VALUE!</v>
      </c>
      <c r="K5" s="63">
        <f t="shared" si="4"/>
        <v>24</v>
      </c>
      <c r="L5" s="63" t="str">
        <f>IFERROR(VLOOKUP(MID(G5,J5,K5-J5),[6]skilldef!$C:$D,2,FALSE),"-") &amp; " / " &amp; IFERROR(VLOOKUP(MID(G5,H5,I5-H5),[6]skilldef!$A:$B,2,FALSE),"-")</f>
        <v>- / 全体攻撃</v>
      </c>
      <c r="M5" s="63" t="str">
        <f t="shared" si="5"/>
        <v>[effect:hungup, target:unit_all, turn:2, rate:1.0, animation:hungup01]</v>
      </c>
      <c r="N5" s="48" t="str">
        <f t="shared" si="16"/>
        <v>[effect:hungup, target:unit_all, turn:2, rate:1.0, animation:hungup01]</v>
      </c>
      <c r="O5" s="63">
        <f t="shared" si="7"/>
        <v>9</v>
      </c>
      <c r="P5" s="63">
        <f t="shared" si="8"/>
        <v>15</v>
      </c>
      <c r="Q5" s="63">
        <f t="shared" si="9"/>
        <v>24</v>
      </c>
      <c r="R5" s="63">
        <f t="shared" si="10"/>
        <v>32</v>
      </c>
      <c r="S5" s="63" t="str">
        <f>IFERROR(VLOOKUP(MID(N5,Q5,R5-Q5),[6]skilldef!$C:$D,2,FALSE),"-") &amp; " / " &amp; IFERROR(VLOOKUP(MID(N5,O5,P5-O5),[6]skilldef!$A:$B,2,FALSE),"-")</f>
        <v>味方全体に / ハングアップ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02">
        <v>30027005</v>
      </c>
      <c r="B6" s="47" t="s">
        <v>263</v>
      </c>
      <c r="C6" s="50">
        <v>3</v>
      </c>
      <c r="D6" s="50" t="s">
        <v>127</v>
      </c>
      <c r="E6" s="51" t="s">
        <v>245</v>
      </c>
      <c r="F6" s="47" t="s">
        <v>218</v>
      </c>
      <c r="G6" s="63" t="str">
        <f t="shared" si="0"/>
        <v>[effect:sleep, target:unit_one, turn:2, rate:1.0, animation:sleep01]</v>
      </c>
      <c r="H6" s="63">
        <f t="shared" si="1"/>
        <v>9</v>
      </c>
      <c r="I6" s="63">
        <f t="shared" si="2"/>
        <v>14</v>
      </c>
      <c r="J6" s="63">
        <f t="shared" si="3"/>
        <v>23</v>
      </c>
      <c r="K6" s="63">
        <f t="shared" si="4"/>
        <v>31</v>
      </c>
      <c r="L6" s="63" t="str">
        <f>IFERROR(VLOOKUP(MID(G6,J6,K6-J6),[6]skilldef!$C:$D,2,FALSE),"-") &amp; " / " &amp; IFERROR(VLOOKUP(MID(G6,H6,I6-H6),[6]skilldef!$A:$B,2,FALSE),"-")</f>
        <v>味方単体に / スリープ</v>
      </c>
      <c r="M6" s="63" t="str">
        <f t="shared" si="5"/>
        <v>[effect:spread, val:0.25]</v>
      </c>
      <c r="N6" s="48" t="str">
        <f t="shared" si="16"/>
        <v>[effect:spread, val:0.25]</v>
      </c>
      <c r="O6" s="63">
        <f t="shared" si="7"/>
        <v>9</v>
      </c>
      <c r="P6" s="63">
        <f t="shared" si="8"/>
        <v>15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全体攻撃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102">
        <v>30027006</v>
      </c>
      <c r="B7" s="47" t="s">
        <v>224</v>
      </c>
      <c r="C7" s="50">
        <v>3</v>
      </c>
      <c r="D7" s="50" t="s">
        <v>127</v>
      </c>
      <c r="E7" s="51" t="s">
        <v>246</v>
      </c>
      <c r="F7" s="47" t="s">
        <v>219</v>
      </c>
      <c r="G7" s="63" t="str">
        <f t="shared" si="0"/>
        <v>[effect:degrade_unit, target:unit_all, turn:3, status:attack, val:0.5, calc:mul]</v>
      </c>
      <c r="H7" s="63">
        <f t="shared" si="1"/>
        <v>9</v>
      </c>
      <c r="I7" s="63">
        <f t="shared" si="2"/>
        <v>21</v>
      </c>
      <c r="J7" s="63">
        <f t="shared" si="3"/>
        <v>30</v>
      </c>
      <c r="K7" s="63">
        <f t="shared" si="4"/>
        <v>38</v>
      </c>
      <c r="L7" s="63" t="str">
        <f>IFERROR(VLOOKUP(MID(G7,J7,K7-J7),[6]skilldef!$C:$D,2,FALSE),"-") &amp; " / " &amp; IFERROR(VLOOKUP(MID(G7,H7,I7-H7),[6]skilldef!$A:$B,2,FALSE),"-")</f>
        <v>味方全体に / ステータスDOWN</v>
      </c>
      <c r="M7" s="63" t="str">
        <f t="shared" si="5"/>
        <v>,[effect:rush, count:1, val:0.8]</v>
      </c>
      <c r="N7" s="48" t="str">
        <f t="shared" si="16"/>
        <v>,[effect:rush, count:1, val:0.8]</v>
      </c>
      <c r="O7" s="63">
        <f t="shared" si="7"/>
        <v>10</v>
      </c>
      <c r="P7" s="63">
        <f t="shared" si="8"/>
        <v>1</v>
      </c>
      <c r="Q7" s="63" t="e">
        <f t="shared" si="9"/>
        <v>#VALUE!</v>
      </c>
      <c r="R7" s="63">
        <f t="shared" si="10"/>
        <v>14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02">
        <v>30027007</v>
      </c>
      <c r="B8" s="47" t="s">
        <v>225</v>
      </c>
      <c r="C8" s="50">
        <v>3</v>
      </c>
      <c r="D8" s="50" t="s">
        <v>127</v>
      </c>
      <c r="E8" s="51" t="s">
        <v>250</v>
      </c>
      <c r="F8" s="51" t="s">
        <v>220</v>
      </c>
      <c r="G8" s="63" t="str">
        <f t="shared" si="0"/>
        <v>[effect:dis_panel, target:block_yellow, turn:3, animation:enemy_dis_yellow]</v>
      </c>
      <c r="H8" s="63">
        <f t="shared" si="1"/>
        <v>9</v>
      </c>
      <c r="I8" s="63">
        <f t="shared" si="2"/>
        <v>18</v>
      </c>
      <c r="J8" s="63">
        <f t="shared" si="3"/>
        <v>27</v>
      </c>
      <c r="K8" s="63">
        <f t="shared" si="4"/>
        <v>39</v>
      </c>
      <c r="L8" s="63" t="str">
        <f>IFERROR(VLOOKUP(MID(G8,J8,K8-J8),[6]skilldef!$C:$D,2,FALSE),"-") &amp; " / " &amp; IFERROR(VLOOKUP(MID(G8,H8,I8-H8),[6]skilldef!$A:$B,2,FALSE),"-")</f>
        <v>黄色パネルを / ディスパネル</v>
      </c>
      <c r="M8" s="63" t="str">
        <f t="shared" si="5"/>
        <v>[effect:spread, val:0.3, animation:enemy_spread]</v>
      </c>
      <c r="N8" s="48" t="str">
        <f t="shared" si="16"/>
        <v>[effect:spread, val:0.3, animation:enemy_spread]</v>
      </c>
      <c r="O8" s="63">
        <f t="shared" si="7"/>
        <v>9</v>
      </c>
      <c r="P8" s="63">
        <f t="shared" si="8"/>
        <v>15</v>
      </c>
      <c r="Q8" s="63" t="e">
        <f t="shared" si="9"/>
        <v>#VALUE!</v>
      </c>
      <c r="R8" s="63">
        <f t="shared" si="10"/>
        <v>24</v>
      </c>
      <c r="S8" s="63" t="str">
        <f>IFERROR(VLOOKUP(MID(N8,Q8,R8-Q8),[6]skilldef!$C:$D,2,FALSE),"-") &amp; " / " &amp; IFERROR(VLOOKUP(MID(N8,O8,P8-O8),[6]skilldef!$A:$B,2,FALSE),"-")</f>
        <v>- / 全体攻撃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103">
        <v>30027008</v>
      </c>
      <c r="B9" s="47" t="s">
        <v>228</v>
      </c>
      <c r="C9" s="50">
        <v>3</v>
      </c>
      <c r="D9" s="50" t="s">
        <v>127</v>
      </c>
      <c r="E9" s="51" t="s">
        <v>247</v>
      </c>
      <c r="F9" s="51" t="s">
        <v>215</v>
      </c>
      <c r="G9" s="63" t="str">
        <f t="shared" si="0"/>
        <v>[effect:change_block, new_block:block_red, target:block_all, count:1, val:0, animation:change_block]</v>
      </c>
      <c r="H9" s="63">
        <f t="shared" si="1"/>
        <v>9</v>
      </c>
      <c r="I9" s="63">
        <f t="shared" si="2"/>
        <v>21</v>
      </c>
      <c r="J9" s="63">
        <f t="shared" si="3"/>
        <v>51</v>
      </c>
      <c r="K9" s="63">
        <f t="shared" si="4"/>
        <v>42</v>
      </c>
      <c r="L9" s="63" t="str">
        <f>IFERROR(VLOOKUP(MID(G9,J9,K9-J9),[6]skilldef!$C:$D,2,FALSE),"-") &amp; " / " &amp; IFERROR(VLOOKUP(MID(G9,H9,I9-H9),[6]skilldef!$A:$B,2,FALSE),"-")</f>
        <v>- / ブロック変換</v>
      </c>
      <c r="M9" s="63" t="str">
        <f t="shared" si="5"/>
        <v>[effect:rush, count:1, val:1.0]</v>
      </c>
      <c r="N9" s="48" t="str">
        <f t="shared" si="16"/>
        <v>[effect:rush, count:1, val:1.0]</v>
      </c>
      <c r="O9" s="63">
        <f t="shared" si="7"/>
        <v>9</v>
      </c>
      <c r="P9" s="63">
        <f t="shared" si="8"/>
        <v>13</v>
      </c>
      <c r="Q9" s="63" t="e">
        <f t="shared" si="9"/>
        <v>#VALUE!</v>
      </c>
      <c r="R9" s="63">
        <f t="shared" si="10"/>
        <v>22</v>
      </c>
      <c r="S9" s="63" t="str">
        <f>IFERROR(VLOOKUP(MID(N9,Q9,R9-Q9),[6]skilldef!$C:$D,2,FALSE),"-") &amp; " / " &amp; IFERROR(VLOOKUP(MID(N9,O9,P9-O9),[6]skilldef!$A:$B,2,FALSE),"-")</f>
        <v>- / 連続攻撃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103">
        <v>30027009</v>
      </c>
      <c r="B10" s="47" t="s">
        <v>229</v>
      </c>
      <c r="C10" s="50">
        <v>3</v>
      </c>
      <c r="D10" s="50" t="s">
        <v>127</v>
      </c>
      <c r="E10" s="51" t="s">
        <v>251</v>
      </c>
      <c r="F10" s="47" t="s">
        <v>221</v>
      </c>
      <c r="G10" s="63" t="str">
        <f t="shared" si="0"/>
        <v>[effect:break_attack, val:0.3, lowest_val:1000, count:1, block:block_red, target:unit_all]</v>
      </c>
      <c r="H10" s="63">
        <f t="shared" si="1"/>
        <v>9</v>
      </c>
      <c r="I10" s="63">
        <f t="shared" si="2"/>
        <v>21</v>
      </c>
      <c r="J10" s="63">
        <f t="shared" si="3"/>
        <v>82</v>
      </c>
      <c r="K10" s="63">
        <f t="shared" si="4"/>
        <v>30</v>
      </c>
      <c r="L10" s="63" t="str">
        <f>IFERROR(VLOOKUP(MID(G10,J10,K10-J10),[6]skilldef!$C:$D,2,FALSE),"-") &amp; " / " &amp; IFERROR(VLOOKUP(MID(G10,H10,I10-H10),[6]skilldef!$A:$B,2,FALSE),"-")</f>
        <v>- / -</v>
      </c>
      <c r="M10" s="63" t="str">
        <f t="shared" si="5"/>
        <v>none</v>
      </c>
      <c r="N10" s="48" t="str">
        <f t="shared" si="1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103">
        <v>30027010</v>
      </c>
      <c r="B11" s="47" t="s">
        <v>230</v>
      </c>
      <c r="C11" s="50">
        <v>3</v>
      </c>
      <c r="D11" s="50" t="s">
        <v>127</v>
      </c>
      <c r="E11" s="51" t="s">
        <v>248</v>
      </c>
      <c r="F11" s="51" t="s">
        <v>215</v>
      </c>
      <c r="G11" s="63" t="str">
        <f t="shared" ref="G11:G13" si="17">IFERROR(LEFT(B11,FIND("],",B11)),B11)</f>
        <v>[effect:change_block, new_block:block_red, target:block_all, count:2, val:0, animation:change_block]</v>
      </c>
      <c r="H11" s="63">
        <f t="shared" ref="H11:H13" si="18">FIND("effect:",G11)+7</f>
        <v>9</v>
      </c>
      <c r="I11" s="63">
        <f t="shared" ref="I11:I13" si="19">IFERROR(FIND(",",G11),LEN(G11))</f>
        <v>21</v>
      </c>
      <c r="J11" s="63">
        <f t="shared" ref="J11:J13" si="20">FIND("target:",G11)+7</f>
        <v>51</v>
      </c>
      <c r="K11" s="63">
        <f t="shared" ref="K11:K13" si="21">FIND(",",G11,I11+1)</f>
        <v>42</v>
      </c>
      <c r="L11" s="63" t="str">
        <f>IFERROR(VLOOKUP(MID(G11,J11,K11-J11),[6]skilldef!$C:$D,2,FALSE),"-") &amp; " / " &amp; IFERROR(VLOOKUP(MID(G11,H11,I11-H11),[6]skilldef!$A:$B,2,FALSE),"-")</f>
        <v>- / ブロック変換</v>
      </c>
      <c r="M11" s="63" t="str">
        <f t="shared" ref="M11:M13" si="22">IFERROR(RIGHT(B11,LEN(B11)-FIND("],",B11)-1),"none")</f>
        <v>[effect:rush, count:1, val:1.1]</v>
      </c>
      <c r="N11" s="48" t="str">
        <f t="shared" ref="N11:N13" si="23">IFERROR(LEFT(M11,FIND("],",M11)+S19),M11)</f>
        <v>[effect:rush, count:1, val:1.1]</v>
      </c>
      <c r="O11" s="63">
        <f t="shared" ref="O11:O13" si="24">FIND("effect:",N11)+7</f>
        <v>9</v>
      </c>
      <c r="P11" s="63">
        <f t="shared" ref="P11:P13" si="25">IFERROR(FIND(",",N11),LEN(N11))</f>
        <v>13</v>
      </c>
      <c r="Q11" s="63" t="e">
        <f t="shared" ref="Q11:Q13" si="26">FIND("target:",N11)+7</f>
        <v>#VALUE!</v>
      </c>
      <c r="R11" s="63">
        <f t="shared" ref="R11:R13" si="27">FIND(",",N11,P11+1)</f>
        <v>22</v>
      </c>
      <c r="S11" s="63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ref="T11:T13" si="28">IFERROR(RIGHT(M11,LEN(M11)-FIND("],",M11)-1),"none")</f>
        <v>none</v>
      </c>
      <c r="U11" s="63" t="e">
        <f t="shared" ref="U11:U13" si="29">FIND("effect:",T11)+7</f>
        <v>#VALUE!</v>
      </c>
      <c r="V11" s="63">
        <f t="shared" ref="V11:V13" si="30">IFERROR(FIND(",",T11),LEN(T11))</f>
        <v>4</v>
      </c>
      <c r="W11" s="63" t="e">
        <f t="shared" ref="W11:W13" si="31">FIND("target:",T11)+7</f>
        <v>#VALUE!</v>
      </c>
      <c r="X11" s="63" t="e">
        <f t="shared" ref="X11:X13" si="32">FIND(",",T11,V11+1)</f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103">
        <v>30027011</v>
      </c>
      <c r="B12" s="47" t="s">
        <v>226</v>
      </c>
      <c r="C12" s="50">
        <v>3</v>
      </c>
      <c r="D12" s="50" t="s">
        <v>127</v>
      </c>
      <c r="E12" s="51" t="s">
        <v>222</v>
      </c>
      <c r="F12" s="47" t="s">
        <v>223</v>
      </c>
      <c r="G12" s="63" t="str">
        <f t="shared" si="17"/>
        <v>[effect:spread, val:0.25, animation:enemy_spread]</v>
      </c>
      <c r="H12" s="63">
        <f t="shared" si="18"/>
        <v>9</v>
      </c>
      <c r="I12" s="63">
        <f t="shared" si="19"/>
        <v>15</v>
      </c>
      <c r="J12" s="63" t="e">
        <f t="shared" si="20"/>
        <v>#VALUE!</v>
      </c>
      <c r="K12" s="63">
        <f t="shared" si="21"/>
        <v>25</v>
      </c>
      <c r="L12" s="63" t="str">
        <f>IFERROR(VLOOKUP(MID(G12,J12,K12-J12),[6]skilldef!$C:$D,2,FALSE),"-") &amp; " / " &amp; IFERROR(VLOOKUP(MID(G12,H12,I12-H12),[6]skilldef!$A:$B,2,FALSE),"-")</f>
        <v>- / 全体攻撃</v>
      </c>
      <c r="M12" s="63" t="str">
        <f t="shared" si="22"/>
        <v>[effect:break_enchance_enemy, val:100, lowest_val:0, count :1, status:attack, turn:-1, block:block_red, target:myself, calc:add, animation:enemy_enhance_attack]</v>
      </c>
      <c r="N12" s="48" t="str">
        <f t="shared" si="23"/>
        <v>[effect:break_enchance_enemy, val:100, lowest_val:0, count :1, status:attack, turn:-1, block:block_red, target:myself, calc:add, animation:enemy_enhance_attack]</v>
      </c>
      <c r="O12" s="63">
        <f t="shared" si="24"/>
        <v>9</v>
      </c>
      <c r="P12" s="63">
        <f t="shared" si="25"/>
        <v>29</v>
      </c>
      <c r="Q12" s="63">
        <f t="shared" si="26"/>
        <v>112</v>
      </c>
      <c r="R12" s="63">
        <f t="shared" si="27"/>
        <v>38</v>
      </c>
      <c r="S12" s="63" t="str">
        <f>IFERROR(VLOOKUP(MID(N12,Q12,R12-Q12),[6]skilldef!$C:$D,2,FALSE),"-") &amp; " / " &amp; IFERROR(VLOOKUP(MID(N12,O12,P12-O12),[6]skilldef!$A:$B,2,FALSE),"-")</f>
        <v>- / -</v>
      </c>
      <c r="T12" s="48" t="str">
        <f t="shared" si="28"/>
        <v>none</v>
      </c>
      <c r="U12" s="63" t="e">
        <f t="shared" si="29"/>
        <v>#VALUE!</v>
      </c>
      <c r="V12" s="63">
        <f t="shared" si="30"/>
        <v>4</v>
      </c>
      <c r="W12" s="63" t="e">
        <f t="shared" si="31"/>
        <v>#VALUE!</v>
      </c>
      <c r="X12" s="63" t="e">
        <f t="shared" si="32"/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103">
        <v>30027012</v>
      </c>
      <c r="B13" s="47" t="s">
        <v>232</v>
      </c>
      <c r="C13" s="50">
        <v>3</v>
      </c>
      <c r="D13" s="50" t="s">
        <v>127</v>
      </c>
      <c r="E13" s="51" t="s">
        <v>252</v>
      </c>
      <c r="F13" s="47" t="s">
        <v>221</v>
      </c>
      <c r="G13" s="63" t="str">
        <f t="shared" si="17"/>
        <v>[effect:break_attack, val:0.4, lowest_val:1200, count:2, block:block_red, target:unit_all]</v>
      </c>
      <c r="H13" s="63">
        <f t="shared" si="18"/>
        <v>9</v>
      </c>
      <c r="I13" s="63">
        <f t="shared" si="19"/>
        <v>21</v>
      </c>
      <c r="J13" s="63">
        <f t="shared" si="20"/>
        <v>82</v>
      </c>
      <c r="K13" s="63">
        <f t="shared" si="21"/>
        <v>30</v>
      </c>
      <c r="L13" s="63" t="str">
        <f>IFERROR(VLOOKUP(MID(G13,J13,K13-J13),[6]skilldef!$C:$D,2,FALSE),"-") &amp; " / " &amp; IFERROR(VLOOKUP(MID(G13,H13,I13-H13),[6]skilldef!$A:$B,2,FALSE),"-")</f>
        <v>- / -</v>
      </c>
      <c r="M13" s="63" t="str">
        <f t="shared" si="22"/>
        <v>none</v>
      </c>
      <c r="N13" s="48" t="str">
        <f t="shared" si="23"/>
        <v>none</v>
      </c>
      <c r="O13" s="63" t="e">
        <f t="shared" si="24"/>
        <v>#VALUE!</v>
      </c>
      <c r="P13" s="63">
        <f t="shared" si="25"/>
        <v>4</v>
      </c>
      <c r="Q13" s="63" t="e">
        <f t="shared" si="26"/>
        <v>#VALUE!</v>
      </c>
      <c r="R13" s="63" t="e">
        <f t="shared" si="27"/>
        <v>#VALUE!</v>
      </c>
      <c r="S13" s="63" t="str">
        <f>IFERROR(VLOOKUP(MID(N13,Q13,R13-Q13),[6]skilldef!$C:$D,2,FALSE),"-") &amp; " / " &amp; IFERROR(VLOOKUP(MID(N13,O13,P13-O13),[6]skilldef!$A:$B,2,FALSE),"-")</f>
        <v>- / -</v>
      </c>
      <c r="T13" s="48" t="str">
        <f t="shared" si="28"/>
        <v>none</v>
      </c>
      <c r="U13" s="63" t="e">
        <f t="shared" si="29"/>
        <v>#VALUE!</v>
      </c>
      <c r="V13" s="63">
        <f t="shared" si="30"/>
        <v>4</v>
      </c>
      <c r="W13" s="63" t="e">
        <f t="shared" si="31"/>
        <v>#VALUE!</v>
      </c>
      <c r="X13" s="63" t="e">
        <f t="shared" si="32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103">
        <v>30027013</v>
      </c>
      <c r="B14" s="47" t="s">
        <v>231</v>
      </c>
      <c r="C14" s="50">
        <v>3</v>
      </c>
      <c r="D14" s="50" t="s">
        <v>127</v>
      </c>
      <c r="E14" s="51" t="s">
        <v>249</v>
      </c>
      <c r="F14" s="51" t="s">
        <v>215</v>
      </c>
      <c r="G14" s="63" t="str">
        <f t="shared" ref="G14:G15" si="33">IFERROR(LEFT(B14,FIND("],",B14)),B14)</f>
        <v>[effect:change_block, new_block:block_red, target:block_all, count:3, val:0, animation:change_block]</v>
      </c>
      <c r="H14" s="63">
        <f t="shared" ref="H14:H15" si="34">FIND("effect:",G14)+7</f>
        <v>9</v>
      </c>
      <c r="I14" s="63">
        <f t="shared" ref="I14:I15" si="35">IFERROR(FIND(",",G14),LEN(G14))</f>
        <v>21</v>
      </c>
      <c r="J14" s="63">
        <f t="shared" ref="J14:J15" si="36">FIND("target:",G14)+7</f>
        <v>51</v>
      </c>
      <c r="K14" s="63">
        <f t="shared" ref="K14:K15" si="37">FIND(",",G14,I14+1)</f>
        <v>42</v>
      </c>
      <c r="L14" s="63" t="str">
        <f>IFERROR(VLOOKUP(MID(G14,J14,K14-J14),[6]skilldef!$C:$D,2,FALSE),"-") &amp; " / " &amp; IFERROR(VLOOKUP(MID(G14,H14,I14-H14),[6]skilldef!$A:$B,2,FALSE),"-")</f>
        <v>- / ブロック変換</v>
      </c>
      <c r="M14" s="63" t="str">
        <f t="shared" ref="M14:M15" si="38">IFERROR(RIGHT(B14,LEN(B14)-FIND("],",B14)-1),"none")</f>
        <v>[effect:rush, count:1, val:1.2]</v>
      </c>
      <c r="N14" s="48" t="str">
        <f t="shared" ref="N14:N15" si="39">IFERROR(LEFT(M14,FIND("],",M14)+S22),M14)</f>
        <v>[effect:rush, count:1, val:1.2]</v>
      </c>
      <c r="O14" s="63">
        <f t="shared" ref="O14:O15" si="40">FIND("effect:",N14)+7</f>
        <v>9</v>
      </c>
      <c r="P14" s="63">
        <f t="shared" ref="P14:P15" si="41">IFERROR(FIND(",",N14),LEN(N14))</f>
        <v>13</v>
      </c>
      <c r="Q14" s="63" t="e">
        <f t="shared" ref="Q14:Q15" si="42">FIND("target:",N14)+7</f>
        <v>#VALUE!</v>
      </c>
      <c r="R14" s="63">
        <f t="shared" ref="R14:R15" si="43">FIND(",",N14,P14+1)</f>
        <v>22</v>
      </c>
      <c r="S14" s="63" t="str">
        <f>IFERROR(VLOOKUP(MID(N14,Q14,R14-Q14),[6]skilldef!$C:$D,2,FALSE),"-") &amp; " / " &amp; IFERROR(VLOOKUP(MID(N14,O14,P14-O14),[6]skilldef!$A:$B,2,FALSE),"-")</f>
        <v>- / 連続攻撃</v>
      </c>
      <c r="T14" s="48" t="str">
        <f t="shared" ref="T14:T15" si="44">IFERROR(RIGHT(M14,LEN(M14)-FIND("],",M14)-1),"none")</f>
        <v>none</v>
      </c>
      <c r="U14" s="63" t="e">
        <f t="shared" ref="U14:U15" si="45">FIND("effect:",T14)+7</f>
        <v>#VALUE!</v>
      </c>
      <c r="V14" s="63">
        <f t="shared" ref="V14:V15" si="46">IFERROR(FIND(",",T14),LEN(T14))</f>
        <v>4</v>
      </c>
      <c r="W14" s="63" t="e">
        <f t="shared" ref="W14:W15" si="47">FIND("target:",T14)+7</f>
        <v>#VALUE!</v>
      </c>
      <c r="X14" s="63" t="e">
        <f t="shared" ref="X14:X15" si="48">FIND(",",T14,V14+1)</f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103">
        <v>30027014</v>
      </c>
      <c r="B15" s="47" t="s">
        <v>233</v>
      </c>
      <c r="C15" s="50">
        <v>3</v>
      </c>
      <c r="D15" s="50" t="s">
        <v>127</v>
      </c>
      <c r="E15" s="51" t="s">
        <v>253</v>
      </c>
      <c r="F15" s="47" t="s">
        <v>221</v>
      </c>
      <c r="G15" s="63" t="str">
        <f t="shared" si="33"/>
        <v>[effect:break_attack, val:0.5, lowest_val:1400, count:3, block:block_red, target:unit_all]</v>
      </c>
      <c r="H15" s="63">
        <f t="shared" si="34"/>
        <v>9</v>
      </c>
      <c r="I15" s="63">
        <f t="shared" si="35"/>
        <v>21</v>
      </c>
      <c r="J15" s="63">
        <f t="shared" si="36"/>
        <v>82</v>
      </c>
      <c r="K15" s="63">
        <f t="shared" si="37"/>
        <v>30</v>
      </c>
      <c r="L15" s="63" t="str">
        <f>IFERROR(VLOOKUP(MID(G15,J15,K15-J15),[6]skilldef!$C:$D,2,FALSE),"-") &amp; " / " &amp; IFERROR(VLOOKUP(MID(G15,H15,I15-H15),[6]skilldef!$A:$B,2,FALSE),"-")</f>
        <v>- / -</v>
      </c>
      <c r="M15" s="63" t="str">
        <f t="shared" si="38"/>
        <v>none</v>
      </c>
      <c r="N15" s="48" t="str">
        <f t="shared" si="39"/>
        <v>none</v>
      </c>
      <c r="O15" s="63" t="e">
        <f t="shared" si="40"/>
        <v>#VALUE!</v>
      </c>
      <c r="P15" s="63">
        <f t="shared" si="41"/>
        <v>4</v>
      </c>
      <c r="Q15" s="63" t="e">
        <f t="shared" si="42"/>
        <v>#VALUE!</v>
      </c>
      <c r="R15" s="63" t="e">
        <f t="shared" si="43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44"/>
        <v>none</v>
      </c>
      <c r="U15" s="63" t="e">
        <f t="shared" si="45"/>
        <v>#VALUE!</v>
      </c>
      <c r="V15" s="63">
        <f t="shared" si="46"/>
        <v>4</v>
      </c>
      <c r="W15" s="63" t="e">
        <f t="shared" si="47"/>
        <v>#VALUE!</v>
      </c>
      <c r="X15" s="63" t="e">
        <f t="shared" si="48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103">
        <v>30027015</v>
      </c>
      <c r="B16" s="47" t="s">
        <v>261</v>
      </c>
      <c r="C16" s="50">
        <v>3</v>
      </c>
      <c r="D16" s="50" t="s">
        <v>127</v>
      </c>
      <c r="E16" s="51" t="s">
        <v>243</v>
      </c>
      <c r="F16" s="51" t="s">
        <v>262</v>
      </c>
      <c r="G16" s="63" t="str">
        <f t="shared" ref="G16:G18" si="49">IFERROR(LEFT(B16,FIND("],",B16)),B16)</f>
        <v>[effect:fix_speed, target:myself, turn:2]</v>
      </c>
      <c r="H16" s="63">
        <f t="shared" ref="H16:H18" si="50">FIND("effect:",G16)+7</f>
        <v>9</v>
      </c>
      <c r="I16" s="63">
        <f t="shared" ref="I16:I18" si="51">IFERROR(FIND(",",G16),LEN(G16))</f>
        <v>18</v>
      </c>
      <c r="J16" s="63">
        <f t="shared" ref="J16:J18" si="52">FIND("target:",G16)+7</f>
        <v>27</v>
      </c>
      <c r="K16" s="63">
        <f t="shared" ref="K16:K18" si="53">FIND(",",G16,I16+1)</f>
        <v>33</v>
      </c>
      <c r="L16" s="63" t="str">
        <f>IFERROR(VLOOKUP(MID(G16,J16,K16-J16),[6]skilldef!$C:$D,2,FALSE),"-") &amp; " / " &amp; IFERROR(VLOOKUP(MID(G16,H16,I16-H16),[6]skilldef!$A:$B,2,FALSE),"-")</f>
        <v>自分自身に / 行動値設定</v>
      </c>
      <c r="M16" s="63" t="str">
        <f t="shared" ref="M16:M18" si="54">IFERROR(RIGHT(B16,LEN(B16)-FIND("],",B16)-1),"none")</f>
        <v>[effect:tolerance, target:myself, turn:-1, tolerance_effect:virus, count:-1],[effect:tolerance, target:myself, turn:-1, tolerance_effect:sleep, count:-1],[effect:tolerance, target:myself, turn:-1, tolerance_effect:hungup, count:-1, animation:enemy_tolerance]</v>
      </c>
      <c r="N16" s="48" t="str">
        <f t="shared" ref="N16:N18" si="55">IFERROR(LEFT(M16,FIND("],",M16)+S24),M16)</f>
        <v>[effect:tolerance, target:myself, turn:-1, tolerance_effect:virus, count:-1]</v>
      </c>
      <c r="O16" s="63">
        <f t="shared" ref="O16:O18" si="56">FIND("effect:",N16)+7</f>
        <v>9</v>
      </c>
      <c r="P16" s="63">
        <f t="shared" ref="P16:P18" si="57">IFERROR(FIND(",",N16),LEN(N16))</f>
        <v>18</v>
      </c>
      <c r="Q16" s="63">
        <f t="shared" ref="Q16:Q18" si="58">FIND("target:",N16)+7</f>
        <v>27</v>
      </c>
      <c r="R16" s="63">
        <f t="shared" ref="R16:R18" si="59">FIND(",",N16,P16+1)</f>
        <v>33</v>
      </c>
      <c r="S16" s="63" t="str">
        <f>IFERROR(VLOOKUP(MID(N16,Q16,R16-Q16),[6]skilldef!$C:$D,2,FALSE),"-") &amp; " / " &amp; IFERROR(VLOOKUP(MID(N16,O16,P16-O16),[6]skilldef!$A:$B,2,FALSE),"-")</f>
        <v>自分自身に / 状態異常耐性</v>
      </c>
      <c r="T16" s="48" t="str">
        <f t="shared" ref="T16:T18" si="60">IFERROR(RIGHT(M16,LEN(M16)-FIND("],",M16)-1),"none")</f>
        <v>[effect:tolerance, target:myself, turn:-1, tolerance_effect:sleep, count:-1],[effect:tolerance, target:myself, turn:-1, tolerance_effect:hungup, count:-1, animation:enemy_tolerance]</v>
      </c>
      <c r="U16" s="63">
        <f t="shared" ref="U16:U18" si="61">FIND("effect:",T16)+7</f>
        <v>9</v>
      </c>
      <c r="V16" s="63">
        <f t="shared" ref="V16:V18" si="62">IFERROR(FIND(",",T16),LEN(T16))</f>
        <v>18</v>
      </c>
      <c r="W16" s="63">
        <f t="shared" ref="W16:W18" si="63">FIND("target:",T16)+7</f>
        <v>27</v>
      </c>
      <c r="X16" s="63">
        <f t="shared" ref="X16:X18" si="64">FIND(",",T16,V16+1)</f>
        <v>33</v>
      </c>
      <c r="Y16" s="63" t="str">
        <f>IFERROR(VLOOKUP(MID(T16,W16,X16-W16),[6]skilldef!$C:$D,2,FALSE),"-") &amp; " / " &amp; IFERROR(VLOOKUP(MID(T16,U16,V16-U16),[6]skilldef!$A:$B,2,FALSE),"-")</f>
        <v>自分自身に / 状態異常耐性</v>
      </c>
      <c r="Z16" s="50"/>
      <c r="AA16" s="52"/>
      <c r="AB16" s="50"/>
    </row>
    <row r="17" spans="1:28" ht="21" customHeight="1" x14ac:dyDescent="0.15">
      <c r="A17" s="103">
        <v>30027016</v>
      </c>
      <c r="B17" s="47" t="s">
        <v>234</v>
      </c>
      <c r="C17" s="50">
        <v>3</v>
      </c>
      <c r="D17" s="50" t="s">
        <v>127</v>
      </c>
      <c r="E17" s="51" t="s">
        <v>244</v>
      </c>
      <c r="F17" s="51" t="s">
        <v>262</v>
      </c>
      <c r="G17" s="63" t="str">
        <f t="shared" si="49"/>
        <v>[effect:fix_speed, target:myself, turn:1]</v>
      </c>
      <c r="H17" s="63">
        <f t="shared" si="50"/>
        <v>9</v>
      </c>
      <c r="I17" s="63">
        <f t="shared" si="51"/>
        <v>18</v>
      </c>
      <c r="J17" s="63">
        <f t="shared" si="52"/>
        <v>27</v>
      </c>
      <c r="K17" s="63">
        <f t="shared" si="53"/>
        <v>33</v>
      </c>
      <c r="L17" s="63" t="str">
        <f>IFERROR(VLOOKUP(MID(G17,J17,K17-J17),[6]skilldef!$C:$D,2,FALSE),"-") &amp; " / " &amp; IFERROR(VLOOKUP(MID(G17,H17,I17-H17),[6]skilldef!$A:$B,2,FALSE),"-")</f>
        <v>自分自身に / 行動値設定</v>
      </c>
      <c r="M17" s="63" t="str">
        <f t="shared" si="54"/>
        <v>[effect:tolerance, target:myself, turn:-1, tolerance_effect:virus, count:-1],[effect:tolerance, target:myself, turn:-1, tolerance_effect:sleep, count:-1],[effect:tolerance, target:myself, turn:-1, tolerance_effect:hungup, count:-1, animation:enemy_tolerance]</v>
      </c>
      <c r="N17" s="48" t="str">
        <f t="shared" si="55"/>
        <v>[effect:tolerance, target:myself, turn:-1, tolerance_effect:virus, count:-1]</v>
      </c>
      <c r="O17" s="63">
        <f t="shared" si="56"/>
        <v>9</v>
      </c>
      <c r="P17" s="63">
        <f t="shared" si="57"/>
        <v>18</v>
      </c>
      <c r="Q17" s="63">
        <f t="shared" si="58"/>
        <v>27</v>
      </c>
      <c r="R17" s="63">
        <f t="shared" si="59"/>
        <v>33</v>
      </c>
      <c r="S17" s="63" t="str">
        <f>IFERROR(VLOOKUP(MID(N17,Q17,R17-Q17),[6]skilldef!$C:$D,2,FALSE),"-") &amp; " / " &amp; IFERROR(VLOOKUP(MID(N17,O17,P17-O17),[6]skilldef!$A:$B,2,FALSE),"-")</f>
        <v>自分自身に / 状態異常耐性</v>
      </c>
      <c r="T17" s="48" t="str">
        <f t="shared" si="60"/>
        <v>[effect:tolerance, target:myself, turn:-1, tolerance_effect:sleep, count:-1],[effect:tolerance, target:myself, turn:-1, tolerance_effect:hungup, count:-1, animation:enemy_tolerance]</v>
      </c>
      <c r="U17" s="63">
        <f t="shared" si="61"/>
        <v>9</v>
      </c>
      <c r="V17" s="63">
        <f t="shared" si="62"/>
        <v>18</v>
      </c>
      <c r="W17" s="63">
        <f t="shared" si="63"/>
        <v>27</v>
      </c>
      <c r="X17" s="63">
        <f t="shared" si="64"/>
        <v>33</v>
      </c>
      <c r="Y17" s="63" t="str">
        <f>IFERROR(VLOOKUP(MID(T17,W17,X17-W17),[6]skilldef!$C:$D,2,FALSE),"-") &amp; " / " &amp; IFERROR(VLOOKUP(MID(T17,U17,V17-U17),[6]skilldef!$A:$B,2,FALSE),"-")</f>
        <v>自分自身に / 状態異常耐性</v>
      </c>
      <c r="Z17" s="50"/>
      <c r="AA17" s="52"/>
      <c r="AB17" s="50"/>
    </row>
    <row r="18" spans="1:28" ht="21" customHeight="1" x14ac:dyDescent="0.15">
      <c r="A18" s="102">
        <v>30027017</v>
      </c>
      <c r="B18" s="47" t="s">
        <v>264</v>
      </c>
      <c r="C18" s="50">
        <v>3</v>
      </c>
      <c r="D18" s="50" t="s">
        <v>127</v>
      </c>
      <c r="E18" s="51" t="s">
        <v>245</v>
      </c>
      <c r="F18" s="47" t="s">
        <v>257</v>
      </c>
      <c r="G18" s="63" t="str">
        <f t="shared" si="49"/>
        <v>[effect:sleep, target:unit_one, turn:1, rate:1.0, animation:sleep01]</v>
      </c>
      <c r="H18" s="63">
        <f t="shared" si="50"/>
        <v>9</v>
      </c>
      <c r="I18" s="63">
        <f t="shared" si="51"/>
        <v>14</v>
      </c>
      <c r="J18" s="63">
        <f t="shared" si="52"/>
        <v>23</v>
      </c>
      <c r="K18" s="63">
        <f t="shared" si="53"/>
        <v>31</v>
      </c>
      <c r="L18" s="63" t="str">
        <f>IFERROR(VLOOKUP(MID(G18,J18,K18-J18),[6]skilldef!$C:$D,2,FALSE),"-") &amp; " / " &amp; IFERROR(VLOOKUP(MID(G18,H18,I18-H18),[6]skilldef!$A:$B,2,FALSE),"-")</f>
        <v>味方単体に / スリープ</v>
      </c>
      <c r="M18" s="63" t="str">
        <f t="shared" si="54"/>
        <v xml:space="preserve">[effect:spread, val:0.225] </v>
      </c>
      <c r="N18" s="48" t="str">
        <f t="shared" si="55"/>
        <v xml:space="preserve">[effect:spread, val:0.225] </v>
      </c>
      <c r="O18" s="63">
        <f t="shared" si="56"/>
        <v>9</v>
      </c>
      <c r="P18" s="63">
        <f t="shared" si="57"/>
        <v>15</v>
      </c>
      <c r="Q18" s="63" t="e">
        <f t="shared" si="58"/>
        <v>#VALUE!</v>
      </c>
      <c r="R18" s="63" t="e">
        <f t="shared" si="59"/>
        <v>#VALUE!</v>
      </c>
      <c r="S18" s="63" t="str">
        <f>IFERROR(VLOOKUP(MID(N18,Q18,R18-Q18),[6]skilldef!$C:$D,2,FALSE),"-") &amp; " / " &amp; IFERROR(VLOOKUP(MID(N18,O18,P18-O18),[6]skilldef!$A:$B,2,FALSE),"-")</f>
        <v>- / 全体攻撃</v>
      </c>
      <c r="T18" s="48" t="str">
        <f t="shared" si="60"/>
        <v>none</v>
      </c>
      <c r="U18" s="63" t="e">
        <f t="shared" si="61"/>
        <v>#VALUE!</v>
      </c>
      <c r="V18" s="63">
        <f t="shared" si="62"/>
        <v>4</v>
      </c>
      <c r="W18" s="63" t="e">
        <f t="shared" si="63"/>
        <v>#VALUE!</v>
      </c>
      <c r="X18" s="63" t="e">
        <f t="shared" si="64"/>
        <v>#VALUE!</v>
      </c>
      <c r="Y18" s="63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2"/>
  <sheetViews>
    <sheetView showGridLines="0" zoomScale="75" zoomScaleNormal="75" zoomScalePageLayoutView="75" workbookViewId="0">
      <pane ySplit="1" topLeftCell="A2" activePane="bottomLeft" state="frozenSplit"/>
      <selection pane="bottomLeft" activeCell="L21" sqref="L2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30027001</v>
      </c>
      <c r="B2" s="47">
        <v>0</v>
      </c>
      <c r="C2" s="47">
        <v>2</v>
      </c>
      <c r="D2" s="47">
        <v>100</v>
      </c>
      <c r="E2" s="47">
        <v>50</v>
      </c>
      <c r="F2" s="47" t="s">
        <v>89</v>
      </c>
      <c r="G2" s="47">
        <v>1</v>
      </c>
      <c r="H2" s="47" t="s">
        <v>89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47">
        <v>30027002</v>
      </c>
      <c r="B3" s="47">
        <v>0</v>
      </c>
      <c r="C3" s="47">
        <v>1</v>
      </c>
      <c r="D3" s="47">
        <v>40</v>
      </c>
      <c r="E3" s="47" t="s">
        <v>89</v>
      </c>
      <c r="F3" s="47" t="s">
        <v>89</v>
      </c>
      <c r="G3" s="47">
        <v>1</v>
      </c>
      <c r="H3" s="47" t="s">
        <v>89</v>
      </c>
      <c r="I3" s="47" t="s">
        <v>89</v>
      </c>
      <c r="J3" s="48">
        <f t="shared" ref="J3:J5" si="1">D3</f>
        <v>40</v>
      </c>
    </row>
    <row r="4" spans="1:11" ht="21" customHeight="1" x14ac:dyDescent="0.15">
      <c r="A4" s="47">
        <v>30027003</v>
      </c>
      <c r="B4" s="47">
        <v>0</v>
      </c>
      <c r="C4" s="47">
        <v>1</v>
      </c>
      <c r="D4" s="47">
        <v>50</v>
      </c>
      <c r="E4" s="47" t="s">
        <v>89</v>
      </c>
      <c r="F4" s="47" t="s">
        <v>89</v>
      </c>
      <c r="G4" s="47" t="s">
        <v>89</v>
      </c>
      <c r="H4" s="47" t="s">
        <v>89</v>
      </c>
      <c r="I4" s="47" t="s">
        <v>89</v>
      </c>
      <c r="J4" s="48">
        <f t="shared" si="1"/>
        <v>50</v>
      </c>
    </row>
    <row r="5" spans="1:11" ht="21" customHeight="1" x14ac:dyDescent="0.15">
      <c r="A5" s="47">
        <v>30027004</v>
      </c>
      <c r="B5" s="47">
        <v>0</v>
      </c>
      <c r="C5" s="47">
        <v>2</v>
      </c>
      <c r="D5" s="47">
        <v>100</v>
      </c>
      <c r="E5" s="47">
        <v>20</v>
      </c>
      <c r="F5" s="47" t="s">
        <v>89</v>
      </c>
      <c r="G5" s="47">
        <v>1</v>
      </c>
      <c r="H5" s="47" t="s">
        <v>89</v>
      </c>
      <c r="I5" s="47" t="s">
        <v>89</v>
      </c>
      <c r="J5" s="48">
        <f t="shared" si="1"/>
        <v>100</v>
      </c>
    </row>
    <row r="6" spans="1:11" ht="21" customHeight="1" x14ac:dyDescent="0.15">
      <c r="A6" s="47">
        <v>30027005</v>
      </c>
      <c r="B6" s="47">
        <v>0</v>
      </c>
      <c r="C6" s="47">
        <v>1</v>
      </c>
      <c r="D6" s="47">
        <v>30</v>
      </c>
      <c r="E6" s="47" t="s">
        <v>53</v>
      </c>
      <c r="F6" s="47" t="s">
        <v>53</v>
      </c>
      <c r="G6" s="47">
        <v>3</v>
      </c>
      <c r="H6" s="47" t="s">
        <v>53</v>
      </c>
      <c r="I6" s="47" t="s">
        <v>53</v>
      </c>
      <c r="J6" s="48">
        <f t="shared" ref="J6:J7" si="2">D6</f>
        <v>30</v>
      </c>
    </row>
    <row r="7" spans="1:11" ht="21" customHeight="1" x14ac:dyDescent="0.15">
      <c r="A7" s="47">
        <v>30027006</v>
      </c>
      <c r="B7" s="47">
        <v>0</v>
      </c>
      <c r="C7" s="47">
        <v>2</v>
      </c>
      <c r="D7" s="47">
        <v>50</v>
      </c>
      <c r="E7" s="47" t="s">
        <v>53</v>
      </c>
      <c r="F7" s="47" t="s">
        <v>53</v>
      </c>
      <c r="G7" s="47">
        <v>1</v>
      </c>
      <c r="H7" s="47" t="s">
        <v>53</v>
      </c>
      <c r="I7" s="47" t="s">
        <v>53</v>
      </c>
      <c r="J7" s="48">
        <f t="shared" si="2"/>
        <v>50</v>
      </c>
    </row>
    <row r="8" spans="1:11" ht="21" customHeight="1" x14ac:dyDescent="0.15">
      <c r="A8" s="47">
        <v>30027007</v>
      </c>
      <c r="B8" s="47">
        <v>0</v>
      </c>
      <c r="C8" s="47">
        <v>2</v>
      </c>
      <c r="D8" s="47">
        <v>100</v>
      </c>
      <c r="E8" s="47">
        <v>50</v>
      </c>
      <c r="F8" s="47" t="s">
        <v>53</v>
      </c>
      <c r="G8" s="47">
        <v>1</v>
      </c>
      <c r="H8" s="47" t="s">
        <v>53</v>
      </c>
      <c r="I8" s="47" t="s">
        <v>53</v>
      </c>
      <c r="J8" s="48">
        <f t="shared" ref="J8:J9" si="3">D8</f>
        <v>100</v>
      </c>
    </row>
    <row r="9" spans="1:11" ht="21" customHeight="1" x14ac:dyDescent="0.15">
      <c r="A9" s="47">
        <v>30027008</v>
      </c>
      <c r="B9" s="47">
        <v>0</v>
      </c>
      <c r="C9" s="47">
        <v>1</v>
      </c>
      <c r="D9" s="47">
        <v>100</v>
      </c>
      <c r="E9" s="47">
        <v>100</v>
      </c>
      <c r="F9" s="47">
        <v>80</v>
      </c>
      <c r="G9" s="47" t="s">
        <v>53</v>
      </c>
      <c r="H9" s="47">
        <v>1</v>
      </c>
      <c r="I9" s="47" t="s">
        <v>53</v>
      </c>
      <c r="J9" s="48">
        <f t="shared" si="3"/>
        <v>100</v>
      </c>
    </row>
    <row r="10" spans="1:11" ht="21" customHeight="1" x14ac:dyDescent="0.15">
      <c r="A10" s="47">
        <v>30027009</v>
      </c>
      <c r="B10" s="47">
        <v>0</v>
      </c>
      <c r="C10" s="47">
        <v>2</v>
      </c>
      <c r="D10" s="47">
        <v>100</v>
      </c>
      <c r="E10" s="47">
        <v>100</v>
      </c>
      <c r="F10" s="47">
        <v>80</v>
      </c>
      <c r="G10" s="47" t="s">
        <v>53</v>
      </c>
      <c r="H10" s="47">
        <v>2</v>
      </c>
      <c r="I10" s="47" t="s">
        <v>53</v>
      </c>
      <c r="J10" s="48">
        <f t="shared" ref="J10:J11" si="4">D10</f>
        <v>100</v>
      </c>
    </row>
    <row r="11" spans="1:11" ht="21" customHeight="1" x14ac:dyDescent="0.15">
      <c r="A11" s="47">
        <v>30027010</v>
      </c>
      <c r="B11" s="47">
        <v>0</v>
      </c>
      <c r="C11" s="47">
        <v>1</v>
      </c>
      <c r="D11" s="47">
        <v>100</v>
      </c>
      <c r="E11" s="47">
        <v>79</v>
      </c>
      <c r="F11" s="47">
        <v>30</v>
      </c>
      <c r="G11" s="47" t="s">
        <v>53</v>
      </c>
      <c r="H11" s="47">
        <v>1</v>
      </c>
      <c r="I11" s="47" t="s">
        <v>53</v>
      </c>
      <c r="J11" s="48">
        <f t="shared" si="4"/>
        <v>100</v>
      </c>
    </row>
    <row r="12" spans="1:11" ht="21" customHeight="1" x14ac:dyDescent="0.15">
      <c r="A12" s="47">
        <v>30027011</v>
      </c>
      <c r="B12" s="47">
        <v>0</v>
      </c>
      <c r="C12" s="47">
        <v>3</v>
      </c>
      <c r="D12" s="47">
        <v>100</v>
      </c>
      <c r="E12" s="47">
        <v>50</v>
      </c>
      <c r="F12" s="47" t="s">
        <v>53</v>
      </c>
      <c r="G12" s="47">
        <v>1</v>
      </c>
      <c r="H12" s="47">
        <v>1</v>
      </c>
      <c r="I12" s="47" t="s">
        <v>53</v>
      </c>
      <c r="J12" s="48">
        <f t="shared" ref="J12" si="5">D12</f>
        <v>100</v>
      </c>
    </row>
    <row r="13" spans="1:11" ht="21" customHeight="1" x14ac:dyDescent="0.15">
      <c r="A13" s="47">
        <v>30027012</v>
      </c>
      <c r="B13" s="47">
        <v>0</v>
      </c>
      <c r="C13" s="47">
        <v>2</v>
      </c>
      <c r="D13" s="47">
        <v>100</v>
      </c>
      <c r="E13" s="47">
        <v>79</v>
      </c>
      <c r="F13" s="47">
        <v>30</v>
      </c>
      <c r="G13" s="47" t="s">
        <v>53</v>
      </c>
      <c r="H13" s="47">
        <v>2</v>
      </c>
      <c r="I13" s="47" t="s">
        <v>53</v>
      </c>
      <c r="J13" s="48">
        <f t="shared" ref="J13:J14" si="6">D13</f>
        <v>100</v>
      </c>
    </row>
    <row r="14" spans="1:11" ht="21" customHeight="1" x14ac:dyDescent="0.15">
      <c r="A14" s="47">
        <v>30027013</v>
      </c>
      <c r="B14" s="47">
        <v>0</v>
      </c>
      <c r="C14" s="47">
        <v>1</v>
      </c>
      <c r="D14" s="47">
        <v>100</v>
      </c>
      <c r="E14" s="47">
        <v>29</v>
      </c>
      <c r="F14" s="47">
        <v>1</v>
      </c>
      <c r="G14" s="47" t="s">
        <v>53</v>
      </c>
      <c r="H14" s="47">
        <v>1</v>
      </c>
      <c r="I14" s="47" t="s">
        <v>53</v>
      </c>
      <c r="J14" s="48">
        <f t="shared" si="6"/>
        <v>100</v>
      </c>
    </row>
    <row r="15" spans="1:11" ht="21" customHeight="1" x14ac:dyDescent="0.15">
      <c r="A15" s="47">
        <v>30027014</v>
      </c>
      <c r="B15" s="47">
        <v>0</v>
      </c>
      <c r="C15" s="47">
        <v>2</v>
      </c>
      <c r="D15" s="47">
        <v>100</v>
      </c>
      <c r="E15" s="47">
        <v>29</v>
      </c>
      <c r="F15" s="47">
        <v>1</v>
      </c>
      <c r="G15" s="47" t="s">
        <v>53</v>
      </c>
      <c r="H15" s="47">
        <v>2</v>
      </c>
      <c r="I15" s="47" t="s">
        <v>53</v>
      </c>
      <c r="J15" s="48">
        <f t="shared" ref="J15" si="7">D15</f>
        <v>100</v>
      </c>
    </row>
    <row r="16" spans="1:11" ht="21" customHeight="1" x14ac:dyDescent="0.15">
      <c r="A16" s="47">
        <v>30027015</v>
      </c>
      <c r="B16" s="47">
        <v>1</v>
      </c>
      <c r="C16" s="47">
        <v>5</v>
      </c>
      <c r="D16" s="47">
        <v>100</v>
      </c>
      <c r="E16" s="47" t="s">
        <v>53</v>
      </c>
      <c r="F16" s="47" t="s">
        <v>53</v>
      </c>
      <c r="G16" s="47">
        <v>1</v>
      </c>
      <c r="H16" s="104" t="s">
        <v>227</v>
      </c>
      <c r="I16" s="47" t="s">
        <v>53</v>
      </c>
      <c r="J16" s="48">
        <f t="shared" ref="J16:J22" si="8">D16</f>
        <v>100</v>
      </c>
    </row>
    <row r="17" spans="1:10" ht="21" customHeight="1" x14ac:dyDescent="0.15">
      <c r="A17" s="105">
        <v>30027016</v>
      </c>
      <c r="B17" s="47">
        <v>0</v>
      </c>
      <c r="C17" s="47">
        <v>1</v>
      </c>
      <c r="D17" s="47">
        <v>100</v>
      </c>
      <c r="E17" s="47">
        <v>100</v>
      </c>
      <c r="F17" s="47" t="s">
        <v>53</v>
      </c>
      <c r="G17" s="47" t="s">
        <v>53</v>
      </c>
      <c r="H17" s="47">
        <v>1</v>
      </c>
      <c r="I17" s="47" t="s">
        <v>53</v>
      </c>
      <c r="J17" s="48">
        <f t="shared" si="8"/>
        <v>100</v>
      </c>
    </row>
    <row r="18" spans="1:10" ht="21" customHeight="1" x14ac:dyDescent="0.15">
      <c r="A18" s="105">
        <v>30027017</v>
      </c>
      <c r="B18" s="47">
        <v>0</v>
      </c>
      <c r="C18" s="47">
        <v>2</v>
      </c>
      <c r="D18" s="47">
        <v>100</v>
      </c>
      <c r="E18" s="47">
        <v>100</v>
      </c>
      <c r="F18" s="47" t="s">
        <v>53</v>
      </c>
      <c r="G18" s="47" t="s">
        <v>53</v>
      </c>
      <c r="H18" s="47">
        <v>2</v>
      </c>
      <c r="I18" s="47" t="s">
        <v>53</v>
      </c>
      <c r="J18" s="48">
        <f t="shared" si="8"/>
        <v>100</v>
      </c>
    </row>
    <row r="19" spans="1:10" ht="21" customHeight="1" x14ac:dyDescent="0.15">
      <c r="A19" s="105">
        <v>30027018</v>
      </c>
      <c r="B19" s="47">
        <v>0</v>
      </c>
      <c r="C19" s="47">
        <v>3</v>
      </c>
      <c r="D19" s="47">
        <v>100</v>
      </c>
      <c r="E19" s="47">
        <v>79</v>
      </c>
      <c r="F19" s="47" t="s">
        <v>53</v>
      </c>
      <c r="G19" s="47" t="s">
        <v>53</v>
      </c>
      <c r="H19" s="47">
        <v>1</v>
      </c>
      <c r="I19" s="47" t="s">
        <v>53</v>
      </c>
      <c r="J19" s="48">
        <f t="shared" si="8"/>
        <v>100</v>
      </c>
    </row>
    <row r="20" spans="1:10" ht="21" customHeight="1" x14ac:dyDescent="0.15">
      <c r="A20" s="105">
        <v>30027019</v>
      </c>
      <c r="B20" s="47">
        <v>0</v>
      </c>
      <c r="C20" s="47">
        <v>4</v>
      </c>
      <c r="D20" s="47">
        <v>100</v>
      </c>
      <c r="E20" s="47">
        <v>79</v>
      </c>
      <c r="F20" s="47" t="s">
        <v>53</v>
      </c>
      <c r="G20" s="47" t="s">
        <v>53</v>
      </c>
      <c r="H20" s="47">
        <v>2</v>
      </c>
      <c r="I20" s="47" t="s">
        <v>53</v>
      </c>
      <c r="J20" s="48">
        <f t="shared" si="8"/>
        <v>100</v>
      </c>
    </row>
    <row r="21" spans="1:10" ht="21" customHeight="1" x14ac:dyDescent="0.15">
      <c r="A21" s="105">
        <v>30027020</v>
      </c>
      <c r="B21" s="47">
        <v>0</v>
      </c>
      <c r="C21" s="47">
        <v>5</v>
      </c>
      <c r="D21" s="47">
        <v>100</v>
      </c>
      <c r="E21" s="47">
        <v>29</v>
      </c>
      <c r="F21" s="47" t="s">
        <v>53</v>
      </c>
      <c r="G21" s="47" t="s">
        <v>53</v>
      </c>
      <c r="H21" s="47">
        <v>1</v>
      </c>
      <c r="I21" s="47" t="s">
        <v>53</v>
      </c>
      <c r="J21" s="48">
        <f t="shared" si="8"/>
        <v>100</v>
      </c>
    </row>
    <row r="22" spans="1:10" ht="21" customHeight="1" x14ac:dyDescent="0.15">
      <c r="A22" s="105">
        <v>30027021</v>
      </c>
      <c r="B22" s="47">
        <v>0</v>
      </c>
      <c r="C22" s="47">
        <v>6</v>
      </c>
      <c r="D22" s="47">
        <v>100</v>
      </c>
      <c r="E22" s="47">
        <v>29</v>
      </c>
      <c r="F22" s="47" t="s">
        <v>53</v>
      </c>
      <c r="G22" s="47" t="s">
        <v>53</v>
      </c>
      <c r="H22" s="47">
        <v>2</v>
      </c>
      <c r="I22" s="47" t="s">
        <v>53</v>
      </c>
      <c r="J22" s="48">
        <f t="shared" si="8"/>
        <v>100</v>
      </c>
    </row>
  </sheetData>
  <autoFilter ref="A1:G1"/>
  <phoneticPr fontId="5"/>
  <conditionalFormatting sqref="K23:K1048576 K1:K5">
    <cfRule type="duplicateValues" dxfId="16" priority="18"/>
  </conditionalFormatting>
  <conditionalFormatting sqref="K6:K7">
    <cfRule type="duplicateValues" dxfId="15" priority="17"/>
  </conditionalFormatting>
  <conditionalFormatting sqref="K8">
    <cfRule type="duplicateValues" dxfId="14" priority="16"/>
  </conditionalFormatting>
  <conditionalFormatting sqref="K9">
    <cfRule type="duplicateValues" dxfId="13" priority="15"/>
  </conditionalFormatting>
  <conditionalFormatting sqref="K10">
    <cfRule type="duplicateValues" dxfId="12" priority="14"/>
  </conditionalFormatting>
  <conditionalFormatting sqref="K11">
    <cfRule type="duplicateValues" dxfId="11" priority="13"/>
  </conditionalFormatting>
  <conditionalFormatting sqref="K12">
    <cfRule type="duplicateValues" dxfId="10" priority="12"/>
  </conditionalFormatting>
  <conditionalFormatting sqref="K13">
    <cfRule type="duplicateValues" dxfId="9" priority="11"/>
  </conditionalFormatting>
  <conditionalFormatting sqref="K14">
    <cfRule type="duplicateValues" dxfId="8" priority="10"/>
  </conditionalFormatting>
  <conditionalFormatting sqref="K15">
    <cfRule type="duplicateValues" dxfId="7" priority="9"/>
  </conditionalFormatting>
  <conditionalFormatting sqref="K16">
    <cfRule type="duplicateValues" dxfId="6" priority="8"/>
  </conditionalFormatting>
  <conditionalFormatting sqref="K17">
    <cfRule type="duplicateValues" dxfId="5" priority="7"/>
  </conditionalFormatting>
  <conditionalFormatting sqref="K18">
    <cfRule type="duplicateValues" dxfId="4" priority="6"/>
  </conditionalFormatting>
  <conditionalFormatting sqref="K19">
    <cfRule type="duplicateValues" dxfId="3" priority="5"/>
  </conditionalFormatting>
  <conditionalFormatting sqref="K20">
    <cfRule type="duplicateValues" dxfId="2" priority="3"/>
  </conditionalFormatting>
  <conditionalFormatting sqref="K21">
    <cfRule type="duplicateValues" dxfId="1" priority="2"/>
  </conditionalFormatting>
  <conditionalFormatting sqref="K2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26" sqref="E26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30027001_30027001</v>
      </c>
      <c r="B2" s="47">
        <v>30027001</v>
      </c>
      <c r="C2" s="47">
        <v>30027001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炎華の香り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5ターンの間ダメージを受ける</v>
      </c>
      <c r="F2" s="47">
        <v>30027001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30027001_30027002</v>
      </c>
      <c r="B3" s="47">
        <v>30027001</v>
      </c>
      <c r="C3" s="47">
        <v>30027002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炎華の香り・真打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2ターンの間ダメージを受ける</v>
      </c>
      <c r="F3" s="47">
        <v>30027002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7"/>
      <c r="Q3" s="47"/>
      <c r="R3" s="47"/>
    </row>
    <row r="4" spans="1:18" ht="21" customHeight="1" x14ac:dyDescent="0.15">
      <c r="A4" s="39" t="str">
        <f t="shared" si="1"/>
        <v>30027002_30027003</v>
      </c>
      <c r="B4" s="47">
        <v>30027002</v>
      </c>
      <c r="C4" s="47">
        <v>30027003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紅葉静止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2ターンスキルが使えない！</v>
      </c>
      <c r="F4" s="47">
        <v>30027003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1"/>
        <v>30027002_30027004</v>
      </c>
      <c r="B5" s="47">
        <v>30027002</v>
      </c>
      <c r="C5" s="47">
        <v>30027004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紅葉静止・乱打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2ターンスキルが使えない！</v>
      </c>
      <c r="F5" s="47">
        <v>30027004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:A8" si="2">B6&amp;"_"&amp;C6</f>
        <v>30027003_30027005</v>
      </c>
      <c r="B6" s="102">
        <v>30027003</v>
      </c>
      <c r="C6" s="47">
        <v>30027005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アナタも凍らせてほしいのね？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ユニット1体に2ターンスリープ</v>
      </c>
      <c r="F6" s="47">
        <v>30027005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7"/>
      <c r="Q6" s="47"/>
      <c r="R6" s="47"/>
    </row>
    <row r="7" spans="1:18" ht="21" customHeight="1" x14ac:dyDescent="0.15">
      <c r="A7" s="39" t="str">
        <f t="shared" si="2"/>
        <v>30027003_30027006</v>
      </c>
      <c r="B7" s="102">
        <v>30027003</v>
      </c>
      <c r="C7" s="47">
        <v>30027006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泡雪の抱擁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3ターン攻撃力が50%DOWN</v>
      </c>
      <c r="F7" s="47">
        <v>30027006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si="2"/>
        <v>30027003_30027007</v>
      </c>
      <c r="B8" s="102">
        <v>30027003</v>
      </c>
      <c r="C8" s="47">
        <v>30027007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綿雪の抱擁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3ターン黄パネルが使えない！</v>
      </c>
      <c r="F8" s="47">
        <v>30027007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3">B9&amp;"_"&amp;C9</f>
        <v>30027003_30027015</v>
      </c>
      <c r="B9" s="102">
        <v>30027003</v>
      </c>
      <c r="C9" s="47">
        <v>30027015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ワタシに興味があるのかな？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9" s="47">
        <v>30027015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:A11" si="4">B10&amp;"_"&amp;C10</f>
        <v>30027004_30027008</v>
      </c>
      <c r="B10" s="103">
        <v>30027004</v>
      </c>
      <c r="C10" s="47">
        <v>30027008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粉雪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ランダムで赤パネルに変換</v>
      </c>
      <c r="F10" s="105">
        <v>30027016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4"/>
        <v>30027004_30027009</v>
      </c>
      <c r="B11" s="103">
        <v>30027004</v>
      </c>
      <c r="C11" s="47">
        <v>30027009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雪花の舞・細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赤パネル破壊攻撃</v>
      </c>
      <c r="F11" s="105">
        <v>30027017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5">B12&amp;"_"&amp;C12</f>
        <v>30027004_30027010</v>
      </c>
      <c r="B12" s="103">
        <v>30027004</v>
      </c>
      <c r="C12" s="47">
        <v>30027010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玉雪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ランダムで赤パネルに変換</v>
      </c>
      <c r="F12" s="105">
        <v>30027018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79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:A14" si="6">B13&amp;"_"&amp;C13</f>
        <v>30027004_30027012</v>
      </c>
      <c r="B13" s="103">
        <v>30027004</v>
      </c>
      <c r="C13" s="47">
        <v>30027012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雪花の舞・灰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赤パネル破壊攻撃</v>
      </c>
      <c r="F13" s="105">
        <v>30027019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79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6"/>
        <v>30027004_30027013</v>
      </c>
      <c r="B14" s="103">
        <v>30027004</v>
      </c>
      <c r="C14" s="47">
        <v>30027013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餅雪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ランダムで赤パネルに変換</v>
      </c>
      <c r="F14" s="105">
        <v>30027020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29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ref="A15" si="7">B15&amp;"_"&amp;C15</f>
        <v>30027004_30027014</v>
      </c>
      <c r="B15" s="103">
        <v>30027004</v>
      </c>
      <c r="C15" s="47">
        <v>30027014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雪花の舞・吹雪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赤パネル破壊攻撃</v>
      </c>
      <c r="F15" s="105">
        <v>30027021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29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:A21" si="8">B16&amp;"_"&amp;C16</f>
        <v>30027004_30027016</v>
      </c>
      <c r="B16" s="103">
        <v>30027004</v>
      </c>
      <c r="C16" s="47">
        <v>30027016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ホラ、一緒に楽しみましょう？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6" s="47">
        <v>30027015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8"/>
        <v>30027005_30027017</v>
      </c>
      <c r="B17" s="102">
        <v>30027005</v>
      </c>
      <c r="C17" s="47">
        <v>30027017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アナタも凍らせてほしいのね？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ユニット1体に1ターンスリープ</v>
      </c>
      <c r="F17" s="47">
        <v>30027005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" s="47"/>
      <c r="Q17" s="47"/>
      <c r="R17" s="47"/>
    </row>
    <row r="18" spans="1:18" ht="21" customHeight="1" x14ac:dyDescent="0.15">
      <c r="A18" s="39" t="str">
        <f t="shared" si="8"/>
        <v>30027005_30027006</v>
      </c>
      <c r="B18" s="102">
        <v>30027005</v>
      </c>
      <c r="C18" s="47">
        <v>30027006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泡雪の抱擁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3ターン攻撃力が50%DOWN</v>
      </c>
      <c r="F18" s="47">
        <v>30027006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7"/>
      <c r="Q18" s="47"/>
      <c r="R18" s="47"/>
    </row>
    <row r="19" spans="1:18" ht="21" customHeight="1" x14ac:dyDescent="0.15">
      <c r="A19" s="39" t="str">
        <f t="shared" si="8"/>
        <v>30027005_30027015</v>
      </c>
      <c r="B19" s="102">
        <v>30027005</v>
      </c>
      <c r="C19" s="47">
        <v>30027015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ワタシに興味があるのかな？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9" s="47">
        <v>30027015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8"/>
        <v>30027006_30027008</v>
      </c>
      <c r="B20" s="103">
        <v>30027006</v>
      </c>
      <c r="C20" s="47">
        <v>30027008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粉雪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ランダムで赤パネルに変換</v>
      </c>
      <c r="F20" s="105">
        <v>30027016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8"/>
        <v>30027006_30027009</v>
      </c>
      <c r="B21" s="103">
        <v>30027006</v>
      </c>
      <c r="C21" s="47">
        <v>30027009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雪花の舞・細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赤パネル破壊攻撃</v>
      </c>
      <c r="F21" s="105">
        <v>30027017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9">B22&amp;"_"&amp;C22</f>
        <v>30027006_30027016</v>
      </c>
      <c r="B22" s="103">
        <v>30027006</v>
      </c>
      <c r="C22" s="47">
        <v>30027016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ホラ、一緒に楽しみましょう？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2" s="47">
        <v>30027015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ref="A23:A24" si="10">B23&amp;"_"&amp;C23</f>
        <v>30027007_30027017</v>
      </c>
      <c r="B23" s="102">
        <v>30027007</v>
      </c>
      <c r="C23" s="47">
        <v>30027017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アナタも凍らせてほしいのね？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ユニット1体に1ターンスリープ</v>
      </c>
      <c r="F23" s="47">
        <v>30027005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3" s="47"/>
      <c r="Q23" s="47"/>
      <c r="R23" s="47"/>
    </row>
    <row r="24" spans="1:18" ht="21" customHeight="1" x14ac:dyDescent="0.15">
      <c r="A24" s="39" t="str">
        <f t="shared" si="10"/>
        <v>30027007_30027015</v>
      </c>
      <c r="B24" s="102">
        <v>30027007</v>
      </c>
      <c r="C24" s="47">
        <v>30027015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ワタシに興味があるのかな？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4" s="47">
        <v>30027015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N19" sqref="N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82">
        <v>30027</v>
      </c>
      <c r="B2" s="82">
        <v>1</v>
      </c>
      <c r="C2" s="71" t="str">
        <f>A2&amp; "_"&amp;B2</f>
        <v>30027_1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1</v>
      </c>
      <c r="F2" s="82" t="s">
        <v>168</v>
      </c>
      <c r="G2" s="82">
        <v>3200</v>
      </c>
      <c r="H2" s="82" t="s">
        <v>242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200</v>
      </c>
      <c r="Q2" s="82" t="s">
        <v>169</v>
      </c>
      <c r="R2" s="82" t="s">
        <v>170</v>
      </c>
    </row>
    <row r="3" spans="1:18" x14ac:dyDescent="0.15">
      <c r="A3" s="82">
        <v>30027</v>
      </c>
      <c r="B3" s="82">
        <v>1</v>
      </c>
      <c r="C3" s="71" t="str">
        <f t="shared" ref="C3:C33" si="0">A3&amp; "_"&amp;B3</f>
        <v>30027_1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2</v>
      </c>
      <c r="F3" s="82" t="s">
        <v>239</v>
      </c>
      <c r="G3" s="82">
        <v>20</v>
      </c>
      <c r="H3" s="82" t="s">
        <v>242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200</v>
      </c>
      <c r="Q3" s="82" t="s">
        <v>169</v>
      </c>
      <c r="R3" s="82" t="s">
        <v>170</v>
      </c>
    </row>
    <row r="4" spans="1:18" x14ac:dyDescent="0.15">
      <c r="A4" s="82">
        <v>30027</v>
      </c>
      <c r="B4" s="82">
        <v>1</v>
      </c>
      <c r="C4" s="71" t="str">
        <f t="shared" si="0"/>
        <v>30027_1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</v>
      </c>
      <c r="F4" s="82" t="s">
        <v>240</v>
      </c>
      <c r="G4" s="82">
        <v>340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70</v>
      </c>
      <c r="Q4" s="82" t="s">
        <v>169</v>
      </c>
      <c r="R4" s="82" t="s">
        <v>170</v>
      </c>
    </row>
    <row r="5" spans="1:18" x14ac:dyDescent="0.15">
      <c r="A5" s="82">
        <v>30027</v>
      </c>
      <c r="B5" s="82">
        <v>1</v>
      </c>
      <c r="C5" s="71" t="str">
        <f t="shared" si="0"/>
        <v>30027_1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4</v>
      </c>
      <c r="F5" s="82" t="s">
        <v>240</v>
      </c>
      <c r="G5" s="82">
        <v>341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70</v>
      </c>
      <c r="Q5" s="82" t="s">
        <v>169</v>
      </c>
      <c r="R5" s="82" t="s">
        <v>170</v>
      </c>
    </row>
    <row r="6" spans="1:18" x14ac:dyDescent="0.15">
      <c r="A6" s="82">
        <v>30027</v>
      </c>
      <c r="B6" s="82">
        <v>1</v>
      </c>
      <c r="C6" s="71" t="str">
        <f t="shared" si="0"/>
        <v>30027_1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5</v>
      </c>
      <c r="F6" s="82" t="s">
        <v>240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50</v>
      </c>
      <c r="Q6" s="82" t="s">
        <v>169</v>
      </c>
      <c r="R6" s="82" t="s">
        <v>170</v>
      </c>
    </row>
    <row r="7" spans="1:18" x14ac:dyDescent="0.15">
      <c r="A7" s="82">
        <v>30027</v>
      </c>
      <c r="B7" s="82">
        <v>1</v>
      </c>
      <c r="C7" s="71" t="str">
        <f t="shared" si="0"/>
        <v>30027_1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6</v>
      </c>
      <c r="F7" s="82" t="s">
        <v>240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50</v>
      </c>
      <c r="Q7" s="82" t="s">
        <v>169</v>
      </c>
      <c r="R7" s="82" t="s">
        <v>170</v>
      </c>
    </row>
    <row r="8" spans="1:18" x14ac:dyDescent="0.15">
      <c r="A8" s="82">
        <v>30027</v>
      </c>
      <c r="B8" s="82">
        <v>1</v>
      </c>
      <c r="C8" s="71" t="str">
        <f t="shared" si="0"/>
        <v>30027_1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7</v>
      </c>
      <c r="F8" s="82" t="s">
        <v>240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50</v>
      </c>
      <c r="Q8" s="82" t="s">
        <v>169</v>
      </c>
      <c r="R8" s="82" t="s">
        <v>170</v>
      </c>
    </row>
    <row r="9" spans="1:18" x14ac:dyDescent="0.15">
      <c r="A9" s="82">
        <v>30027</v>
      </c>
      <c r="B9" s="82">
        <v>1</v>
      </c>
      <c r="C9" s="71" t="str">
        <f t="shared" si="0"/>
        <v>30027_1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8</v>
      </c>
      <c r="F9" s="82" t="s">
        <v>240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169</v>
      </c>
      <c r="R9" s="82" t="s">
        <v>170</v>
      </c>
    </row>
    <row r="10" spans="1:18" x14ac:dyDescent="0.15">
      <c r="A10" s="82">
        <v>30027</v>
      </c>
      <c r="B10" s="82">
        <v>1</v>
      </c>
      <c r="C10" s="71" t="str">
        <f t="shared" si="0"/>
        <v>30027_1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9</v>
      </c>
      <c r="F10" s="82" t="s">
        <v>240</v>
      </c>
      <c r="G10" s="82">
        <v>646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200</v>
      </c>
      <c r="Q10" s="82" t="s">
        <v>169</v>
      </c>
      <c r="R10" s="82" t="s">
        <v>170</v>
      </c>
    </row>
    <row r="11" spans="1:18" ht="16" thickBot="1" x14ac:dyDescent="0.2">
      <c r="A11" s="110">
        <v>30027</v>
      </c>
      <c r="B11" s="110">
        <v>1</v>
      </c>
      <c r="C11" s="111" t="str">
        <f t="shared" si="0"/>
        <v>30027_1</v>
      </c>
      <c r="D11" s="112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0">
        <v>10</v>
      </c>
      <c r="F11" s="110" t="s">
        <v>240</v>
      </c>
      <c r="G11" s="110">
        <v>352</v>
      </c>
      <c r="H11" s="110">
        <v>1</v>
      </c>
      <c r="I11" s="110">
        <v>1</v>
      </c>
      <c r="J11" s="110">
        <v>1</v>
      </c>
      <c r="K11" s="110">
        <v>0</v>
      </c>
      <c r="L11" s="110">
        <v>0</v>
      </c>
      <c r="M11" s="110">
        <v>0</v>
      </c>
      <c r="N11" s="110">
        <v>0</v>
      </c>
      <c r="O11" s="110">
        <v>1</v>
      </c>
      <c r="P11" s="110">
        <v>100</v>
      </c>
      <c r="Q11" s="110" t="s">
        <v>169</v>
      </c>
      <c r="R11" s="110" t="s">
        <v>170</v>
      </c>
    </row>
    <row r="12" spans="1:18" ht="16" thickTop="1" x14ac:dyDescent="0.15">
      <c r="A12" s="107">
        <v>30027</v>
      </c>
      <c r="B12" s="107">
        <v>2</v>
      </c>
      <c r="C12" s="108" t="str">
        <f t="shared" si="0"/>
        <v>30027_2</v>
      </c>
      <c r="D12" s="109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7">
        <v>11</v>
      </c>
      <c r="F12" s="107" t="s">
        <v>168</v>
      </c>
      <c r="G12" s="107">
        <v>5000</v>
      </c>
      <c r="H12" s="107" t="s">
        <v>242</v>
      </c>
      <c r="I12" s="107">
        <v>1</v>
      </c>
      <c r="J12" s="107">
        <v>1</v>
      </c>
      <c r="K12" s="107">
        <v>0</v>
      </c>
      <c r="L12" s="107">
        <v>0</v>
      </c>
      <c r="M12" s="107">
        <v>0</v>
      </c>
      <c r="N12" s="107">
        <v>0</v>
      </c>
      <c r="O12" s="107">
        <v>1</v>
      </c>
      <c r="P12" s="107">
        <v>200</v>
      </c>
      <c r="Q12" s="107" t="s">
        <v>169</v>
      </c>
      <c r="R12" s="107" t="s">
        <v>170</v>
      </c>
    </row>
    <row r="13" spans="1:18" x14ac:dyDescent="0.15">
      <c r="A13" s="82">
        <v>30027</v>
      </c>
      <c r="B13" s="82">
        <v>2</v>
      </c>
      <c r="C13" s="71" t="str">
        <f t="shared" si="0"/>
        <v>30027_2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12</v>
      </c>
      <c r="F13" s="82" t="s">
        <v>241</v>
      </c>
      <c r="G13" s="82">
        <v>25</v>
      </c>
      <c r="H13" s="82" t="s">
        <v>242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150</v>
      </c>
      <c r="Q13" s="82" t="s">
        <v>169</v>
      </c>
      <c r="R13" s="82" t="s">
        <v>170</v>
      </c>
    </row>
    <row r="14" spans="1:18" x14ac:dyDescent="0.15">
      <c r="A14" s="82">
        <v>30027</v>
      </c>
      <c r="B14" s="82">
        <v>2</v>
      </c>
      <c r="C14" s="71" t="str">
        <f t="shared" si="0"/>
        <v>30027_2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13</v>
      </c>
      <c r="F14" s="82" t="s">
        <v>240</v>
      </c>
      <c r="G14" s="82">
        <v>340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56</v>
      </c>
      <c r="Q14" s="82" t="s">
        <v>169</v>
      </c>
      <c r="R14" s="82" t="s">
        <v>170</v>
      </c>
    </row>
    <row r="15" spans="1:18" x14ac:dyDescent="0.15">
      <c r="A15" s="82">
        <v>30027</v>
      </c>
      <c r="B15" s="82">
        <v>2</v>
      </c>
      <c r="C15" s="71" t="str">
        <f t="shared" si="0"/>
        <v>30027_2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14</v>
      </c>
      <c r="F15" s="82" t="s">
        <v>240</v>
      </c>
      <c r="G15" s="82">
        <v>341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56</v>
      </c>
      <c r="Q15" s="82" t="s">
        <v>169</v>
      </c>
      <c r="R15" s="82" t="s">
        <v>170</v>
      </c>
    </row>
    <row r="16" spans="1:18" x14ac:dyDescent="0.15">
      <c r="A16" s="82">
        <v>30027</v>
      </c>
      <c r="B16" s="82">
        <v>2</v>
      </c>
      <c r="C16" s="71" t="str">
        <f t="shared" si="0"/>
        <v>30027_2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15</v>
      </c>
      <c r="F16" s="82" t="s">
        <v>240</v>
      </c>
      <c r="G16" s="82">
        <v>342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28</v>
      </c>
      <c r="Q16" s="82" t="s">
        <v>169</v>
      </c>
      <c r="R16" s="82" t="s">
        <v>170</v>
      </c>
    </row>
    <row r="17" spans="1:18" x14ac:dyDescent="0.15">
      <c r="A17" s="82">
        <v>30027</v>
      </c>
      <c r="B17" s="82">
        <v>2</v>
      </c>
      <c r="C17" s="71" t="str">
        <f t="shared" si="0"/>
        <v>30027_2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16</v>
      </c>
      <c r="F17" s="82" t="s">
        <v>240</v>
      </c>
      <c r="G17" s="82">
        <v>121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50</v>
      </c>
      <c r="Q17" s="82" t="s">
        <v>169</v>
      </c>
      <c r="R17" s="82" t="s">
        <v>170</v>
      </c>
    </row>
    <row r="18" spans="1:18" x14ac:dyDescent="0.15">
      <c r="A18" s="82">
        <v>30027</v>
      </c>
      <c r="B18" s="82">
        <v>2</v>
      </c>
      <c r="C18" s="71" t="str">
        <f t="shared" si="0"/>
        <v>30027_2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2">
        <v>17</v>
      </c>
      <c r="F18" s="82" t="s">
        <v>240</v>
      </c>
      <c r="G18" s="82">
        <v>122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</v>
      </c>
      <c r="Q18" s="82" t="s">
        <v>169</v>
      </c>
      <c r="R18" s="82" t="s">
        <v>170</v>
      </c>
    </row>
    <row r="19" spans="1:18" x14ac:dyDescent="0.15">
      <c r="A19" s="82">
        <v>30027</v>
      </c>
      <c r="B19" s="82">
        <v>2</v>
      </c>
      <c r="C19" s="71" t="str">
        <f t="shared" si="0"/>
        <v>30027_2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2">
        <v>18</v>
      </c>
      <c r="F19" s="82" t="s">
        <v>240</v>
      </c>
      <c r="G19" s="82">
        <v>123</v>
      </c>
      <c r="H19" s="82">
        <v>1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50</v>
      </c>
      <c r="Q19" s="82" t="s">
        <v>169</v>
      </c>
      <c r="R19" s="82" t="s">
        <v>170</v>
      </c>
    </row>
    <row r="20" spans="1:18" x14ac:dyDescent="0.15">
      <c r="A20" s="82">
        <v>30027</v>
      </c>
      <c r="B20" s="82">
        <v>2</v>
      </c>
      <c r="C20" s="71" t="str">
        <f t="shared" si="0"/>
        <v>30027_2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2">
        <v>19</v>
      </c>
      <c r="F20" s="82" t="s">
        <v>240</v>
      </c>
      <c r="G20" s="82">
        <v>125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10</v>
      </c>
      <c r="Q20" s="82" t="s">
        <v>169</v>
      </c>
      <c r="R20" s="82" t="s">
        <v>170</v>
      </c>
    </row>
    <row r="21" spans="1:18" x14ac:dyDescent="0.15">
      <c r="A21" s="82">
        <v>30027</v>
      </c>
      <c r="B21" s="82">
        <v>2</v>
      </c>
      <c r="C21" s="71" t="str">
        <f t="shared" si="0"/>
        <v>30027_2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2">
        <v>20</v>
      </c>
      <c r="F21" s="82" t="s">
        <v>240</v>
      </c>
      <c r="G21" s="82">
        <v>646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250</v>
      </c>
      <c r="Q21" s="82" t="s">
        <v>169</v>
      </c>
      <c r="R21" s="82" t="s">
        <v>170</v>
      </c>
    </row>
    <row r="22" spans="1:18" ht="16" thickBot="1" x14ac:dyDescent="0.2">
      <c r="A22" s="110">
        <v>30027</v>
      </c>
      <c r="B22" s="110">
        <v>2</v>
      </c>
      <c r="C22" s="111" t="str">
        <f t="shared" si="0"/>
        <v>30027_2</v>
      </c>
      <c r="D22" s="112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10">
        <v>21</v>
      </c>
      <c r="F22" s="110" t="s">
        <v>240</v>
      </c>
      <c r="G22" s="110">
        <v>352</v>
      </c>
      <c r="H22" s="110">
        <v>1</v>
      </c>
      <c r="I22" s="110">
        <v>1</v>
      </c>
      <c r="J22" s="110">
        <v>1</v>
      </c>
      <c r="K22" s="110">
        <v>0</v>
      </c>
      <c r="L22" s="110">
        <v>0</v>
      </c>
      <c r="M22" s="110">
        <v>0</v>
      </c>
      <c r="N22" s="110">
        <v>0</v>
      </c>
      <c r="O22" s="110">
        <v>1</v>
      </c>
      <c r="P22" s="110">
        <v>100</v>
      </c>
      <c r="Q22" s="110" t="s">
        <v>169</v>
      </c>
      <c r="R22" s="110" t="s">
        <v>170</v>
      </c>
    </row>
    <row r="23" spans="1:18" ht="16" thickTop="1" x14ac:dyDescent="0.15">
      <c r="A23" s="107">
        <v>30027</v>
      </c>
      <c r="B23" s="107">
        <v>3</v>
      </c>
      <c r="C23" s="108" t="str">
        <f t="shared" si="0"/>
        <v>30027_3</v>
      </c>
      <c r="D23" s="109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07">
        <v>22</v>
      </c>
      <c r="F23" s="107" t="s">
        <v>168</v>
      </c>
      <c r="G23" s="107">
        <v>6500</v>
      </c>
      <c r="H23" s="107" t="s">
        <v>242</v>
      </c>
      <c r="I23" s="107">
        <v>1</v>
      </c>
      <c r="J23" s="107">
        <v>1</v>
      </c>
      <c r="K23" s="107">
        <v>0</v>
      </c>
      <c r="L23" s="107">
        <v>0</v>
      </c>
      <c r="M23" s="107">
        <v>0</v>
      </c>
      <c r="N23" s="107">
        <v>0</v>
      </c>
      <c r="O23" s="107">
        <v>1</v>
      </c>
      <c r="P23" s="107">
        <v>100</v>
      </c>
      <c r="Q23" s="107" t="s">
        <v>169</v>
      </c>
      <c r="R23" s="107" t="s">
        <v>170</v>
      </c>
    </row>
    <row r="24" spans="1:18" x14ac:dyDescent="0.15">
      <c r="A24" s="82">
        <v>30027</v>
      </c>
      <c r="B24" s="82">
        <v>3</v>
      </c>
      <c r="C24" s="71" t="str">
        <f t="shared" si="0"/>
        <v>30027_3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2">
        <v>23</v>
      </c>
      <c r="F24" s="82" t="s">
        <v>241</v>
      </c>
      <c r="G24" s="82">
        <v>25</v>
      </c>
      <c r="H24" s="82" t="s">
        <v>242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100</v>
      </c>
      <c r="Q24" s="82" t="s">
        <v>169</v>
      </c>
      <c r="R24" s="82" t="s">
        <v>170</v>
      </c>
    </row>
    <row r="25" spans="1:18" x14ac:dyDescent="0.15">
      <c r="A25" s="82">
        <v>30027</v>
      </c>
      <c r="B25" s="82">
        <v>3</v>
      </c>
      <c r="C25" s="71" t="str">
        <f t="shared" si="0"/>
        <v>30027_3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2">
        <v>24</v>
      </c>
      <c r="F25" s="82" t="s">
        <v>240</v>
      </c>
      <c r="G25" s="82">
        <v>340</v>
      </c>
      <c r="H25" s="82">
        <v>1</v>
      </c>
      <c r="I25" s="82">
        <v>1</v>
      </c>
      <c r="J25" s="82">
        <v>1</v>
      </c>
      <c r="K25" s="82">
        <v>0</v>
      </c>
      <c r="L25" s="82">
        <v>0</v>
      </c>
      <c r="M25" s="82">
        <v>0</v>
      </c>
      <c r="N25" s="82">
        <v>0</v>
      </c>
      <c r="O25" s="82">
        <v>1</v>
      </c>
      <c r="P25" s="82">
        <v>28</v>
      </c>
      <c r="Q25" s="82" t="s">
        <v>169</v>
      </c>
      <c r="R25" s="82" t="s">
        <v>170</v>
      </c>
    </row>
    <row r="26" spans="1:18" x14ac:dyDescent="0.15">
      <c r="A26" s="82">
        <v>30027</v>
      </c>
      <c r="B26" s="82">
        <v>3</v>
      </c>
      <c r="C26" s="71" t="str">
        <f t="shared" si="0"/>
        <v>30027_3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2">
        <v>25</v>
      </c>
      <c r="F26" s="82" t="s">
        <v>240</v>
      </c>
      <c r="G26" s="82">
        <v>341</v>
      </c>
      <c r="H26" s="82">
        <v>1</v>
      </c>
      <c r="I26" s="82">
        <v>1</v>
      </c>
      <c r="J26" s="82">
        <v>1</v>
      </c>
      <c r="K26" s="82">
        <v>0</v>
      </c>
      <c r="L26" s="82">
        <v>0</v>
      </c>
      <c r="M26" s="82">
        <v>0</v>
      </c>
      <c r="N26" s="82">
        <v>0</v>
      </c>
      <c r="O26" s="82">
        <v>1</v>
      </c>
      <c r="P26" s="82">
        <v>56</v>
      </c>
      <c r="Q26" s="82" t="s">
        <v>169</v>
      </c>
      <c r="R26" s="82" t="s">
        <v>170</v>
      </c>
    </row>
    <row r="27" spans="1:18" x14ac:dyDescent="0.15">
      <c r="A27" s="82">
        <v>30027</v>
      </c>
      <c r="B27" s="82">
        <v>3</v>
      </c>
      <c r="C27" s="71" t="str">
        <f t="shared" si="0"/>
        <v>30027_3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2">
        <v>26</v>
      </c>
      <c r="F27" s="82" t="s">
        <v>240</v>
      </c>
      <c r="G27" s="82">
        <v>342</v>
      </c>
      <c r="H27" s="82">
        <v>1</v>
      </c>
      <c r="I27" s="82">
        <v>1</v>
      </c>
      <c r="J27" s="82">
        <v>1</v>
      </c>
      <c r="K27" s="82">
        <v>0</v>
      </c>
      <c r="L27" s="82">
        <v>0</v>
      </c>
      <c r="M27" s="82">
        <v>0</v>
      </c>
      <c r="N27" s="82">
        <v>0</v>
      </c>
      <c r="O27" s="82">
        <v>1</v>
      </c>
      <c r="P27" s="82">
        <v>56</v>
      </c>
      <c r="Q27" s="82" t="s">
        <v>169</v>
      </c>
      <c r="R27" s="82" t="s">
        <v>170</v>
      </c>
    </row>
    <row r="28" spans="1:18" x14ac:dyDescent="0.15">
      <c r="A28" s="82">
        <v>30027</v>
      </c>
      <c r="B28" s="82">
        <v>3</v>
      </c>
      <c r="C28" s="71" t="str">
        <f t="shared" si="0"/>
        <v>30027_3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2">
        <v>27</v>
      </c>
      <c r="F28" s="82" t="s">
        <v>240</v>
      </c>
      <c r="G28" s="82">
        <v>121</v>
      </c>
      <c r="H28" s="82">
        <v>1</v>
      </c>
      <c r="I28" s="82">
        <v>1</v>
      </c>
      <c r="J28" s="82">
        <v>1</v>
      </c>
      <c r="K28" s="82">
        <v>0</v>
      </c>
      <c r="L28" s="82">
        <v>0</v>
      </c>
      <c r="M28" s="82">
        <v>0</v>
      </c>
      <c r="N28" s="82">
        <v>0</v>
      </c>
      <c r="O28" s="82">
        <v>1</v>
      </c>
      <c r="P28" s="82">
        <v>50</v>
      </c>
      <c r="Q28" s="82" t="s">
        <v>169</v>
      </c>
      <c r="R28" s="82" t="s">
        <v>170</v>
      </c>
    </row>
    <row r="29" spans="1:18" x14ac:dyDescent="0.15">
      <c r="A29" s="82">
        <v>30027</v>
      </c>
      <c r="B29" s="82">
        <v>3</v>
      </c>
      <c r="C29" s="71" t="str">
        <f t="shared" si="0"/>
        <v>30027_3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2">
        <v>28</v>
      </c>
      <c r="F29" s="82" t="s">
        <v>240</v>
      </c>
      <c r="G29" s="82">
        <v>122</v>
      </c>
      <c r="H29" s="82">
        <v>1</v>
      </c>
      <c r="I29" s="82">
        <v>1</v>
      </c>
      <c r="J29" s="82">
        <v>1</v>
      </c>
      <c r="K29" s="82">
        <v>0</v>
      </c>
      <c r="L29" s="82">
        <v>0</v>
      </c>
      <c r="M29" s="82">
        <v>0</v>
      </c>
      <c r="N29" s="82">
        <v>0</v>
      </c>
      <c r="O29" s="82">
        <v>1</v>
      </c>
      <c r="P29" s="82">
        <v>50</v>
      </c>
      <c r="Q29" s="82" t="s">
        <v>169</v>
      </c>
      <c r="R29" s="82" t="s">
        <v>170</v>
      </c>
    </row>
    <row r="30" spans="1:18" x14ac:dyDescent="0.15">
      <c r="A30" s="82">
        <v>30027</v>
      </c>
      <c r="B30" s="82">
        <v>3</v>
      </c>
      <c r="C30" s="71" t="str">
        <f t="shared" si="0"/>
        <v>30027_3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2">
        <v>29</v>
      </c>
      <c r="F30" s="82" t="s">
        <v>240</v>
      </c>
      <c r="G30" s="82">
        <v>123</v>
      </c>
      <c r="H30" s="82">
        <v>1</v>
      </c>
      <c r="I30" s="82">
        <v>1</v>
      </c>
      <c r="J30" s="82">
        <v>1</v>
      </c>
      <c r="K30" s="82">
        <v>0</v>
      </c>
      <c r="L30" s="82">
        <v>0</v>
      </c>
      <c r="M30" s="82">
        <v>0</v>
      </c>
      <c r="N30" s="82">
        <v>0</v>
      </c>
      <c r="O30" s="82">
        <v>1</v>
      </c>
      <c r="P30" s="82">
        <v>50</v>
      </c>
      <c r="Q30" s="82" t="s">
        <v>169</v>
      </c>
      <c r="R30" s="82" t="s">
        <v>170</v>
      </c>
    </row>
    <row r="31" spans="1:18" x14ac:dyDescent="0.15">
      <c r="A31" s="82">
        <v>30027</v>
      </c>
      <c r="B31" s="82">
        <v>3</v>
      </c>
      <c r="C31" s="71" t="str">
        <f t="shared" si="0"/>
        <v>30027_3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2">
        <v>30</v>
      </c>
      <c r="F31" s="82" t="s">
        <v>240</v>
      </c>
      <c r="G31" s="82">
        <v>125</v>
      </c>
      <c r="H31" s="82">
        <v>1</v>
      </c>
      <c r="I31" s="82">
        <v>1</v>
      </c>
      <c r="J31" s="82">
        <v>1</v>
      </c>
      <c r="K31" s="82">
        <v>0</v>
      </c>
      <c r="L31" s="82">
        <v>0</v>
      </c>
      <c r="M31" s="82">
        <v>0</v>
      </c>
      <c r="N31" s="82">
        <v>0</v>
      </c>
      <c r="O31" s="82">
        <v>1</v>
      </c>
      <c r="P31" s="82">
        <v>10</v>
      </c>
      <c r="Q31" s="82" t="s">
        <v>169</v>
      </c>
      <c r="R31" s="82" t="s">
        <v>170</v>
      </c>
    </row>
    <row r="32" spans="1:18" x14ac:dyDescent="0.15">
      <c r="A32" s="82">
        <v>30027</v>
      </c>
      <c r="B32" s="82">
        <v>3</v>
      </c>
      <c r="C32" s="71" t="str">
        <f t="shared" si="0"/>
        <v>30027_3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2">
        <v>31</v>
      </c>
      <c r="F32" s="82" t="s">
        <v>240</v>
      </c>
      <c r="G32" s="82">
        <v>646</v>
      </c>
      <c r="H32" s="82">
        <v>1</v>
      </c>
      <c r="I32" s="82">
        <v>1</v>
      </c>
      <c r="J32" s="82">
        <v>1</v>
      </c>
      <c r="K32" s="82">
        <v>0</v>
      </c>
      <c r="L32" s="82">
        <v>0</v>
      </c>
      <c r="M32" s="82">
        <v>0</v>
      </c>
      <c r="N32" s="82">
        <v>0</v>
      </c>
      <c r="O32" s="82">
        <v>1</v>
      </c>
      <c r="P32" s="82">
        <v>400</v>
      </c>
      <c r="Q32" s="82" t="s">
        <v>169</v>
      </c>
      <c r="R32" s="82" t="s">
        <v>170</v>
      </c>
    </row>
    <row r="33" spans="1:18" x14ac:dyDescent="0.15">
      <c r="A33" s="82">
        <v>30027</v>
      </c>
      <c r="B33" s="82">
        <v>3</v>
      </c>
      <c r="C33" s="71" t="str">
        <f t="shared" si="0"/>
        <v>30027_3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2">
        <v>32</v>
      </c>
      <c r="F33" s="82" t="s">
        <v>240</v>
      </c>
      <c r="G33" s="82">
        <v>352</v>
      </c>
      <c r="H33" s="82">
        <v>1</v>
      </c>
      <c r="I33" s="82">
        <v>1</v>
      </c>
      <c r="J33" s="82">
        <v>1</v>
      </c>
      <c r="K33" s="82">
        <v>0</v>
      </c>
      <c r="L33" s="82">
        <v>0</v>
      </c>
      <c r="M33" s="82">
        <v>0</v>
      </c>
      <c r="N33" s="82">
        <v>0</v>
      </c>
      <c r="O33" s="82">
        <v>1</v>
      </c>
      <c r="P33" s="82">
        <v>100</v>
      </c>
      <c r="Q33" s="82" t="s">
        <v>169</v>
      </c>
      <c r="R33" s="82" t="s">
        <v>170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63" activePane="bottomLeft" state="frozen"/>
      <selection pane="bottomLeft" activeCell="E81" sqref="E81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187</v>
      </c>
      <c r="B1" s="73" t="s">
        <v>188</v>
      </c>
      <c r="C1" s="78" t="s">
        <v>189</v>
      </c>
      <c r="D1" s="78" t="s">
        <v>33</v>
      </c>
      <c r="E1" s="73" t="s">
        <v>190</v>
      </c>
      <c r="F1" s="78" t="s">
        <v>191</v>
      </c>
      <c r="G1" s="78" t="s">
        <v>33</v>
      </c>
      <c r="H1" s="73" t="s">
        <v>192</v>
      </c>
      <c r="I1" s="92" t="s">
        <v>194</v>
      </c>
      <c r="J1" s="80" t="s">
        <v>126</v>
      </c>
      <c r="K1" s="79" t="s">
        <v>186</v>
      </c>
      <c r="L1" s="93" t="s">
        <v>185</v>
      </c>
      <c r="M1" s="81" t="s">
        <v>195</v>
      </c>
    </row>
    <row r="2" spans="1:13" x14ac:dyDescent="0.15">
      <c r="A2" s="82" t="s">
        <v>200</v>
      </c>
      <c r="B2" s="83">
        <f>floors!$C$2</f>
        <v>30027</v>
      </c>
      <c r="C2" s="84" t="str">
        <f ca="1">VLOOKUP($B2,OFFSET([2]quests!$A$1,0,0,COUNTA([2]quests!$A:$A),MATCH(C$1,[2]quests!$1:$1,0)-MATCH($B$1,[2]quests!$1:$1,0)+1),MATCH(C$1,[2]quests!$1:$1,0)-MATCH($B$1,[2]quests!$1:$1,0)+1,FALSE)</f>
        <v>凍りつくまで愛してあげる</v>
      </c>
      <c r="D2" s="84" t="str">
        <f ca="1">VLOOKUP($B2,OFFSET([2]quests!$A$1,0,0,COUNTA([2]quests!$A:$A),MATCH(D$1,[2]quests!$1:$1,0)-MATCH($B$1,[2]quests!$1:$1,0)+1),MATCH(D$1,[2]quests!$1:$1,0)-MATCH($B$1,[2]quests!$1:$1,0)+1,FALSE)</f>
        <v>ドロップイベント7（マルチ専用）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" s="86">
        <v>0</v>
      </c>
      <c r="I2">
        <v>3</v>
      </c>
      <c r="J2" s="85" t="s">
        <v>197</v>
      </c>
      <c r="K2" s="94" t="str">
        <f>VLOOKUP(I2,[7]stage_hints!$A:$C,3,FALSE)</f>
        <v>ターゲット</v>
      </c>
      <c r="L2" s="95" t="str">
        <f>VLOOKUP(I2,[7]stage_hints!$A:$D,4,FALSE)</f>
        <v>敵ユニットをタップすると_x000D_その敵を狙い撃ちできます</v>
      </c>
      <c r="M2" s="57" t="s">
        <v>210</v>
      </c>
    </row>
    <row r="3" spans="1:13" x14ac:dyDescent="0.15">
      <c r="A3" s="82" t="s">
        <v>200</v>
      </c>
      <c r="B3" s="83">
        <f>floors!$C$2</f>
        <v>30027</v>
      </c>
      <c r="C3" s="84" t="str">
        <f ca="1">VLOOKUP($B3,OFFSET([2]quests!$A$1,0,0,COUNTA([2]quests!$A:$A),MATCH(C$1,[2]quests!$1:$1,0)-MATCH($B$1,[2]quests!$1:$1,0)+1),MATCH(C$1,[2]quests!$1:$1,0)-MATCH($B$1,[2]quests!$1:$1,0)+1,FALSE)</f>
        <v>凍りつくまで愛してあげる</v>
      </c>
      <c r="D3" s="84" t="str">
        <f ca="1">VLOOKUP($B3,OFFSET([2]quests!$A$1,0,0,COUNTA([2]quests!$A:$A),MATCH(D$1,[2]quests!$1:$1,0)-MATCH($B$1,[2]quests!$1:$1,0)+1),MATCH(D$1,[2]quests!$1:$1,0)-MATCH($B$1,[2]quests!$1:$1,0)+1,FALSE)</f>
        <v>ドロップイベント7（マルチ専用）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" s="86">
        <v>0</v>
      </c>
      <c r="I3">
        <v>6</v>
      </c>
      <c r="J3" s="85" t="s">
        <v>197</v>
      </c>
      <c r="K3" s="94" t="str">
        <f>VLOOKUP(I3,[7]stage_hints!$A:$C,3,FALSE)</f>
        <v>ユニット強化の属性ボーナス</v>
      </c>
      <c r="L3" s="95" t="str">
        <f>VLOOKUP(I3,[7]stage_hints!$A:$D,4,FALSE)</f>
        <v>同属性ユニットを強化素材にすると_x000D_経験値が多くもらえます</v>
      </c>
      <c r="M3" s="57" t="s">
        <v>210</v>
      </c>
    </row>
    <row r="4" spans="1:13" x14ac:dyDescent="0.15">
      <c r="A4" s="82" t="s">
        <v>200</v>
      </c>
      <c r="B4" s="83">
        <f>floors!$C$2</f>
        <v>30027</v>
      </c>
      <c r="C4" s="84" t="str">
        <f ca="1">VLOOKUP($B4,OFFSET([2]quests!$A$1,0,0,COUNTA([2]quests!$A:$A),MATCH(C$1,[2]quests!$1:$1,0)-MATCH($B$1,[2]quests!$1:$1,0)+1),MATCH(C$1,[2]quests!$1:$1,0)-MATCH($B$1,[2]quests!$1:$1,0)+1,FALSE)</f>
        <v>凍りつくまで愛してあげる</v>
      </c>
      <c r="D4" s="84" t="str">
        <f ca="1">VLOOKUP($B4,OFFSET([2]quests!$A$1,0,0,COUNTA([2]quests!$A:$A),MATCH(D$1,[2]quests!$1:$1,0)-MATCH($B$1,[2]quests!$1:$1,0)+1),MATCH(D$1,[2]quests!$1:$1,0)-MATCH($B$1,[2]quests!$1:$1,0)+1,FALSE)</f>
        <v>ドロップイベント7（マルチ専用）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" s="86">
        <v>0</v>
      </c>
      <c r="I4">
        <v>7</v>
      </c>
      <c r="J4" s="85" t="s">
        <v>197</v>
      </c>
      <c r="K4" s="94" t="str">
        <f>VLOOKUP(I4,[7]stage_hints!$A:$C,3,FALSE)</f>
        <v>メタルダックで経験値を獲得</v>
      </c>
      <c r="L4" s="95" t="str">
        <f>VLOOKUP(I4,[7]stage_hints!$A:$D,4,FALSE)</f>
        <v>「メタルなアヒル」を強化素材にすると_x000D_大量の経験値がもらえます</v>
      </c>
      <c r="M4" s="57" t="s">
        <v>210</v>
      </c>
    </row>
    <row r="5" spans="1:13" x14ac:dyDescent="0.15">
      <c r="A5" s="82" t="s">
        <v>200</v>
      </c>
      <c r="B5" s="83">
        <f>floors!$C$2</f>
        <v>30027</v>
      </c>
      <c r="C5" s="84" t="str">
        <f ca="1">VLOOKUP($B5,OFFSET([2]quests!$A$1,0,0,COUNTA([2]quests!$A:$A),MATCH(C$1,[2]quests!$1:$1,0)-MATCH($B$1,[2]quests!$1:$1,0)+1),MATCH(C$1,[2]quests!$1:$1,0)-MATCH($B$1,[2]quests!$1:$1,0)+1,FALSE)</f>
        <v>凍りつくまで愛してあげる</v>
      </c>
      <c r="D5" s="84" t="str">
        <f ca="1">VLOOKUP($B5,OFFSET([2]quests!$A$1,0,0,COUNTA([2]quests!$A:$A),MATCH(D$1,[2]quests!$1:$1,0)-MATCH($B$1,[2]quests!$1:$1,0)+1),MATCH(D$1,[2]quests!$1:$1,0)-MATCH($B$1,[2]quests!$1:$1,0)+1,FALSE)</f>
        <v>ドロップイベント7（マルチ専用）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" s="86">
        <v>0</v>
      </c>
      <c r="I5">
        <v>8</v>
      </c>
      <c r="J5" s="85" t="s">
        <v>197</v>
      </c>
      <c r="K5" s="94" t="str">
        <f>VLOOKUP(I5,[7]stage_hints!$A:$C,3,FALSE)</f>
        <v>ゲリラクエストは要チェック</v>
      </c>
      <c r="L5" s="95" t="str">
        <f>VLOOKUP(I5,[7]stage_hints!$A:$D,4,FALSE)</f>
        <v>時間限定の「アヒル捕獲作戦」では_x000D_経験値素材ユニットが多く手に入ります</v>
      </c>
      <c r="M5" s="57" t="s">
        <v>210</v>
      </c>
    </row>
    <row r="6" spans="1:13" x14ac:dyDescent="0.15">
      <c r="A6" s="82" t="s">
        <v>200</v>
      </c>
      <c r="B6" s="83">
        <f>floors!$C$2</f>
        <v>30027</v>
      </c>
      <c r="C6" s="84" t="str">
        <f ca="1">VLOOKUP($B6,OFFSET([2]quests!$A$1,0,0,COUNTA([2]quests!$A:$A),MATCH(C$1,[2]quests!$1:$1,0)-MATCH($B$1,[2]quests!$1:$1,0)+1),MATCH(C$1,[2]quests!$1:$1,0)-MATCH($B$1,[2]quests!$1:$1,0)+1,FALSE)</f>
        <v>凍りつくまで愛してあげる</v>
      </c>
      <c r="D6" s="84" t="str">
        <f ca="1">VLOOKUP($B6,OFFSET([2]quests!$A$1,0,0,COUNTA([2]quests!$A:$A),MATCH(D$1,[2]quests!$1:$1,0)-MATCH($B$1,[2]quests!$1:$1,0)+1),MATCH(D$1,[2]quests!$1:$1,0)-MATCH($B$1,[2]quests!$1:$1,0)+1,FALSE)</f>
        <v>ドロップイベント7（マルチ専用）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" s="86">
        <v>0</v>
      </c>
      <c r="I6">
        <v>9</v>
      </c>
      <c r="J6" s="85" t="s">
        <v>197</v>
      </c>
      <c r="K6" s="94" t="str">
        <f>VLOOKUP(I6,[7]stage_hints!$A:$C,3,FALSE)</f>
        <v>ゴールドダックでビットを獲得</v>
      </c>
      <c r="L6" s="95" t="str">
        <f>VLOOKUP(I6,[7]stage_hints!$A:$D,4,FALSE)</f>
        <v>「ゴールドなアヒル」を売却すると_x000D_大量のビットがもらえます</v>
      </c>
      <c r="M6" s="57" t="s">
        <v>210</v>
      </c>
    </row>
    <row r="7" spans="1:13" x14ac:dyDescent="0.15">
      <c r="A7" s="82" t="s">
        <v>200</v>
      </c>
      <c r="B7" s="83">
        <f>floors!$C$2</f>
        <v>30027</v>
      </c>
      <c r="C7" s="84" t="str">
        <f ca="1">VLOOKUP($B7,OFFSET([2]quests!$A$1,0,0,COUNTA([2]quests!$A:$A),MATCH(C$1,[2]quests!$1:$1,0)-MATCH($B$1,[2]quests!$1:$1,0)+1),MATCH(C$1,[2]quests!$1:$1,0)-MATCH($B$1,[2]quests!$1:$1,0)+1,FALSE)</f>
        <v>凍りつくまで愛してあげる</v>
      </c>
      <c r="D7" s="84" t="str">
        <f ca="1">VLOOKUP($B7,OFFSET([2]quests!$A$1,0,0,COUNTA([2]quests!$A:$A),MATCH(D$1,[2]quests!$1:$1,0)-MATCH($B$1,[2]quests!$1:$1,0)+1),MATCH(D$1,[2]quests!$1:$1,0)-MATCH($B$1,[2]quests!$1:$1,0)+1,FALSE)</f>
        <v>ドロップイベント7（マルチ専用）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" s="86">
        <v>0</v>
      </c>
      <c r="I7">
        <v>10</v>
      </c>
      <c r="J7" s="85" t="s">
        <v>197</v>
      </c>
      <c r="K7" s="94" t="str">
        <f>VLOOKUP(I7,[7]stage_hints!$A:$C,3,FALSE)</f>
        <v>土日に大量のビットを獲得</v>
      </c>
      <c r="L7" s="95" t="str">
        <f>VLOOKUP(I7,[7]stage_hints!$A:$D,4,FALSE)</f>
        <v>土日限定の「ゴールドカジノ」では_x000D_売却素材ユニットが多く手に入ります</v>
      </c>
      <c r="M7" s="57" t="s">
        <v>210</v>
      </c>
    </row>
    <row r="8" spans="1:13" x14ac:dyDescent="0.15">
      <c r="A8" s="82" t="s">
        <v>200</v>
      </c>
      <c r="B8" s="83">
        <f>floors!$C$2</f>
        <v>30027</v>
      </c>
      <c r="C8" s="84" t="str">
        <f ca="1">VLOOKUP($B8,OFFSET([2]quests!$A$1,0,0,COUNTA([2]quests!$A:$A),MATCH(C$1,[2]quests!$1:$1,0)-MATCH($B$1,[2]quests!$1:$1,0)+1),MATCH(C$1,[2]quests!$1:$1,0)-MATCH($B$1,[2]quests!$1:$1,0)+1,FALSE)</f>
        <v>凍りつくまで愛してあげる</v>
      </c>
      <c r="D8" s="84" t="str">
        <f ca="1">VLOOKUP($B8,OFFSET([2]quests!$A$1,0,0,COUNTA([2]quests!$A:$A),MATCH(D$1,[2]quests!$1:$1,0)-MATCH($B$1,[2]quests!$1:$1,0)+1),MATCH(D$1,[2]quests!$1:$1,0)-MATCH($B$1,[2]quests!$1:$1,0)+1,FALSE)</f>
        <v>ドロップイベント7（マルチ専用）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" s="86">
        <v>0</v>
      </c>
      <c r="I8">
        <v>11</v>
      </c>
      <c r="J8" s="85" t="s">
        <v>197</v>
      </c>
      <c r="K8" s="94" t="str">
        <f>VLOOKUP(I8,[7]stage_hints!$A:$C,3,FALSE)</f>
        <v>ランク解放クエスト</v>
      </c>
      <c r="L8" s="95" t="str">
        <f>VLOOKUP(I8,[7]stage_hints!$A:$D,4,FALSE)</f>
        <v>一定ランクに到達すると_x000D_報酬付きのランク開放クエストが現れます</v>
      </c>
      <c r="M8" s="57" t="s">
        <v>210</v>
      </c>
    </row>
    <row r="9" spans="1:13" x14ac:dyDescent="0.15">
      <c r="A9" s="82" t="s">
        <v>200</v>
      </c>
      <c r="B9" s="83">
        <f>floors!$C$2</f>
        <v>30027</v>
      </c>
      <c r="C9" s="84" t="str">
        <f ca="1">VLOOKUP($B9,OFFSET([2]quests!$A$1,0,0,COUNTA([2]quests!$A:$A),MATCH(C$1,[2]quests!$1:$1,0)-MATCH($B$1,[2]quests!$1:$1,0)+1),MATCH(C$1,[2]quests!$1:$1,0)-MATCH($B$1,[2]quests!$1:$1,0)+1,FALSE)</f>
        <v>凍りつくまで愛してあげる</v>
      </c>
      <c r="D9" s="84" t="str">
        <f ca="1">VLOOKUP($B9,OFFSET([2]quests!$A$1,0,0,COUNTA([2]quests!$A:$A),MATCH(D$1,[2]quests!$1:$1,0)-MATCH($B$1,[2]quests!$1:$1,0)+1),MATCH(D$1,[2]quests!$1:$1,0)-MATCH($B$1,[2]quests!$1:$1,0)+1,FALSE)</f>
        <v>ドロップイベント7（マルチ専用）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9" s="86">
        <v>0</v>
      </c>
      <c r="I9">
        <v>12</v>
      </c>
      <c r="J9" s="85" t="s">
        <v>197</v>
      </c>
      <c r="K9" s="94" t="str">
        <f>VLOOKUP(I9,[7]stage_hints!$A:$C,3,FALSE)</f>
        <v>ユニットのお気に入り登録</v>
      </c>
      <c r="L9" s="95" t="str">
        <f>VLOOKUP(I9,[7]stage_hints!$A:$D,4,FALSE)</f>
        <v>大事なユニットを誤って消さないように_x000D_フォルダから「お気に入り登録」しましょう</v>
      </c>
      <c r="M9" s="57" t="s">
        <v>210</v>
      </c>
    </row>
    <row r="10" spans="1:13" x14ac:dyDescent="0.15">
      <c r="A10" s="82" t="s">
        <v>200</v>
      </c>
      <c r="B10" s="83">
        <f>floors!$C$2</f>
        <v>30027</v>
      </c>
      <c r="C10" s="84" t="str">
        <f ca="1">VLOOKUP($B10,OFFSET([2]quests!$A$1,0,0,COUNTA([2]quests!$A:$A),MATCH(C$1,[2]quests!$1:$1,0)-MATCH($B$1,[2]quests!$1:$1,0)+1),MATCH(C$1,[2]quests!$1:$1,0)-MATCH($B$1,[2]quests!$1:$1,0)+1,FALSE)</f>
        <v>凍りつくまで愛してあげる</v>
      </c>
      <c r="D10" s="84" t="str">
        <f ca="1">VLOOKUP($B10,OFFSET([2]quests!$A$1,0,0,COUNTA([2]quests!$A:$A),MATCH(D$1,[2]quests!$1:$1,0)-MATCH($B$1,[2]quests!$1:$1,0)+1),MATCH(D$1,[2]quests!$1:$1,0)-MATCH($B$1,[2]quests!$1:$1,0)+1,FALSE)</f>
        <v>ドロップイベント7（マルチ専用）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0" s="86">
        <v>0</v>
      </c>
      <c r="I10">
        <v>13</v>
      </c>
      <c r="J10" s="85" t="s">
        <v>197</v>
      </c>
      <c r="K10" s="94" t="str">
        <f>VLOOKUP(I10,[7]stage_hints!$A:$C,3,FALSE)</f>
        <v>ユニットの覚醒</v>
      </c>
      <c r="L10" s="95" t="str">
        <f>VLOOKUP(I10,[7]stage_hints!$A:$D,4,FALSE)</f>
        <v>ユニットを覚醒させると_x000D_比べものにならない強さが手に入ります</v>
      </c>
      <c r="M10" s="57" t="s">
        <v>210</v>
      </c>
    </row>
    <row r="11" spans="1:13" x14ac:dyDescent="0.15">
      <c r="A11" s="82" t="s">
        <v>200</v>
      </c>
      <c r="B11" s="83">
        <f>floors!$C$2</f>
        <v>30027</v>
      </c>
      <c r="C11" s="84" t="str">
        <f ca="1">VLOOKUP($B11,OFFSET([2]quests!$A$1,0,0,COUNTA([2]quests!$A:$A),MATCH(C$1,[2]quests!$1:$1,0)-MATCH($B$1,[2]quests!$1:$1,0)+1),MATCH(C$1,[2]quests!$1:$1,0)-MATCH($B$1,[2]quests!$1:$1,0)+1,FALSE)</f>
        <v>凍りつくまで愛してあげる</v>
      </c>
      <c r="D11" s="84" t="str">
        <f ca="1">VLOOKUP($B11,OFFSET([2]quests!$A$1,0,0,COUNTA([2]quests!$A:$A),MATCH(D$1,[2]quests!$1:$1,0)-MATCH($B$1,[2]quests!$1:$1,0)+1),MATCH(D$1,[2]quests!$1:$1,0)-MATCH($B$1,[2]quests!$1:$1,0)+1,FALSE)</f>
        <v>ドロップイベント7（マルチ専用）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1" s="86">
        <v>0</v>
      </c>
      <c r="I11">
        <v>14</v>
      </c>
      <c r="J11" s="85" t="s">
        <v>197</v>
      </c>
      <c r="K11" s="94" t="str">
        <f>VLOOKUP(I11,[7]stage_hints!$A:$C,3,FALSE)</f>
        <v>覚醒するにはレベルを最大に</v>
      </c>
      <c r="L11" s="95" t="str">
        <f>VLOOKUP(I11,[7]stage_hints!$A:$D,4,FALSE)</f>
        <v>覚醒するにはユニットのレベルを_x000D_最大まで上げる必要があります</v>
      </c>
      <c r="M11" s="57" t="s">
        <v>210</v>
      </c>
    </row>
    <row r="12" spans="1:13" x14ac:dyDescent="0.15">
      <c r="A12" s="82" t="s">
        <v>200</v>
      </c>
      <c r="B12" s="83">
        <f>floors!$C$2</f>
        <v>30027</v>
      </c>
      <c r="C12" s="84" t="str">
        <f ca="1">VLOOKUP($B12,OFFSET([2]quests!$A$1,0,0,COUNTA([2]quests!$A:$A),MATCH(C$1,[2]quests!$1:$1,0)-MATCH($B$1,[2]quests!$1:$1,0)+1),MATCH(C$1,[2]quests!$1:$1,0)-MATCH($B$1,[2]quests!$1:$1,0)+1,FALSE)</f>
        <v>凍りつくまで愛してあげる</v>
      </c>
      <c r="D12" s="84" t="str">
        <f ca="1">VLOOKUP($B12,OFFSET([2]quests!$A$1,0,0,COUNTA([2]quests!$A:$A),MATCH(D$1,[2]quests!$1:$1,0)-MATCH($B$1,[2]quests!$1:$1,0)+1),MATCH(D$1,[2]quests!$1:$1,0)-MATCH($B$1,[2]quests!$1:$1,0)+1,FALSE)</f>
        <v>ドロップイベント7（マルチ専用）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2" s="86">
        <v>0</v>
      </c>
      <c r="I12">
        <v>15</v>
      </c>
      <c r="J12" s="85" t="s">
        <v>197</v>
      </c>
      <c r="K12" s="94" t="str">
        <f>VLOOKUP(I12,[7]stage_hints!$A:$C,3,FALSE)</f>
        <v>覚醒素材を獲得</v>
      </c>
      <c r="L12" s="95" t="str">
        <f>VLOOKUP(I12,[7]stage_hints!$A:$D,4,FALSE)</f>
        <v>「曜日クエスト」では_x000D_ユニットの覚醒に必要な素材が手に入ります</v>
      </c>
      <c r="M12" s="57" t="s">
        <v>210</v>
      </c>
    </row>
    <row r="13" spans="1:13" x14ac:dyDescent="0.15">
      <c r="A13" s="82" t="s">
        <v>200</v>
      </c>
      <c r="B13" s="83">
        <f>floors!$C$2</f>
        <v>30027</v>
      </c>
      <c r="C13" s="84" t="str">
        <f ca="1">VLOOKUP($B13,OFFSET([2]quests!$A$1,0,0,COUNTA([2]quests!$A:$A),MATCH(C$1,[2]quests!$1:$1,0)-MATCH($B$1,[2]quests!$1:$1,0)+1),MATCH(C$1,[2]quests!$1:$1,0)-MATCH($B$1,[2]quests!$1:$1,0)+1,FALSE)</f>
        <v>凍りつくまで愛してあげる</v>
      </c>
      <c r="D13" s="84" t="str">
        <f ca="1">VLOOKUP($B13,OFFSET([2]quests!$A$1,0,0,COUNTA([2]quests!$A:$A),MATCH(D$1,[2]quests!$1:$1,0)-MATCH($B$1,[2]quests!$1:$1,0)+1),MATCH(D$1,[2]quests!$1:$1,0)-MATCH($B$1,[2]quests!$1:$1,0)+1,FALSE)</f>
        <v>ドロップイベント7（マルチ専用）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3" s="86">
        <v>0</v>
      </c>
      <c r="I13">
        <v>16</v>
      </c>
      <c r="J13" s="85" t="s">
        <v>197</v>
      </c>
      <c r="K13" s="94" t="str">
        <f>VLOOKUP(I13,[7]stage_hints!$A:$C,3,FALSE)</f>
        <v>マルチプレイのメリット（その1）</v>
      </c>
      <c r="L13" s="95" t="str">
        <f>VLOOKUP(I13,[7]stage_hints!$A:$D,4,FALSE)</f>
        <v>他のプレイヤーとマルチプレイで遊ぶと_x000D_ポリゴンがもらえます（100人まで）</v>
      </c>
      <c r="M13" s="57" t="s">
        <v>210</v>
      </c>
    </row>
    <row r="14" spans="1:13" x14ac:dyDescent="0.15">
      <c r="A14" s="82" t="s">
        <v>200</v>
      </c>
      <c r="B14" s="83">
        <f>floors!$C$2</f>
        <v>30027</v>
      </c>
      <c r="C14" s="84" t="str">
        <f ca="1">VLOOKUP($B14,OFFSET([2]quests!$A$1,0,0,COUNTA([2]quests!$A:$A),MATCH(C$1,[2]quests!$1:$1,0)-MATCH($B$1,[2]quests!$1:$1,0)+1),MATCH(C$1,[2]quests!$1:$1,0)-MATCH($B$1,[2]quests!$1:$1,0)+1,FALSE)</f>
        <v>凍りつくまで愛してあげる</v>
      </c>
      <c r="D14" s="84" t="str">
        <f ca="1">VLOOKUP($B14,OFFSET([2]quests!$A$1,0,0,COUNTA([2]quests!$A:$A),MATCH(D$1,[2]quests!$1:$1,0)-MATCH($B$1,[2]quests!$1:$1,0)+1),MATCH(D$1,[2]quests!$1:$1,0)-MATCH($B$1,[2]quests!$1:$1,0)+1,FALSE)</f>
        <v>ドロップイベント7（マルチ専用）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4" s="86">
        <v>0</v>
      </c>
      <c r="I14">
        <v>17</v>
      </c>
      <c r="J14" s="85" t="s">
        <v>197</v>
      </c>
      <c r="K14" s="94" t="str">
        <f>VLOOKUP(I14,[7]stage_hints!$A:$C,3,FALSE)</f>
        <v>リンクガチャ</v>
      </c>
      <c r="L14" s="95" t="str">
        <f>VLOOKUP(I14,[7]stage_hints!$A:$D,4,FALSE)</f>
        <v>無料のリンクガチャを回して_x000D_経験値素材や売却素材を獲得しましょう</v>
      </c>
      <c r="M14" s="57" t="s">
        <v>210</v>
      </c>
    </row>
    <row r="15" spans="1:13" x14ac:dyDescent="0.15">
      <c r="A15" s="82" t="s">
        <v>200</v>
      </c>
      <c r="B15" s="83">
        <f>floors!$C$2</f>
        <v>30027</v>
      </c>
      <c r="C15" s="84" t="str">
        <f ca="1">VLOOKUP($B15,OFFSET([2]quests!$A$1,0,0,COUNTA([2]quests!$A:$A),MATCH(C$1,[2]quests!$1:$1,0)-MATCH($B$1,[2]quests!$1:$1,0)+1),MATCH(C$1,[2]quests!$1:$1,0)-MATCH($B$1,[2]quests!$1:$1,0)+1,FALSE)</f>
        <v>凍りつくまで愛してあげる</v>
      </c>
      <c r="D15" s="84" t="str">
        <f ca="1">VLOOKUP($B15,OFFSET([2]quests!$A$1,0,0,COUNTA([2]quests!$A:$A),MATCH(D$1,[2]quests!$1:$1,0)-MATCH($B$1,[2]quests!$1:$1,0)+1),MATCH(D$1,[2]quests!$1:$1,0)-MATCH($B$1,[2]quests!$1:$1,0)+1,FALSE)</f>
        <v>ドロップイベント7（マルチ専用）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5" s="86">
        <v>0</v>
      </c>
      <c r="I15">
        <v>18</v>
      </c>
      <c r="J15" s="85" t="s">
        <v>197</v>
      </c>
      <c r="K15" s="94" t="str">
        <f>VLOOKUP(I15,[7]stage_hints!$A:$C,3,FALSE)</f>
        <v>マルチプレイのメリット（その2）</v>
      </c>
      <c r="L15" s="95" t="str">
        <f>VLOOKUP(I15,[7]stage_hints!$A:$D,4,FALSE)</f>
        <v>マルチプレイならリンクが2倍もらえます_x000D_リンクガチャをたくさん回しましょう</v>
      </c>
      <c r="M15" s="57" t="s">
        <v>210</v>
      </c>
    </row>
    <row r="16" spans="1:13" x14ac:dyDescent="0.15">
      <c r="A16" s="82" t="s">
        <v>200</v>
      </c>
      <c r="B16" s="83">
        <f>floors!$C$2</f>
        <v>30027</v>
      </c>
      <c r="C16" s="84" t="str">
        <f ca="1">VLOOKUP($B16,OFFSET([2]quests!$A$1,0,0,COUNTA([2]quests!$A:$A),MATCH(C$1,[2]quests!$1:$1,0)-MATCH($B$1,[2]quests!$1:$1,0)+1),MATCH(C$1,[2]quests!$1:$1,0)-MATCH($B$1,[2]quests!$1:$1,0)+1,FALSE)</f>
        <v>凍りつくまで愛してあげる</v>
      </c>
      <c r="D16" s="84" t="str">
        <f ca="1">VLOOKUP($B16,OFFSET([2]quests!$A$1,0,0,COUNTA([2]quests!$A:$A),MATCH(D$1,[2]quests!$1:$1,0)-MATCH($B$1,[2]quests!$1:$1,0)+1),MATCH(D$1,[2]quests!$1:$1,0)-MATCH($B$1,[2]quests!$1:$1,0)+1,FALSE)</f>
        <v>ドロップイベント7（マルチ専用）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6" s="86">
        <v>0</v>
      </c>
      <c r="I16">
        <v>19</v>
      </c>
      <c r="J16" s="85" t="s">
        <v>197</v>
      </c>
      <c r="K16" s="94" t="str">
        <f>VLOOKUP(I16,[7]stage_hints!$A:$C,3,FALSE)</f>
        <v>ソロ専用タワーオブザクイーン</v>
      </c>
      <c r="L16" s="95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210</v>
      </c>
    </row>
    <row r="17" spans="1:13" x14ac:dyDescent="0.15">
      <c r="A17" s="82" t="s">
        <v>200</v>
      </c>
      <c r="B17" s="83">
        <f>floors!$C$2</f>
        <v>30027</v>
      </c>
      <c r="C17" s="84" t="str">
        <f ca="1">VLOOKUP($B17,OFFSET([2]quests!$A$1,0,0,COUNTA([2]quests!$A:$A),MATCH(C$1,[2]quests!$1:$1,0)-MATCH($B$1,[2]quests!$1:$1,0)+1),MATCH(C$1,[2]quests!$1:$1,0)-MATCH($B$1,[2]quests!$1:$1,0)+1,FALSE)</f>
        <v>凍りつくまで愛してあげる</v>
      </c>
      <c r="D17" s="84" t="str">
        <f ca="1">VLOOKUP($B17,OFFSET([2]quests!$A$1,0,0,COUNTA([2]quests!$A:$A),MATCH(D$1,[2]quests!$1:$1,0)-MATCH($B$1,[2]quests!$1:$1,0)+1),MATCH(D$1,[2]quests!$1:$1,0)-MATCH($B$1,[2]quests!$1:$1,0)+1,FALSE)</f>
        <v>ドロップイベント7（マルチ専用）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7" s="86">
        <v>0</v>
      </c>
      <c r="I17">
        <v>20</v>
      </c>
      <c r="J17" s="85" t="s">
        <v>197</v>
      </c>
      <c r="K17" s="94" t="str">
        <f>VLOOKUP(I17,[7]stage_hints!$A:$C,3,FALSE)</f>
        <v>マルチプレイのメリット（その3）</v>
      </c>
      <c r="L17" s="95" t="str">
        <f>VLOOKUP(I17,[7]stage_hints!$A:$D,4,FALSE)</f>
        <v>マルチプレイへの参加はエナジー消費ゼロ_x000D_いつでも好きなだけ遊ぶことができます</v>
      </c>
      <c r="M17" s="57" t="s">
        <v>210</v>
      </c>
    </row>
    <row r="18" spans="1:13" x14ac:dyDescent="0.15">
      <c r="A18" s="82" t="s">
        <v>200</v>
      </c>
      <c r="B18" s="83">
        <f>floors!$C$2</f>
        <v>30027</v>
      </c>
      <c r="C18" s="84" t="str">
        <f ca="1">VLOOKUP($B18,OFFSET([2]quests!$A$1,0,0,COUNTA([2]quests!$A:$A),MATCH(C$1,[2]quests!$1:$1,0)-MATCH($B$1,[2]quests!$1:$1,0)+1),MATCH(C$1,[2]quests!$1:$1,0)-MATCH($B$1,[2]quests!$1:$1,0)+1,FALSE)</f>
        <v>凍りつくまで愛してあげる</v>
      </c>
      <c r="D18" s="84" t="str">
        <f ca="1">VLOOKUP($B18,OFFSET([2]quests!$A$1,0,0,COUNTA([2]quests!$A:$A),MATCH(D$1,[2]quests!$1:$1,0)-MATCH($B$1,[2]quests!$1:$1,0)+1),MATCH(D$1,[2]quests!$1:$1,0)-MATCH($B$1,[2]quests!$1:$1,0)+1,FALSE)</f>
        <v>ドロップイベント7（マルチ専用）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8" s="86">
        <v>0</v>
      </c>
      <c r="I18">
        <v>21</v>
      </c>
      <c r="J18" s="85" t="s">
        <v>197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210</v>
      </c>
    </row>
    <row r="19" spans="1:13" x14ac:dyDescent="0.15">
      <c r="A19" s="82" t="s">
        <v>200</v>
      </c>
      <c r="B19" s="83">
        <f>floors!$C$2</f>
        <v>30027</v>
      </c>
      <c r="C19" s="84" t="str">
        <f ca="1">VLOOKUP($B19,OFFSET([2]quests!$A$1,0,0,COUNTA([2]quests!$A:$A),MATCH(C$1,[2]quests!$1:$1,0)-MATCH($B$1,[2]quests!$1:$1,0)+1),MATCH(C$1,[2]quests!$1:$1,0)-MATCH($B$1,[2]quests!$1:$1,0)+1,FALSE)</f>
        <v>凍りつくまで愛してあげる</v>
      </c>
      <c r="D19" s="84" t="str">
        <f ca="1">VLOOKUP($B19,OFFSET([2]quests!$A$1,0,0,COUNTA([2]quests!$A:$A),MATCH(D$1,[2]quests!$1:$1,0)-MATCH($B$1,[2]quests!$1:$1,0)+1),MATCH(D$1,[2]quests!$1:$1,0)-MATCH($B$1,[2]quests!$1:$1,0)+1,FALSE)</f>
        <v>ドロップイベント7（マルチ専用）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9" s="86">
        <v>0</v>
      </c>
      <c r="I19">
        <v>22</v>
      </c>
      <c r="J19" s="85" t="s">
        <v>197</v>
      </c>
      <c r="K19" s="94" t="str">
        <f>VLOOKUP(I19,[7]stage_hints!$A:$C,3,FALSE)</f>
        <v>フィーバーで一発逆転（その1）</v>
      </c>
      <c r="L19" s="95" t="str">
        <f>VLOOKUP(I19,[7]stage_hints!$A:$D,4,FALSE)</f>
        <v>フィーバーは攻撃と回復を兼ね備えます_x000D_ピンチからの一発逆転を狙いましょう</v>
      </c>
      <c r="M19" s="57" t="s">
        <v>210</v>
      </c>
    </row>
    <row r="20" spans="1:13" x14ac:dyDescent="0.15">
      <c r="A20" s="82" t="s">
        <v>200</v>
      </c>
      <c r="B20" s="83">
        <f>floors!$C$2</f>
        <v>30027</v>
      </c>
      <c r="C20" s="84" t="str">
        <f ca="1">VLOOKUP($B20,OFFSET([2]quests!$A$1,0,0,COUNTA([2]quests!$A:$A),MATCH(C$1,[2]quests!$1:$1,0)-MATCH($B$1,[2]quests!$1:$1,0)+1),MATCH(C$1,[2]quests!$1:$1,0)-MATCH($B$1,[2]quests!$1:$1,0)+1,FALSE)</f>
        <v>凍りつくまで愛してあげる</v>
      </c>
      <c r="D20" s="84" t="str">
        <f ca="1">VLOOKUP($B20,OFFSET([2]quests!$A$1,0,0,COUNTA([2]quests!$A:$A),MATCH(D$1,[2]quests!$1:$1,0)-MATCH($B$1,[2]quests!$1:$1,0)+1),MATCH(D$1,[2]quests!$1:$1,0)-MATCH($B$1,[2]quests!$1:$1,0)+1,FALSE)</f>
        <v>ドロップイベント7（マルチ専用）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0" s="86">
        <v>0</v>
      </c>
      <c r="I20">
        <v>23</v>
      </c>
      <c r="J20" s="85" t="s">
        <v>197</v>
      </c>
      <c r="K20" s="94" t="str">
        <f>VLOOKUP(I20,[7]stage_hints!$A:$C,3,FALSE)</f>
        <v>フィーバーで一発逆転（その2）</v>
      </c>
      <c r="L20" s="95" t="str">
        <f>VLOOKUP(I20,[7]stage_hints!$A:$D,4,FALSE)</f>
        <v>フィーバー中は虹色のボムパネルを狙って_x000D_画面上のパネルを一気に破壊しましょう</v>
      </c>
      <c r="M20" s="57" t="s">
        <v>210</v>
      </c>
    </row>
    <row r="21" spans="1:13" x14ac:dyDescent="0.15">
      <c r="A21" s="82" t="s">
        <v>200</v>
      </c>
      <c r="B21" s="83">
        <f>floors!$C$2</f>
        <v>30027</v>
      </c>
      <c r="C21" s="84" t="str">
        <f ca="1">VLOOKUP($B21,OFFSET([2]quests!$A$1,0,0,COUNTA([2]quests!$A:$A),MATCH(C$1,[2]quests!$1:$1,0)-MATCH($B$1,[2]quests!$1:$1,0)+1),MATCH(C$1,[2]quests!$1:$1,0)-MATCH($B$1,[2]quests!$1:$1,0)+1,FALSE)</f>
        <v>凍りつくまで愛してあげる</v>
      </c>
      <c r="D21" s="84" t="str">
        <f ca="1">VLOOKUP($B21,OFFSET([2]quests!$A$1,0,0,COUNTA([2]quests!$A:$A),MATCH(D$1,[2]quests!$1:$1,0)-MATCH($B$1,[2]quests!$1:$1,0)+1),MATCH(D$1,[2]quests!$1:$1,0)-MATCH($B$1,[2]quests!$1:$1,0)+1,FALSE)</f>
        <v>ドロップイベント7（マルチ専用）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1" s="86">
        <v>0</v>
      </c>
      <c r="I21">
        <v>24</v>
      </c>
      <c r="J21" s="85" t="s">
        <v>197</v>
      </c>
      <c r="K21" s="94" t="str">
        <f>VLOOKUP(I21,[7]stage_hints!$A:$C,3,FALSE)</f>
        <v>果実を使って限界突破</v>
      </c>
      <c r="L21" s="95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210</v>
      </c>
    </row>
    <row r="22" spans="1:13" x14ac:dyDescent="0.15">
      <c r="A22" s="82" t="s">
        <v>200</v>
      </c>
      <c r="B22" s="83">
        <f>floors!$C$2</f>
        <v>30027</v>
      </c>
      <c r="C22" s="84" t="str">
        <f ca="1">VLOOKUP($B22,OFFSET([2]quests!$A$1,0,0,COUNTA([2]quests!$A:$A),MATCH(C$1,[2]quests!$1:$1,0)-MATCH($B$1,[2]quests!$1:$1,0)+1),MATCH(C$1,[2]quests!$1:$1,0)-MATCH($B$1,[2]quests!$1:$1,0)+1,FALSE)</f>
        <v>凍りつくまで愛してあげる</v>
      </c>
      <c r="D22" s="84" t="str">
        <f ca="1">VLOOKUP($B22,OFFSET([2]quests!$A$1,0,0,COUNTA([2]quests!$A:$A),MATCH(D$1,[2]quests!$1:$1,0)-MATCH($B$1,[2]quests!$1:$1,0)+1),MATCH(D$1,[2]quests!$1:$1,0)-MATCH($B$1,[2]quests!$1:$1,0)+1,FALSE)</f>
        <v>ドロップイベント7（マルチ専用）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2" s="86">
        <v>0</v>
      </c>
      <c r="I22">
        <v>25</v>
      </c>
      <c r="J22" s="85" t="s">
        <v>197</v>
      </c>
      <c r="K22" s="94" t="str">
        <f>VLOOKUP(I22,[7]stage_hints!$A:$C,3,FALSE)</f>
        <v>スキルレベルアップ</v>
      </c>
      <c r="L22" s="95" t="str">
        <f>VLOOKUP(I22,[7]stage_hints!$A:$D,4,FALSE)</f>
        <v>「秘術の果実」を強化に使うと_x000D_スキルレベルを上げることができます</v>
      </c>
      <c r="M22" s="57" t="s">
        <v>210</v>
      </c>
    </row>
    <row r="23" spans="1:13" x14ac:dyDescent="0.15">
      <c r="A23" s="82" t="s">
        <v>200</v>
      </c>
      <c r="B23" s="83">
        <f>floors!$C$2</f>
        <v>30027</v>
      </c>
      <c r="C23" s="84" t="str">
        <f ca="1">VLOOKUP($B23,OFFSET([2]quests!$A$1,0,0,COUNTA([2]quests!$A:$A),MATCH(C$1,[2]quests!$1:$1,0)-MATCH($B$1,[2]quests!$1:$1,0)+1),MATCH(C$1,[2]quests!$1:$1,0)-MATCH($B$1,[2]quests!$1:$1,0)+1,FALSE)</f>
        <v>凍りつくまで愛してあげる</v>
      </c>
      <c r="D23" s="84" t="str">
        <f ca="1">VLOOKUP($B23,OFFSET([2]quests!$A$1,0,0,COUNTA([2]quests!$A:$A),MATCH(D$1,[2]quests!$1:$1,0)-MATCH($B$1,[2]quests!$1:$1,0)+1),MATCH(D$1,[2]quests!$1:$1,0)-MATCH($B$1,[2]quests!$1:$1,0)+1,FALSE)</f>
        <v>ドロップイベント7（マルチ専用）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3" s="86">
        <v>0</v>
      </c>
      <c r="I23">
        <v>26</v>
      </c>
      <c r="J23" s="85" t="s">
        <v>197</v>
      </c>
      <c r="K23" s="94" t="str">
        <f>VLOOKUP(I23,[7]stage_hints!$A:$C,3,FALSE)</f>
        <v>スキルレベルの効果</v>
      </c>
      <c r="L23" s="95" t="str">
        <f>VLOOKUP(I23,[7]stage_hints!$A:$D,4,FALSE)</f>
        <v>スキルレベルが上がると_x000D_短いターンでスキルを使うことができます</v>
      </c>
      <c r="M23" s="57" t="s">
        <v>210</v>
      </c>
    </row>
    <row r="24" spans="1:13" x14ac:dyDescent="0.15">
      <c r="A24" s="82" t="s">
        <v>200</v>
      </c>
      <c r="B24" s="83">
        <f>floors!$C$2</f>
        <v>30027</v>
      </c>
      <c r="C24" s="84" t="str">
        <f ca="1">VLOOKUP($B24,OFFSET([2]quests!$A$1,0,0,COUNTA([2]quests!$A:$A),MATCH(C$1,[2]quests!$1:$1,0)-MATCH($B$1,[2]quests!$1:$1,0)+1),MATCH(C$1,[2]quests!$1:$1,0)-MATCH($B$1,[2]quests!$1:$1,0)+1,FALSE)</f>
        <v>凍りつくまで愛してあげる</v>
      </c>
      <c r="D24" s="84" t="str">
        <f ca="1">VLOOKUP($B24,OFFSET([2]quests!$A$1,0,0,COUNTA([2]quests!$A:$A),MATCH(D$1,[2]quests!$1:$1,0)-MATCH($B$1,[2]quests!$1:$1,0)+1),MATCH(D$1,[2]quests!$1:$1,0)-MATCH($B$1,[2]quests!$1:$1,0)+1,FALSE)</f>
        <v>ドロップイベント7（マルチ専用）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4" s="86">
        <v>0</v>
      </c>
      <c r="I24">
        <v>27</v>
      </c>
      <c r="J24" s="85" t="s">
        <v>197</v>
      </c>
      <c r="K24" s="94" t="str">
        <f>VLOOKUP(I24,[7]stage_hints!$A:$C,3,FALSE)</f>
        <v>ホーム画面からデッキを編成</v>
      </c>
      <c r="L24" s="95" t="str">
        <f>VLOOKUP(I24,[7]stage_hints!$A:$D,4,FALSE)</f>
        <v>ホーム画面でユニットを長押しすると_x000D_すぐにパーティ編成に移動できます</v>
      </c>
      <c r="M24" s="57" t="s">
        <v>210</v>
      </c>
    </row>
    <row r="25" spans="1:13" x14ac:dyDescent="0.15">
      <c r="A25" s="82" t="s">
        <v>200</v>
      </c>
      <c r="B25" s="83">
        <f>floors!$C$2</f>
        <v>30027</v>
      </c>
      <c r="C25" s="84" t="str">
        <f ca="1">VLOOKUP($B25,OFFSET([2]quests!$A$1,0,0,COUNTA([2]quests!$A:$A),MATCH(C$1,[2]quests!$1:$1,0)-MATCH($B$1,[2]quests!$1:$1,0)+1),MATCH(C$1,[2]quests!$1:$1,0)-MATCH($B$1,[2]quests!$1:$1,0)+1,FALSE)</f>
        <v>凍りつくまで愛してあげる</v>
      </c>
      <c r="D25" s="84" t="str">
        <f ca="1">VLOOKUP($B25,OFFSET([2]quests!$A$1,0,0,COUNTA([2]quests!$A:$A),MATCH(D$1,[2]quests!$1:$1,0)-MATCH($B$1,[2]quests!$1:$1,0)+1),MATCH(D$1,[2]quests!$1:$1,0)-MATCH($B$1,[2]quests!$1:$1,0)+1,FALSE)</f>
        <v>ドロップイベント7（マルチ専用）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5" s="86">
        <v>0</v>
      </c>
      <c r="I25">
        <v>28</v>
      </c>
      <c r="J25" s="85" t="s">
        <v>197</v>
      </c>
      <c r="K25" s="94" t="str">
        <f>VLOOKUP(I25,[7]stage_hints!$A:$C,3,FALSE)</f>
        <v>ステータス情報は長押しで</v>
      </c>
      <c r="L25" s="95" t="str">
        <f>VLOOKUP(I25,[7]stage_hints!$A:$D,4,FALSE)</f>
        <v>ユニットのアイコンを長押しすると_x000D_ステータス情報を確認することができます</v>
      </c>
      <c r="M25" s="57" t="s">
        <v>210</v>
      </c>
    </row>
    <row r="26" spans="1:13" x14ac:dyDescent="0.15">
      <c r="A26" s="82" t="s">
        <v>200</v>
      </c>
      <c r="B26" s="83">
        <f>floors!$C$2</f>
        <v>30027</v>
      </c>
      <c r="C26" s="84" t="str">
        <f ca="1">VLOOKUP($B26,OFFSET([2]quests!$A$1,0,0,COUNTA([2]quests!$A:$A),MATCH(C$1,[2]quests!$1:$1,0)-MATCH($B$1,[2]quests!$1:$1,0)+1),MATCH(C$1,[2]quests!$1:$1,0)-MATCH($B$1,[2]quests!$1:$1,0)+1,FALSE)</f>
        <v>凍りつくまで愛してあげる</v>
      </c>
      <c r="D26" s="84" t="str">
        <f ca="1">VLOOKUP($B26,OFFSET([2]quests!$A$1,0,0,COUNTA([2]quests!$A:$A),MATCH(D$1,[2]quests!$1:$1,0)-MATCH($B$1,[2]quests!$1:$1,0)+1),MATCH(D$1,[2]quests!$1:$1,0)-MATCH($B$1,[2]quests!$1:$1,0)+1,FALSE)</f>
        <v>ドロップイベント7（マルチ専用）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6" s="86">
        <v>0</v>
      </c>
      <c r="I26">
        <v>29</v>
      </c>
      <c r="J26" s="85" t="s">
        <v>197</v>
      </c>
      <c r="K26" s="94" t="str">
        <f>VLOOKUP(I26,[7]stage_hints!$A:$C,3,FALSE)</f>
        <v>「バグ」のメリット</v>
      </c>
      <c r="L26" s="95" t="str">
        <f>VLOOKUP(I26,[7]stage_hints!$A:$D,4,FALSE)</f>
        <v>ユニットの「バグ」を増やすと_x000D_報酬をもらえる確率がアップします</v>
      </c>
      <c r="M26" s="57" t="s">
        <v>210</v>
      </c>
    </row>
    <row r="27" spans="1:13" x14ac:dyDescent="0.15">
      <c r="A27" s="82" t="s">
        <v>200</v>
      </c>
      <c r="B27" s="83">
        <f>floors!$C$2</f>
        <v>30027</v>
      </c>
      <c r="C27" s="84" t="str">
        <f ca="1">VLOOKUP($B27,OFFSET([2]quests!$A$1,0,0,COUNTA([2]quests!$A:$A),MATCH(C$1,[2]quests!$1:$1,0)-MATCH($B$1,[2]quests!$1:$1,0)+1),MATCH(C$1,[2]quests!$1:$1,0)-MATCH($B$1,[2]quests!$1:$1,0)+1,FALSE)</f>
        <v>凍りつくまで愛してあげる</v>
      </c>
      <c r="D27" s="84" t="str">
        <f ca="1">VLOOKUP($B27,OFFSET([2]quests!$A$1,0,0,COUNTA([2]quests!$A:$A),MATCH(D$1,[2]quests!$1:$1,0)-MATCH($B$1,[2]quests!$1:$1,0)+1),MATCH(D$1,[2]quests!$1:$1,0)-MATCH($B$1,[2]quests!$1:$1,0)+1,FALSE)</f>
        <v>ドロップイベント7（マルチ専用）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7" s="86">
        <v>0</v>
      </c>
      <c r="I27">
        <v>30</v>
      </c>
      <c r="J27" s="85" t="s">
        <v>197</v>
      </c>
      <c r="K27" s="94" t="str">
        <f>VLOOKUP(I27,[7]stage_hints!$A:$C,3,FALSE)</f>
        <v>「バグ」の増やし方</v>
      </c>
      <c r="L27" s="95" t="str">
        <f>VLOOKUP(I27,[7]stage_hints!$A:$D,4,FALSE)</f>
        <v>同じユニット同士を強化で合成すると_x000D_「バグ」を増やすことができます</v>
      </c>
      <c r="M27" s="57" t="s">
        <v>210</v>
      </c>
    </row>
    <row r="28" spans="1:13" x14ac:dyDescent="0.15">
      <c r="A28" s="82" t="s">
        <v>200</v>
      </c>
      <c r="B28" s="83">
        <f>floors!$C$2</f>
        <v>30027</v>
      </c>
      <c r="C28" s="84" t="str">
        <f ca="1">VLOOKUP($B28,OFFSET([2]quests!$A$1,0,0,COUNTA([2]quests!$A:$A),MATCH(C$1,[2]quests!$1:$1,0)-MATCH($B$1,[2]quests!$1:$1,0)+1),MATCH(C$1,[2]quests!$1:$1,0)-MATCH($B$1,[2]quests!$1:$1,0)+1,FALSE)</f>
        <v>凍りつくまで愛してあげる</v>
      </c>
      <c r="D28" s="84" t="str">
        <f ca="1">VLOOKUP($B28,OFFSET([2]quests!$A$1,0,0,COUNTA([2]quests!$A:$A),MATCH(D$1,[2]quests!$1:$1,0)-MATCH($B$1,[2]quests!$1:$1,0)+1),MATCH(D$1,[2]quests!$1:$1,0)-MATCH($B$1,[2]quests!$1:$1,0)+1,FALSE)</f>
        <v>ドロップイベント7（マルチ専用）</v>
      </c>
      <c r="E28" s="88">
        <v>1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8" s="86">
        <v>0</v>
      </c>
      <c r="I28">
        <v>31</v>
      </c>
      <c r="J28" s="85" t="s">
        <v>197</v>
      </c>
      <c r="K28" s="94" t="str">
        <f>VLOOKUP(I28,[7]stage_hints!$A:$C,3,FALSE)</f>
        <v>イベントはお知らせでチェック</v>
      </c>
      <c r="L28" s="95" t="str">
        <f>VLOOKUP(I28,[7]stage_hints!$A:$D,4,FALSE)</f>
        <v>イベント限定ユニットを取り忘れないように_x000D_お知らせをこまめにチェックしましょう</v>
      </c>
      <c r="M28" s="57" t="s">
        <v>210</v>
      </c>
    </row>
    <row r="29" spans="1:13" x14ac:dyDescent="0.15">
      <c r="A29" s="82" t="s">
        <v>200</v>
      </c>
      <c r="B29" s="83">
        <f>floors!$C$2</f>
        <v>30027</v>
      </c>
      <c r="C29" s="84" t="str">
        <f ca="1">VLOOKUP($B29,OFFSET([2]quests!$A$1,0,0,COUNTA([2]quests!$A:$A),MATCH(C$1,[2]quests!$1:$1,0)-MATCH($B$1,[2]quests!$1:$1,0)+1),MATCH(C$1,[2]quests!$1:$1,0)-MATCH($B$1,[2]quests!$1:$1,0)+1,FALSE)</f>
        <v>凍りつくまで愛してあげる</v>
      </c>
      <c r="D29" s="84" t="str">
        <f ca="1">VLOOKUP($B29,OFFSET([2]quests!$A$1,0,0,COUNTA([2]quests!$A:$A),MATCH(D$1,[2]quests!$1:$1,0)-MATCH($B$1,[2]quests!$1:$1,0)+1),MATCH(D$1,[2]quests!$1:$1,0)-MATCH($B$1,[2]quests!$1:$1,0)+1,FALSE)</f>
        <v>ドロップイベント7（マルチ専用）</v>
      </c>
      <c r="E29" s="88">
        <v>1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9" s="86">
        <v>0</v>
      </c>
      <c r="I29">
        <v>32</v>
      </c>
      <c r="J29" s="85" t="s">
        <v>197</v>
      </c>
      <c r="K29" s="94" t="str">
        <f>VLOOKUP(I29,[7]stage_hints!$A:$C,3,FALSE)</f>
        <v>敵の連続攻撃には</v>
      </c>
      <c r="L29" s="95" t="str">
        <f>VLOOKUP(I29,[7]stage_hints!$A:$D,4,FALSE)</f>
        <v>カウンタースキルを持つユニットがいれば_x000D_ダメージ回数分の反撃ができます</v>
      </c>
      <c r="M29" s="57" t="s">
        <v>210</v>
      </c>
    </row>
    <row r="30" spans="1:13" x14ac:dyDescent="0.15">
      <c r="A30" s="82" t="s">
        <v>200</v>
      </c>
      <c r="B30" s="83">
        <f>floors!$C$2</f>
        <v>30027</v>
      </c>
      <c r="C30" s="84" t="str">
        <f ca="1">VLOOKUP($B30,OFFSET([2]quests!$A$1,0,0,COUNTA([2]quests!$A:$A),MATCH(C$1,[2]quests!$1:$1,0)-MATCH($B$1,[2]quests!$1:$1,0)+1),MATCH(C$1,[2]quests!$1:$1,0)-MATCH($B$1,[2]quests!$1:$1,0)+1,FALSE)</f>
        <v>凍りつくまで愛してあげる</v>
      </c>
      <c r="D30" s="84" t="str">
        <f ca="1">VLOOKUP($B30,OFFSET([2]quests!$A$1,0,0,COUNTA([2]quests!$A:$A),MATCH(D$1,[2]quests!$1:$1,0)-MATCH($B$1,[2]quests!$1:$1,0)+1),MATCH(D$1,[2]quests!$1:$1,0)-MATCH($B$1,[2]quests!$1:$1,0)+1,FALSE)</f>
        <v>ドロップイベント7（マルチ専用）</v>
      </c>
      <c r="E30" s="88">
        <v>1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0" s="86">
        <v>0</v>
      </c>
      <c r="I30">
        <v>33</v>
      </c>
      <c r="J30" s="85" t="s">
        <v>197</v>
      </c>
      <c r="K30" s="94" t="str">
        <f>VLOOKUP(I30,[7]stage_hints!$A:$C,3,FALSE)</f>
        <v>敵のカウンター攻撃には</v>
      </c>
      <c r="L30" s="95" t="str">
        <f>VLOOKUP(I30,[7]stage_hints!$A:$D,4,FALSE)</f>
        <v>カウンターブレイクスキルを持っていれば_x000D_敵のカウンターを解除して攻撃ができます</v>
      </c>
      <c r="M30" s="57" t="s">
        <v>210</v>
      </c>
    </row>
    <row r="31" spans="1:13" x14ac:dyDescent="0.15">
      <c r="A31" s="82" t="s">
        <v>200</v>
      </c>
      <c r="B31" s="83">
        <f>floors!$C$2</f>
        <v>30027</v>
      </c>
      <c r="C31" s="84" t="str">
        <f ca="1">VLOOKUP($B31,OFFSET([2]quests!$A$1,0,0,COUNTA([2]quests!$A:$A),MATCH(C$1,[2]quests!$1:$1,0)-MATCH($B$1,[2]quests!$1:$1,0)+1),MATCH(C$1,[2]quests!$1:$1,0)-MATCH($B$1,[2]quests!$1:$1,0)+1,FALSE)</f>
        <v>凍りつくまで愛してあげる</v>
      </c>
      <c r="D31" s="84" t="str">
        <f ca="1">VLOOKUP($B31,OFFSET([2]quests!$A$1,0,0,COUNTA([2]quests!$A:$A),MATCH(D$1,[2]quests!$1:$1,0)-MATCH($B$1,[2]quests!$1:$1,0)+1),MATCH(D$1,[2]quests!$1:$1,0)-MATCH($B$1,[2]quests!$1:$1,0)+1,FALSE)</f>
        <v>ドロップイベント7（マルチ専用）</v>
      </c>
      <c r="E31" s="88">
        <v>1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1" s="86">
        <v>0</v>
      </c>
      <c r="I31">
        <v>34</v>
      </c>
      <c r="J31" s="85" t="s">
        <v>197</v>
      </c>
      <c r="K31" s="94" t="str">
        <f>VLOOKUP(I31,[7]stage_hints!$A:$C,3,FALSE)</f>
        <v>ステータスをスキルで下げられたら</v>
      </c>
      <c r="L31" s="95" t="str">
        <f>VLOOKUP(I31,[7]stage_hints!$A:$D,4,FALSE)</f>
        <v>ステータスダウンのスキルを受けたら_x000D_ステータスアップスキルで上書きしましょう</v>
      </c>
      <c r="M31" s="57" t="s">
        <v>210</v>
      </c>
    </row>
    <row r="32" spans="1:13" x14ac:dyDescent="0.15">
      <c r="A32" s="82" t="s">
        <v>200</v>
      </c>
      <c r="B32" s="83">
        <f>floors!$C$2</f>
        <v>30027</v>
      </c>
      <c r="C32" s="84" t="str">
        <f ca="1">VLOOKUP($B32,OFFSET([2]quests!$A$1,0,0,COUNTA([2]quests!$A:$A),MATCH(C$1,[2]quests!$1:$1,0)-MATCH($B$1,[2]quests!$1:$1,0)+1),MATCH(C$1,[2]quests!$1:$1,0)-MATCH($B$1,[2]quests!$1:$1,0)+1,FALSE)</f>
        <v>凍りつくまで愛してあげる</v>
      </c>
      <c r="D32" s="84" t="str">
        <f ca="1">VLOOKUP($B32,OFFSET([2]quests!$A$1,0,0,COUNTA([2]quests!$A:$A),MATCH(D$1,[2]quests!$1:$1,0)-MATCH($B$1,[2]quests!$1:$1,0)+1),MATCH(D$1,[2]quests!$1:$1,0)-MATCH($B$1,[2]quests!$1:$1,0)+1,FALSE)</f>
        <v>ドロップイベント7（マルチ専用）</v>
      </c>
      <c r="E32" s="88">
        <v>1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2" s="86">
        <v>0</v>
      </c>
      <c r="I32">
        <v>35</v>
      </c>
      <c r="J32" s="85" t="s">
        <v>197</v>
      </c>
      <c r="K32" s="94" t="str">
        <f>VLOOKUP(I32,[7]stage_hints!$A:$C,3,FALSE)</f>
        <v>敵のステータスがスキルで上がったら</v>
      </c>
      <c r="L32" s="95" t="str">
        <f>VLOOKUP(I32,[7]stage_hints!$A:$D,4,FALSE)</f>
        <v>敵のステータスがスキルでアップしたときは_x000D_ステータスダウンスキルで上書きしましょう</v>
      </c>
      <c r="M32" s="57" t="s">
        <v>210</v>
      </c>
    </row>
    <row r="33" spans="1:13" x14ac:dyDescent="0.15">
      <c r="A33" s="82" t="s">
        <v>200</v>
      </c>
      <c r="B33" s="83">
        <f>floors!$C$2</f>
        <v>30027</v>
      </c>
      <c r="C33" s="84" t="str">
        <f ca="1">VLOOKUP($B33,OFFSET([2]quests!$A$1,0,0,COUNTA([2]quests!$A:$A),MATCH(C$1,[2]quests!$1:$1,0)-MATCH($B$1,[2]quests!$1:$1,0)+1),MATCH(C$1,[2]quests!$1:$1,0)-MATCH($B$1,[2]quests!$1:$1,0)+1,FALSE)</f>
        <v>凍りつくまで愛してあげる</v>
      </c>
      <c r="D33" s="84" t="str">
        <f ca="1">VLOOKUP($B33,OFFSET([2]quests!$A$1,0,0,COUNTA([2]quests!$A:$A),MATCH(D$1,[2]quests!$1:$1,0)-MATCH($B$1,[2]quests!$1:$1,0)+1),MATCH(D$1,[2]quests!$1:$1,0)-MATCH($B$1,[2]quests!$1:$1,0)+1,FALSE)</f>
        <v>ドロップイベント7（マルチ専用）</v>
      </c>
      <c r="E33" s="88">
        <v>1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3" s="86">
        <v>0</v>
      </c>
      <c r="I33">
        <v>39</v>
      </c>
      <c r="J33" s="85" t="s">
        <v>197</v>
      </c>
      <c r="K33" s="94" t="str">
        <f>VLOOKUP(I33,[7]stage_hints!$A:$C,3,FALSE)</f>
        <v>システム適合者を確認</v>
      </c>
      <c r="L33" s="95" t="str">
        <f>VLOOKUP(I33,[7]stage_hints!$A:$D,4,FALSE)</f>
        <v>ALICEが 「アナタ」を呼んでいます</v>
      </c>
      <c r="M33" s="57" t="s">
        <v>210</v>
      </c>
    </row>
    <row r="34" spans="1:13" x14ac:dyDescent="0.15">
      <c r="A34" s="82" t="s">
        <v>200</v>
      </c>
      <c r="B34" s="83">
        <f>floors!$C$2</f>
        <v>30027</v>
      </c>
      <c r="C34" s="84" t="str">
        <f ca="1">VLOOKUP($B34,OFFSET([2]quests!$A$1,0,0,COUNTA([2]quests!$A:$A),MATCH(C$1,[2]quests!$1:$1,0)-MATCH($B$1,[2]quests!$1:$1,0)+1),MATCH(C$1,[2]quests!$1:$1,0)-MATCH($B$1,[2]quests!$1:$1,0)+1,FALSE)</f>
        <v>凍りつくまで愛してあげる</v>
      </c>
      <c r="D34" s="84" t="str">
        <f ca="1">VLOOKUP($B34,OFFSET([2]quests!$A$1,0,0,COUNTA([2]quests!$A:$A),MATCH(D$1,[2]quests!$1:$1,0)-MATCH($B$1,[2]quests!$1:$1,0)+1),MATCH(D$1,[2]quests!$1:$1,0)-MATCH($B$1,[2]quests!$1:$1,0)+1,FALSE)</f>
        <v>ドロップイベント7（マルチ専用）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4" s="86">
        <v>0</v>
      </c>
      <c r="I34" s="98">
        <v>3</v>
      </c>
      <c r="J34" s="85" t="s">
        <v>197</v>
      </c>
      <c r="K34" s="94" t="str">
        <f>VLOOKUP(I34,[7]stage_hints!$A:$C,3,FALSE)</f>
        <v>ターゲット</v>
      </c>
      <c r="L34" s="95" t="str">
        <f>VLOOKUP(I34,[7]stage_hints!$A:$D,4,FALSE)</f>
        <v>敵ユニットをタップすると_x000D_その敵を狙い撃ちできます</v>
      </c>
      <c r="M34" s="57" t="s">
        <v>210</v>
      </c>
    </row>
    <row r="35" spans="1:13" x14ac:dyDescent="0.15">
      <c r="A35" s="82" t="s">
        <v>200</v>
      </c>
      <c r="B35" s="83">
        <f>floors!$C$2</f>
        <v>30027</v>
      </c>
      <c r="C35" s="84" t="str">
        <f ca="1">VLOOKUP($B35,OFFSET([2]quests!$A$1,0,0,COUNTA([2]quests!$A:$A),MATCH(C$1,[2]quests!$1:$1,0)-MATCH($B$1,[2]quests!$1:$1,0)+1),MATCH(C$1,[2]quests!$1:$1,0)-MATCH($B$1,[2]quests!$1:$1,0)+1,FALSE)</f>
        <v>凍りつくまで愛してあげる</v>
      </c>
      <c r="D35" s="84" t="str">
        <f ca="1">VLOOKUP($B35,OFFSET([2]quests!$A$1,0,0,COUNTA([2]quests!$A:$A),MATCH(D$1,[2]quests!$1:$1,0)-MATCH($B$1,[2]quests!$1:$1,0)+1),MATCH(D$1,[2]quests!$1:$1,0)-MATCH($B$1,[2]quests!$1:$1,0)+1,FALSE)</f>
        <v>ドロップイベント7（マルチ専用）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5" s="86">
        <v>0</v>
      </c>
      <c r="I35" s="98">
        <v>6</v>
      </c>
      <c r="J35" s="85" t="s">
        <v>197</v>
      </c>
      <c r="K35" s="94" t="str">
        <f>VLOOKUP(I35,[7]stage_hints!$A:$C,3,FALSE)</f>
        <v>ユニット強化の属性ボーナス</v>
      </c>
      <c r="L35" s="95" t="str">
        <f>VLOOKUP(I35,[7]stage_hints!$A:$D,4,FALSE)</f>
        <v>同属性ユニットを強化素材にすると_x000D_経験値が多くもらえます</v>
      </c>
      <c r="M35" s="57" t="s">
        <v>210</v>
      </c>
    </row>
    <row r="36" spans="1:13" x14ac:dyDescent="0.15">
      <c r="A36" s="82" t="s">
        <v>200</v>
      </c>
      <c r="B36" s="83">
        <f>floors!$C$2</f>
        <v>30027</v>
      </c>
      <c r="C36" s="84" t="str">
        <f ca="1">VLOOKUP($B36,OFFSET([2]quests!$A$1,0,0,COUNTA([2]quests!$A:$A),MATCH(C$1,[2]quests!$1:$1,0)-MATCH($B$1,[2]quests!$1:$1,0)+1),MATCH(C$1,[2]quests!$1:$1,0)-MATCH($B$1,[2]quests!$1:$1,0)+1,FALSE)</f>
        <v>凍りつくまで愛してあげる</v>
      </c>
      <c r="D36" s="84" t="str">
        <f ca="1">VLOOKUP($B36,OFFSET([2]quests!$A$1,0,0,COUNTA([2]quests!$A:$A),MATCH(D$1,[2]quests!$1:$1,0)-MATCH($B$1,[2]quests!$1:$1,0)+1),MATCH(D$1,[2]quests!$1:$1,0)-MATCH($B$1,[2]quests!$1:$1,0)+1,FALSE)</f>
        <v>ドロップイベント7（マルチ専用）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6" s="86">
        <v>0</v>
      </c>
      <c r="I36" s="98">
        <v>7</v>
      </c>
      <c r="J36" s="85" t="s">
        <v>197</v>
      </c>
      <c r="K36" s="94" t="str">
        <f>VLOOKUP(I36,[7]stage_hints!$A:$C,3,FALSE)</f>
        <v>メタルダックで経験値を獲得</v>
      </c>
      <c r="L36" s="95" t="str">
        <f>VLOOKUP(I36,[7]stage_hints!$A:$D,4,FALSE)</f>
        <v>「メタルなアヒル」を強化素材にすると_x000D_大量の経験値がもらえます</v>
      </c>
      <c r="M36" s="57" t="s">
        <v>210</v>
      </c>
    </row>
    <row r="37" spans="1:13" x14ac:dyDescent="0.15">
      <c r="A37" s="82" t="s">
        <v>200</v>
      </c>
      <c r="B37" s="83">
        <f>floors!$C$2</f>
        <v>30027</v>
      </c>
      <c r="C37" s="84" t="str">
        <f ca="1">VLOOKUP($B37,OFFSET([2]quests!$A$1,0,0,COUNTA([2]quests!$A:$A),MATCH(C$1,[2]quests!$1:$1,0)-MATCH($B$1,[2]quests!$1:$1,0)+1),MATCH(C$1,[2]quests!$1:$1,0)-MATCH($B$1,[2]quests!$1:$1,0)+1,FALSE)</f>
        <v>凍りつくまで愛してあげる</v>
      </c>
      <c r="D37" s="84" t="str">
        <f ca="1">VLOOKUP($B37,OFFSET([2]quests!$A$1,0,0,COUNTA([2]quests!$A:$A),MATCH(D$1,[2]quests!$1:$1,0)-MATCH($B$1,[2]quests!$1:$1,0)+1),MATCH(D$1,[2]quests!$1:$1,0)-MATCH($B$1,[2]quests!$1:$1,0)+1,FALSE)</f>
        <v>ドロップイベント7（マルチ専用）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7" s="86">
        <v>0</v>
      </c>
      <c r="I37" s="98">
        <v>8</v>
      </c>
      <c r="J37" s="85" t="s">
        <v>197</v>
      </c>
      <c r="K37" s="94" t="str">
        <f>VLOOKUP(I37,[7]stage_hints!$A:$C,3,FALSE)</f>
        <v>ゲリラクエストは要チェック</v>
      </c>
      <c r="L37" s="95" t="str">
        <f>VLOOKUP(I37,[7]stage_hints!$A:$D,4,FALSE)</f>
        <v>時間限定の「アヒル捕獲作戦」では_x000D_経験値素材ユニットが多く手に入ります</v>
      </c>
      <c r="M37" s="57" t="s">
        <v>210</v>
      </c>
    </row>
    <row r="38" spans="1:13" x14ac:dyDescent="0.15">
      <c r="A38" s="82" t="s">
        <v>200</v>
      </c>
      <c r="B38" s="83">
        <f>floors!$C$2</f>
        <v>30027</v>
      </c>
      <c r="C38" s="84" t="str">
        <f ca="1">VLOOKUP($B38,OFFSET([2]quests!$A$1,0,0,COUNTA([2]quests!$A:$A),MATCH(C$1,[2]quests!$1:$1,0)-MATCH($B$1,[2]quests!$1:$1,0)+1),MATCH(C$1,[2]quests!$1:$1,0)-MATCH($B$1,[2]quests!$1:$1,0)+1,FALSE)</f>
        <v>凍りつくまで愛してあげる</v>
      </c>
      <c r="D38" s="84" t="str">
        <f ca="1">VLOOKUP($B38,OFFSET([2]quests!$A$1,0,0,COUNTA([2]quests!$A:$A),MATCH(D$1,[2]quests!$1:$1,0)-MATCH($B$1,[2]quests!$1:$1,0)+1),MATCH(D$1,[2]quests!$1:$1,0)-MATCH($B$1,[2]quests!$1:$1,0)+1,FALSE)</f>
        <v>ドロップイベント7（マルチ専用）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8" s="86">
        <v>0</v>
      </c>
      <c r="I38" s="98">
        <v>9</v>
      </c>
      <c r="J38" s="85" t="s">
        <v>197</v>
      </c>
      <c r="K38" s="94" t="str">
        <f>VLOOKUP(I38,[7]stage_hints!$A:$C,3,FALSE)</f>
        <v>ゴールドダックでビットを獲得</v>
      </c>
      <c r="L38" s="95" t="str">
        <f>VLOOKUP(I38,[7]stage_hints!$A:$D,4,FALSE)</f>
        <v>「ゴールドなアヒル」を売却すると_x000D_大量のビットがもらえます</v>
      </c>
      <c r="M38" s="57" t="s">
        <v>210</v>
      </c>
    </row>
    <row r="39" spans="1:13" x14ac:dyDescent="0.15">
      <c r="A39" s="82" t="s">
        <v>200</v>
      </c>
      <c r="B39" s="83">
        <f>floors!$C$2</f>
        <v>30027</v>
      </c>
      <c r="C39" s="84" t="str">
        <f ca="1">VLOOKUP($B39,OFFSET([2]quests!$A$1,0,0,COUNTA([2]quests!$A:$A),MATCH(C$1,[2]quests!$1:$1,0)-MATCH($B$1,[2]quests!$1:$1,0)+1),MATCH(C$1,[2]quests!$1:$1,0)-MATCH($B$1,[2]quests!$1:$1,0)+1,FALSE)</f>
        <v>凍りつくまで愛してあげる</v>
      </c>
      <c r="D39" s="84" t="str">
        <f ca="1">VLOOKUP($B39,OFFSET([2]quests!$A$1,0,0,COUNTA([2]quests!$A:$A),MATCH(D$1,[2]quests!$1:$1,0)-MATCH($B$1,[2]quests!$1:$1,0)+1),MATCH(D$1,[2]quests!$1:$1,0)-MATCH($B$1,[2]quests!$1:$1,0)+1,FALSE)</f>
        <v>ドロップイベント7（マルチ専用）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9" s="86">
        <v>0</v>
      </c>
      <c r="I39" s="98">
        <v>10</v>
      </c>
      <c r="J39" s="85" t="s">
        <v>197</v>
      </c>
      <c r="K39" s="94" t="str">
        <f>VLOOKUP(I39,[7]stage_hints!$A:$C,3,FALSE)</f>
        <v>土日に大量のビットを獲得</v>
      </c>
      <c r="L39" s="95" t="str">
        <f>VLOOKUP(I39,[7]stage_hints!$A:$D,4,FALSE)</f>
        <v>土日限定の「ゴールドカジノ」では_x000D_売却素材ユニットが多く手に入ります</v>
      </c>
      <c r="M39" s="57" t="s">
        <v>210</v>
      </c>
    </row>
    <row r="40" spans="1:13" x14ac:dyDescent="0.15">
      <c r="A40" s="82" t="s">
        <v>200</v>
      </c>
      <c r="B40" s="83">
        <f>floors!$C$2</f>
        <v>30027</v>
      </c>
      <c r="C40" s="84" t="str">
        <f ca="1">VLOOKUP($B40,OFFSET([2]quests!$A$1,0,0,COUNTA([2]quests!$A:$A),MATCH(C$1,[2]quests!$1:$1,0)-MATCH($B$1,[2]quests!$1:$1,0)+1),MATCH(C$1,[2]quests!$1:$1,0)-MATCH($B$1,[2]quests!$1:$1,0)+1,FALSE)</f>
        <v>凍りつくまで愛してあげる</v>
      </c>
      <c r="D40" s="84" t="str">
        <f ca="1">VLOOKUP($B40,OFFSET([2]quests!$A$1,0,0,COUNTA([2]quests!$A:$A),MATCH(D$1,[2]quests!$1:$1,0)-MATCH($B$1,[2]quests!$1:$1,0)+1),MATCH(D$1,[2]quests!$1:$1,0)-MATCH($B$1,[2]quests!$1:$1,0)+1,FALSE)</f>
        <v>ドロップイベント7（マルチ専用）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0" s="86">
        <v>0</v>
      </c>
      <c r="I40" s="98">
        <v>11</v>
      </c>
      <c r="J40" s="85" t="s">
        <v>197</v>
      </c>
      <c r="K40" s="94" t="str">
        <f>VLOOKUP(I40,[7]stage_hints!$A:$C,3,FALSE)</f>
        <v>ランク解放クエスト</v>
      </c>
      <c r="L40" s="95" t="str">
        <f>VLOOKUP(I40,[7]stage_hints!$A:$D,4,FALSE)</f>
        <v>一定ランクに到達すると_x000D_報酬付きのランク開放クエストが現れます</v>
      </c>
      <c r="M40" s="57" t="s">
        <v>210</v>
      </c>
    </row>
    <row r="41" spans="1:13" x14ac:dyDescent="0.15">
      <c r="A41" s="82" t="s">
        <v>200</v>
      </c>
      <c r="B41" s="83">
        <f>floors!$C$2</f>
        <v>30027</v>
      </c>
      <c r="C41" s="84" t="str">
        <f ca="1">VLOOKUP($B41,OFFSET([2]quests!$A$1,0,0,COUNTA([2]quests!$A:$A),MATCH(C$1,[2]quests!$1:$1,0)-MATCH($B$1,[2]quests!$1:$1,0)+1),MATCH(C$1,[2]quests!$1:$1,0)-MATCH($B$1,[2]quests!$1:$1,0)+1,FALSE)</f>
        <v>凍りつくまで愛してあげる</v>
      </c>
      <c r="D41" s="84" t="str">
        <f ca="1">VLOOKUP($B41,OFFSET([2]quests!$A$1,0,0,COUNTA([2]quests!$A:$A),MATCH(D$1,[2]quests!$1:$1,0)-MATCH($B$1,[2]quests!$1:$1,0)+1),MATCH(D$1,[2]quests!$1:$1,0)-MATCH($B$1,[2]quests!$1:$1,0)+1,FALSE)</f>
        <v>ドロップイベント7（マルチ専用）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1" s="86">
        <v>0</v>
      </c>
      <c r="I41" s="98">
        <v>12</v>
      </c>
      <c r="J41" s="85" t="s">
        <v>197</v>
      </c>
      <c r="K41" s="94" t="str">
        <f>VLOOKUP(I41,[7]stage_hints!$A:$C,3,FALSE)</f>
        <v>ユニットのお気に入り登録</v>
      </c>
      <c r="L41" s="95" t="str">
        <f>VLOOKUP(I41,[7]stage_hints!$A:$D,4,FALSE)</f>
        <v>大事なユニットを誤って消さないように_x000D_フォルダから「お気に入り登録」しましょう</v>
      </c>
      <c r="M41" s="57" t="s">
        <v>210</v>
      </c>
    </row>
    <row r="42" spans="1:13" x14ac:dyDescent="0.15">
      <c r="A42" s="82" t="s">
        <v>200</v>
      </c>
      <c r="B42" s="83">
        <f>floors!$C$2</f>
        <v>30027</v>
      </c>
      <c r="C42" s="84" t="str">
        <f ca="1">VLOOKUP($B42,OFFSET([2]quests!$A$1,0,0,COUNTA([2]quests!$A:$A),MATCH(C$1,[2]quests!$1:$1,0)-MATCH($B$1,[2]quests!$1:$1,0)+1),MATCH(C$1,[2]quests!$1:$1,0)-MATCH($B$1,[2]quests!$1:$1,0)+1,FALSE)</f>
        <v>凍りつくまで愛してあげる</v>
      </c>
      <c r="D42" s="84" t="str">
        <f ca="1">VLOOKUP($B42,OFFSET([2]quests!$A$1,0,0,COUNTA([2]quests!$A:$A),MATCH(D$1,[2]quests!$1:$1,0)-MATCH($B$1,[2]quests!$1:$1,0)+1),MATCH(D$1,[2]quests!$1:$1,0)-MATCH($B$1,[2]quests!$1:$1,0)+1,FALSE)</f>
        <v>ドロップイベント7（マルチ専用）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2" s="86">
        <v>0</v>
      </c>
      <c r="I42" s="98">
        <v>13</v>
      </c>
      <c r="J42" s="85" t="s">
        <v>197</v>
      </c>
      <c r="K42" s="94" t="str">
        <f>VLOOKUP(I42,[7]stage_hints!$A:$C,3,FALSE)</f>
        <v>ユニットの覚醒</v>
      </c>
      <c r="L42" s="95" t="str">
        <f>VLOOKUP(I42,[7]stage_hints!$A:$D,4,FALSE)</f>
        <v>ユニットを覚醒させると_x000D_比べものにならない強さが手に入ります</v>
      </c>
      <c r="M42" s="57" t="s">
        <v>210</v>
      </c>
    </row>
    <row r="43" spans="1:13" x14ac:dyDescent="0.15">
      <c r="A43" s="82" t="s">
        <v>200</v>
      </c>
      <c r="B43" s="83">
        <f>floors!$C$2</f>
        <v>30027</v>
      </c>
      <c r="C43" s="84" t="str">
        <f ca="1">VLOOKUP($B43,OFFSET([2]quests!$A$1,0,0,COUNTA([2]quests!$A:$A),MATCH(C$1,[2]quests!$1:$1,0)-MATCH($B$1,[2]quests!$1:$1,0)+1),MATCH(C$1,[2]quests!$1:$1,0)-MATCH($B$1,[2]quests!$1:$1,0)+1,FALSE)</f>
        <v>凍りつくまで愛してあげる</v>
      </c>
      <c r="D43" s="84" t="str">
        <f ca="1">VLOOKUP($B43,OFFSET([2]quests!$A$1,0,0,COUNTA([2]quests!$A:$A),MATCH(D$1,[2]quests!$1:$1,0)-MATCH($B$1,[2]quests!$1:$1,0)+1),MATCH(D$1,[2]quests!$1:$1,0)-MATCH($B$1,[2]quests!$1:$1,0)+1,FALSE)</f>
        <v>ドロップイベント7（マルチ専用）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3" s="86">
        <v>0</v>
      </c>
      <c r="I43" s="98">
        <v>14</v>
      </c>
      <c r="J43" s="85" t="s">
        <v>197</v>
      </c>
      <c r="K43" s="94" t="str">
        <f>VLOOKUP(I43,[7]stage_hints!$A:$C,3,FALSE)</f>
        <v>覚醒するにはレベルを最大に</v>
      </c>
      <c r="L43" s="95" t="str">
        <f>VLOOKUP(I43,[7]stage_hints!$A:$D,4,FALSE)</f>
        <v>覚醒するにはユニットのレベルを_x000D_最大まで上げる必要があります</v>
      </c>
      <c r="M43" s="57" t="s">
        <v>210</v>
      </c>
    </row>
    <row r="44" spans="1:13" x14ac:dyDescent="0.15">
      <c r="A44" s="82" t="s">
        <v>200</v>
      </c>
      <c r="B44" s="83">
        <f>floors!$C$2</f>
        <v>30027</v>
      </c>
      <c r="C44" s="84" t="str">
        <f ca="1">VLOOKUP($B44,OFFSET([2]quests!$A$1,0,0,COUNTA([2]quests!$A:$A),MATCH(C$1,[2]quests!$1:$1,0)-MATCH($B$1,[2]quests!$1:$1,0)+1),MATCH(C$1,[2]quests!$1:$1,0)-MATCH($B$1,[2]quests!$1:$1,0)+1,FALSE)</f>
        <v>凍りつくまで愛してあげる</v>
      </c>
      <c r="D44" s="84" t="str">
        <f ca="1">VLOOKUP($B44,OFFSET([2]quests!$A$1,0,0,COUNTA([2]quests!$A:$A),MATCH(D$1,[2]quests!$1:$1,0)-MATCH($B$1,[2]quests!$1:$1,0)+1),MATCH(D$1,[2]quests!$1:$1,0)-MATCH($B$1,[2]quests!$1:$1,0)+1,FALSE)</f>
        <v>ドロップイベント7（マルチ専用）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4" s="86">
        <v>0</v>
      </c>
      <c r="I44" s="98">
        <v>15</v>
      </c>
      <c r="J44" s="85" t="s">
        <v>197</v>
      </c>
      <c r="K44" s="94" t="str">
        <f>VLOOKUP(I44,[7]stage_hints!$A:$C,3,FALSE)</f>
        <v>覚醒素材を獲得</v>
      </c>
      <c r="L44" s="95" t="str">
        <f>VLOOKUP(I44,[7]stage_hints!$A:$D,4,FALSE)</f>
        <v>「曜日クエスト」では_x000D_ユニットの覚醒に必要な素材が手に入ります</v>
      </c>
      <c r="M44" s="57" t="s">
        <v>210</v>
      </c>
    </row>
    <row r="45" spans="1:13" x14ac:dyDescent="0.15">
      <c r="A45" s="82" t="s">
        <v>200</v>
      </c>
      <c r="B45" s="83">
        <f>floors!$C$2</f>
        <v>30027</v>
      </c>
      <c r="C45" s="84" t="str">
        <f ca="1">VLOOKUP($B45,OFFSET([2]quests!$A$1,0,0,COUNTA([2]quests!$A:$A),MATCH(C$1,[2]quests!$1:$1,0)-MATCH($B$1,[2]quests!$1:$1,0)+1),MATCH(C$1,[2]quests!$1:$1,0)-MATCH($B$1,[2]quests!$1:$1,0)+1,FALSE)</f>
        <v>凍りつくまで愛してあげる</v>
      </c>
      <c r="D45" s="84" t="str">
        <f ca="1">VLOOKUP($B45,OFFSET([2]quests!$A$1,0,0,COUNTA([2]quests!$A:$A),MATCH(D$1,[2]quests!$1:$1,0)-MATCH($B$1,[2]quests!$1:$1,0)+1),MATCH(D$1,[2]quests!$1:$1,0)-MATCH($B$1,[2]quests!$1:$1,0)+1,FALSE)</f>
        <v>ドロップイベント7（マルチ専用）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5" s="86">
        <v>0</v>
      </c>
      <c r="I45" s="98">
        <v>16</v>
      </c>
      <c r="J45" s="85" t="s">
        <v>197</v>
      </c>
      <c r="K45" s="94" t="str">
        <f>VLOOKUP(I45,[7]stage_hints!$A:$C,3,FALSE)</f>
        <v>マルチプレイのメリット（その1）</v>
      </c>
      <c r="L45" s="95" t="str">
        <f>VLOOKUP(I45,[7]stage_hints!$A:$D,4,FALSE)</f>
        <v>他のプレイヤーとマルチプレイで遊ぶと_x000D_ポリゴンがもらえます（100人まで）</v>
      </c>
      <c r="M45" s="57" t="s">
        <v>210</v>
      </c>
    </row>
    <row r="46" spans="1:13" x14ac:dyDescent="0.15">
      <c r="A46" s="82" t="s">
        <v>200</v>
      </c>
      <c r="B46" s="83">
        <f>floors!$C$2</f>
        <v>30027</v>
      </c>
      <c r="C46" s="84" t="str">
        <f ca="1">VLOOKUP($B46,OFFSET([2]quests!$A$1,0,0,COUNTA([2]quests!$A:$A),MATCH(C$1,[2]quests!$1:$1,0)-MATCH($B$1,[2]quests!$1:$1,0)+1),MATCH(C$1,[2]quests!$1:$1,0)-MATCH($B$1,[2]quests!$1:$1,0)+1,FALSE)</f>
        <v>凍りつくまで愛してあげる</v>
      </c>
      <c r="D46" s="84" t="str">
        <f ca="1">VLOOKUP($B46,OFFSET([2]quests!$A$1,0,0,COUNTA([2]quests!$A:$A),MATCH(D$1,[2]quests!$1:$1,0)-MATCH($B$1,[2]quests!$1:$1,0)+1),MATCH(D$1,[2]quests!$1:$1,0)-MATCH($B$1,[2]quests!$1:$1,0)+1,FALSE)</f>
        <v>ドロップイベント7（マルチ専用）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6" s="86">
        <v>0</v>
      </c>
      <c r="I46" s="98">
        <v>17</v>
      </c>
      <c r="J46" s="85" t="s">
        <v>197</v>
      </c>
      <c r="K46" s="94" t="str">
        <f>VLOOKUP(I46,[7]stage_hints!$A:$C,3,FALSE)</f>
        <v>リンクガチャ</v>
      </c>
      <c r="L46" s="95" t="str">
        <f>VLOOKUP(I46,[7]stage_hints!$A:$D,4,FALSE)</f>
        <v>無料のリンクガチャを回して_x000D_経験値素材や売却素材を獲得しましょう</v>
      </c>
      <c r="M46" s="57" t="s">
        <v>210</v>
      </c>
    </row>
    <row r="47" spans="1:13" x14ac:dyDescent="0.15">
      <c r="A47" s="82" t="s">
        <v>200</v>
      </c>
      <c r="B47" s="83">
        <f>floors!$C$2</f>
        <v>30027</v>
      </c>
      <c r="C47" s="84" t="str">
        <f ca="1">VLOOKUP($B47,OFFSET([2]quests!$A$1,0,0,COUNTA([2]quests!$A:$A),MATCH(C$1,[2]quests!$1:$1,0)-MATCH($B$1,[2]quests!$1:$1,0)+1),MATCH(C$1,[2]quests!$1:$1,0)-MATCH($B$1,[2]quests!$1:$1,0)+1,FALSE)</f>
        <v>凍りつくまで愛してあげる</v>
      </c>
      <c r="D47" s="84" t="str">
        <f ca="1">VLOOKUP($B47,OFFSET([2]quests!$A$1,0,0,COUNTA([2]quests!$A:$A),MATCH(D$1,[2]quests!$1:$1,0)-MATCH($B$1,[2]quests!$1:$1,0)+1),MATCH(D$1,[2]quests!$1:$1,0)-MATCH($B$1,[2]quests!$1:$1,0)+1,FALSE)</f>
        <v>ドロップイベント7（マルチ専用）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7" s="86">
        <v>0</v>
      </c>
      <c r="I47" s="98">
        <v>18</v>
      </c>
      <c r="J47" s="85" t="s">
        <v>197</v>
      </c>
      <c r="K47" s="94" t="str">
        <f>VLOOKUP(I47,[7]stage_hints!$A:$C,3,FALSE)</f>
        <v>マルチプレイのメリット（その2）</v>
      </c>
      <c r="L47" s="95" t="str">
        <f>VLOOKUP(I47,[7]stage_hints!$A:$D,4,FALSE)</f>
        <v>マルチプレイならリンクが2倍もらえます_x000D_リンクガチャをたくさん回しましょう</v>
      </c>
      <c r="M47" s="57" t="s">
        <v>210</v>
      </c>
    </row>
    <row r="48" spans="1:13" x14ac:dyDescent="0.15">
      <c r="A48" s="82" t="s">
        <v>200</v>
      </c>
      <c r="B48" s="83">
        <f>floors!$C$2</f>
        <v>30027</v>
      </c>
      <c r="C48" s="84" t="str">
        <f ca="1">VLOOKUP($B48,OFFSET([2]quests!$A$1,0,0,COUNTA([2]quests!$A:$A),MATCH(C$1,[2]quests!$1:$1,0)-MATCH($B$1,[2]quests!$1:$1,0)+1),MATCH(C$1,[2]quests!$1:$1,0)-MATCH($B$1,[2]quests!$1:$1,0)+1,FALSE)</f>
        <v>凍りつくまで愛してあげる</v>
      </c>
      <c r="D48" s="84" t="str">
        <f ca="1">VLOOKUP($B48,OFFSET([2]quests!$A$1,0,0,COUNTA([2]quests!$A:$A),MATCH(D$1,[2]quests!$1:$1,0)-MATCH($B$1,[2]quests!$1:$1,0)+1),MATCH(D$1,[2]quests!$1:$1,0)-MATCH($B$1,[2]quests!$1:$1,0)+1,FALSE)</f>
        <v>ドロップイベント7（マルチ専用）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8" s="86">
        <v>0</v>
      </c>
      <c r="I48" s="98">
        <v>19</v>
      </c>
      <c r="J48" s="85" t="s">
        <v>197</v>
      </c>
      <c r="K48" s="94" t="str">
        <f>VLOOKUP(I48,[7]stage_hints!$A:$C,3,FALSE)</f>
        <v>ソロ専用タワーオブザクイーン</v>
      </c>
      <c r="L48" s="95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210</v>
      </c>
    </row>
    <row r="49" spans="1:13" x14ac:dyDescent="0.15">
      <c r="A49" s="82" t="s">
        <v>200</v>
      </c>
      <c r="B49" s="83">
        <f>floors!$C$2</f>
        <v>30027</v>
      </c>
      <c r="C49" s="84" t="str">
        <f ca="1">VLOOKUP($B49,OFFSET([2]quests!$A$1,0,0,COUNTA([2]quests!$A:$A),MATCH(C$1,[2]quests!$1:$1,0)-MATCH($B$1,[2]quests!$1:$1,0)+1),MATCH(C$1,[2]quests!$1:$1,0)-MATCH($B$1,[2]quests!$1:$1,0)+1,FALSE)</f>
        <v>凍りつくまで愛してあげる</v>
      </c>
      <c r="D49" s="84" t="str">
        <f ca="1">VLOOKUP($B49,OFFSET([2]quests!$A$1,0,0,COUNTA([2]quests!$A:$A),MATCH(D$1,[2]quests!$1:$1,0)-MATCH($B$1,[2]quests!$1:$1,0)+1),MATCH(D$1,[2]quests!$1:$1,0)-MATCH($B$1,[2]quests!$1:$1,0)+1,FALSE)</f>
        <v>ドロップイベント7（マルチ専用）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9" s="86">
        <v>0</v>
      </c>
      <c r="I49" s="98">
        <v>20</v>
      </c>
      <c r="J49" s="85" t="s">
        <v>197</v>
      </c>
      <c r="K49" s="94" t="str">
        <f>VLOOKUP(I49,[7]stage_hints!$A:$C,3,FALSE)</f>
        <v>マルチプレイのメリット（その3）</v>
      </c>
      <c r="L49" s="95" t="str">
        <f>VLOOKUP(I49,[7]stage_hints!$A:$D,4,FALSE)</f>
        <v>マルチプレイへの参加はエナジー消費ゼロ_x000D_いつでも好きなだけ遊ぶことができます</v>
      </c>
      <c r="M49" s="57" t="s">
        <v>210</v>
      </c>
    </row>
    <row r="50" spans="1:13" x14ac:dyDescent="0.15">
      <c r="A50" s="82" t="s">
        <v>200</v>
      </c>
      <c r="B50" s="83">
        <f>floors!$C$2</f>
        <v>30027</v>
      </c>
      <c r="C50" s="84" t="str">
        <f ca="1">VLOOKUP($B50,OFFSET([2]quests!$A$1,0,0,COUNTA([2]quests!$A:$A),MATCH(C$1,[2]quests!$1:$1,0)-MATCH($B$1,[2]quests!$1:$1,0)+1),MATCH(C$1,[2]quests!$1:$1,0)-MATCH($B$1,[2]quests!$1:$1,0)+1,FALSE)</f>
        <v>凍りつくまで愛してあげる</v>
      </c>
      <c r="D50" s="84" t="str">
        <f ca="1">VLOOKUP($B50,OFFSET([2]quests!$A$1,0,0,COUNTA([2]quests!$A:$A),MATCH(D$1,[2]quests!$1:$1,0)-MATCH($B$1,[2]quests!$1:$1,0)+1),MATCH(D$1,[2]quests!$1:$1,0)-MATCH($B$1,[2]quests!$1:$1,0)+1,FALSE)</f>
        <v>ドロップイベント7（マルチ専用）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0" s="86">
        <v>0</v>
      </c>
      <c r="I50" s="98">
        <v>21</v>
      </c>
      <c r="J50" s="85" t="s">
        <v>197</v>
      </c>
      <c r="K50" s="94" t="str">
        <f>VLOOKUP(I50,[7]stage_hints!$A:$C,3,FALSE)</f>
        <v>スキルを有効に</v>
      </c>
      <c r="L50" s="95" t="str">
        <f>VLOOKUP(I50,[7]stage_hints!$A:$D,4,FALSE)</f>
        <v>ターン経過でユニットのスキルが使えます_x000D_強力スキルでバトルを有利に進めましょう</v>
      </c>
      <c r="M50" s="57" t="s">
        <v>210</v>
      </c>
    </row>
    <row r="51" spans="1:13" x14ac:dyDescent="0.15">
      <c r="A51" s="82" t="s">
        <v>200</v>
      </c>
      <c r="B51" s="83">
        <f>floors!$C$2</f>
        <v>30027</v>
      </c>
      <c r="C51" s="84" t="str">
        <f ca="1">VLOOKUP($B51,OFFSET([2]quests!$A$1,0,0,COUNTA([2]quests!$A:$A),MATCH(C$1,[2]quests!$1:$1,0)-MATCH($B$1,[2]quests!$1:$1,0)+1),MATCH(C$1,[2]quests!$1:$1,0)-MATCH($B$1,[2]quests!$1:$1,0)+1,FALSE)</f>
        <v>凍りつくまで愛してあげる</v>
      </c>
      <c r="D51" s="84" t="str">
        <f ca="1">VLOOKUP($B51,OFFSET([2]quests!$A$1,0,0,COUNTA([2]quests!$A:$A),MATCH(D$1,[2]quests!$1:$1,0)-MATCH($B$1,[2]quests!$1:$1,0)+1),MATCH(D$1,[2]quests!$1:$1,0)-MATCH($B$1,[2]quests!$1:$1,0)+1,FALSE)</f>
        <v>ドロップイベント7（マルチ専用）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1" s="86">
        <v>0</v>
      </c>
      <c r="I51" s="98">
        <v>22</v>
      </c>
      <c r="J51" s="85" t="s">
        <v>197</v>
      </c>
      <c r="K51" s="94" t="str">
        <f>VLOOKUP(I51,[7]stage_hints!$A:$C,3,FALSE)</f>
        <v>フィーバーで一発逆転（その1）</v>
      </c>
      <c r="L51" s="95" t="str">
        <f>VLOOKUP(I51,[7]stage_hints!$A:$D,4,FALSE)</f>
        <v>フィーバーは攻撃と回復を兼ね備えます_x000D_ピンチからの一発逆転を狙いましょう</v>
      </c>
      <c r="M51" s="57" t="s">
        <v>210</v>
      </c>
    </row>
    <row r="52" spans="1:13" x14ac:dyDescent="0.15">
      <c r="A52" s="82" t="s">
        <v>200</v>
      </c>
      <c r="B52" s="83">
        <f>floors!$C$2</f>
        <v>30027</v>
      </c>
      <c r="C52" s="84" t="str">
        <f ca="1">VLOOKUP($B52,OFFSET([2]quests!$A$1,0,0,COUNTA([2]quests!$A:$A),MATCH(C$1,[2]quests!$1:$1,0)-MATCH($B$1,[2]quests!$1:$1,0)+1),MATCH(C$1,[2]quests!$1:$1,0)-MATCH($B$1,[2]quests!$1:$1,0)+1,FALSE)</f>
        <v>凍りつくまで愛してあげる</v>
      </c>
      <c r="D52" s="84" t="str">
        <f ca="1">VLOOKUP($B52,OFFSET([2]quests!$A$1,0,0,COUNTA([2]quests!$A:$A),MATCH(D$1,[2]quests!$1:$1,0)-MATCH($B$1,[2]quests!$1:$1,0)+1),MATCH(D$1,[2]quests!$1:$1,0)-MATCH($B$1,[2]quests!$1:$1,0)+1,FALSE)</f>
        <v>ドロップイベント7（マルチ専用）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2" s="86">
        <v>0</v>
      </c>
      <c r="I52" s="98">
        <v>23</v>
      </c>
      <c r="J52" s="85" t="s">
        <v>197</v>
      </c>
      <c r="K52" s="94" t="str">
        <f>VLOOKUP(I52,[7]stage_hints!$A:$C,3,FALSE)</f>
        <v>フィーバーで一発逆転（その2）</v>
      </c>
      <c r="L52" s="95" t="str">
        <f>VLOOKUP(I52,[7]stage_hints!$A:$D,4,FALSE)</f>
        <v>フィーバー中は虹色のボムパネルを狙って_x000D_画面上のパネルを一気に破壊しましょう</v>
      </c>
      <c r="M52" s="57" t="s">
        <v>210</v>
      </c>
    </row>
    <row r="53" spans="1:13" x14ac:dyDescent="0.15">
      <c r="A53" s="82" t="s">
        <v>200</v>
      </c>
      <c r="B53" s="83">
        <f>floors!$C$2</f>
        <v>30027</v>
      </c>
      <c r="C53" s="84" t="str">
        <f ca="1">VLOOKUP($B53,OFFSET([2]quests!$A$1,0,0,COUNTA([2]quests!$A:$A),MATCH(C$1,[2]quests!$1:$1,0)-MATCH($B$1,[2]quests!$1:$1,0)+1),MATCH(C$1,[2]quests!$1:$1,0)-MATCH($B$1,[2]quests!$1:$1,0)+1,FALSE)</f>
        <v>凍りつくまで愛してあげる</v>
      </c>
      <c r="D53" s="84" t="str">
        <f ca="1">VLOOKUP($B53,OFFSET([2]quests!$A$1,0,0,COUNTA([2]quests!$A:$A),MATCH(D$1,[2]quests!$1:$1,0)-MATCH($B$1,[2]quests!$1:$1,0)+1),MATCH(D$1,[2]quests!$1:$1,0)-MATCH($B$1,[2]quests!$1:$1,0)+1,FALSE)</f>
        <v>ドロップイベント7（マルチ専用）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3" s="86">
        <v>0</v>
      </c>
      <c r="I53" s="98">
        <v>24</v>
      </c>
      <c r="J53" s="85" t="s">
        <v>197</v>
      </c>
      <c r="K53" s="94" t="str">
        <f>VLOOKUP(I53,[7]stage_hints!$A:$C,3,FALSE)</f>
        <v>果実を使って限界突破</v>
      </c>
      <c r="L53" s="95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210</v>
      </c>
    </row>
    <row r="54" spans="1:13" x14ac:dyDescent="0.15">
      <c r="A54" s="82" t="s">
        <v>200</v>
      </c>
      <c r="B54" s="83">
        <f>floors!$C$2</f>
        <v>30027</v>
      </c>
      <c r="C54" s="84" t="str">
        <f ca="1">VLOOKUP($B54,OFFSET([2]quests!$A$1,0,0,COUNTA([2]quests!$A:$A),MATCH(C$1,[2]quests!$1:$1,0)-MATCH($B$1,[2]quests!$1:$1,0)+1),MATCH(C$1,[2]quests!$1:$1,0)-MATCH($B$1,[2]quests!$1:$1,0)+1,FALSE)</f>
        <v>凍りつくまで愛してあげる</v>
      </c>
      <c r="D54" s="84" t="str">
        <f ca="1">VLOOKUP($B54,OFFSET([2]quests!$A$1,0,0,COUNTA([2]quests!$A:$A),MATCH(D$1,[2]quests!$1:$1,0)-MATCH($B$1,[2]quests!$1:$1,0)+1),MATCH(D$1,[2]quests!$1:$1,0)-MATCH($B$1,[2]quests!$1:$1,0)+1,FALSE)</f>
        <v>ドロップイベント7（マルチ専用）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4" s="86">
        <v>0</v>
      </c>
      <c r="I54" s="98">
        <v>25</v>
      </c>
      <c r="J54" s="85" t="s">
        <v>197</v>
      </c>
      <c r="K54" s="94" t="str">
        <f>VLOOKUP(I54,[7]stage_hints!$A:$C,3,FALSE)</f>
        <v>スキルレベルアップ</v>
      </c>
      <c r="L54" s="95" t="str">
        <f>VLOOKUP(I54,[7]stage_hints!$A:$D,4,FALSE)</f>
        <v>「秘術の果実」を強化に使うと_x000D_スキルレベルを上げることができます</v>
      </c>
      <c r="M54" s="57" t="s">
        <v>210</v>
      </c>
    </row>
    <row r="55" spans="1:13" x14ac:dyDescent="0.15">
      <c r="A55" s="82" t="s">
        <v>200</v>
      </c>
      <c r="B55" s="83">
        <f>floors!$C$2</f>
        <v>30027</v>
      </c>
      <c r="C55" s="84" t="str">
        <f ca="1">VLOOKUP($B55,OFFSET([2]quests!$A$1,0,0,COUNTA([2]quests!$A:$A),MATCH(C$1,[2]quests!$1:$1,0)-MATCH($B$1,[2]quests!$1:$1,0)+1),MATCH(C$1,[2]quests!$1:$1,0)-MATCH($B$1,[2]quests!$1:$1,0)+1,FALSE)</f>
        <v>凍りつくまで愛してあげる</v>
      </c>
      <c r="D55" s="84" t="str">
        <f ca="1">VLOOKUP($B55,OFFSET([2]quests!$A$1,0,0,COUNTA([2]quests!$A:$A),MATCH(D$1,[2]quests!$1:$1,0)-MATCH($B$1,[2]quests!$1:$1,0)+1),MATCH(D$1,[2]quests!$1:$1,0)-MATCH($B$1,[2]quests!$1:$1,0)+1,FALSE)</f>
        <v>ドロップイベント7（マルチ専用）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5" s="86">
        <v>0</v>
      </c>
      <c r="I55" s="98">
        <v>26</v>
      </c>
      <c r="J55" s="85" t="s">
        <v>197</v>
      </c>
      <c r="K55" s="94" t="str">
        <f>VLOOKUP(I55,[7]stage_hints!$A:$C,3,FALSE)</f>
        <v>スキルレベルの効果</v>
      </c>
      <c r="L55" s="95" t="str">
        <f>VLOOKUP(I55,[7]stage_hints!$A:$D,4,FALSE)</f>
        <v>スキルレベルが上がると_x000D_短いターンでスキルを使うことができます</v>
      </c>
      <c r="M55" s="57" t="s">
        <v>210</v>
      </c>
    </row>
    <row r="56" spans="1:13" x14ac:dyDescent="0.15">
      <c r="A56" s="82" t="s">
        <v>200</v>
      </c>
      <c r="B56" s="83">
        <f>floors!$C$2</f>
        <v>30027</v>
      </c>
      <c r="C56" s="84" t="str">
        <f ca="1">VLOOKUP($B56,OFFSET([2]quests!$A$1,0,0,COUNTA([2]quests!$A:$A),MATCH(C$1,[2]quests!$1:$1,0)-MATCH($B$1,[2]quests!$1:$1,0)+1),MATCH(C$1,[2]quests!$1:$1,0)-MATCH($B$1,[2]quests!$1:$1,0)+1,FALSE)</f>
        <v>凍りつくまで愛してあげる</v>
      </c>
      <c r="D56" s="84" t="str">
        <f ca="1">VLOOKUP($B56,OFFSET([2]quests!$A$1,0,0,COUNTA([2]quests!$A:$A),MATCH(D$1,[2]quests!$1:$1,0)-MATCH($B$1,[2]quests!$1:$1,0)+1),MATCH(D$1,[2]quests!$1:$1,0)-MATCH($B$1,[2]quests!$1:$1,0)+1,FALSE)</f>
        <v>ドロップイベント7（マルチ専用）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6" s="86">
        <v>0</v>
      </c>
      <c r="I56" s="98">
        <v>27</v>
      </c>
      <c r="J56" s="85" t="s">
        <v>197</v>
      </c>
      <c r="K56" s="94" t="str">
        <f>VLOOKUP(I56,[7]stage_hints!$A:$C,3,FALSE)</f>
        <v>ホーム画面からデッキを編成</v>
      </c>
      <c r="L56" s="95" t="str">
        <f>VLOOKUP(I56,[7]stage_hints!$A:$D,4,FALSE)</f>
        <v>ホーム画面でユニットを長押しすると_x000D_すぐにパーティ編成に移動できます</v>
      </c>
      <c r="M56" s="57" t="s">
        <v>210</v>
      </c>
    </row>
    <row r="57" spans="1:13" x14ac:dyDescent="0.15">
      <c r="A57" s="82" t="s">
        <v>200</v>
      </c>
      <c r="B57" s="83">
        <f>floors!$C$2</f>
        <v>30027</v>
      </c>
      <c r="C57" s="84" t="str">
        <f ca="1">VLOOKUP($B57,OFFSET([2]quests!$A$1,0,0,COUNTA([2]quests!$A:$A),MATCH(C$1,[2]quests!$1:$1,0)-MATCH($B$1,[2]quests!$1:$1,0)+1),MATCH(C$1,[2]quests!$1:$1,0)-MATCH($B$1,[2]quests!$1:$1,0)+1,FALSE)</f>
        <v>凍りつくまで愛してあげる</v>
      </c>
      <c r="D57" s="84" t="str">
        <f ca="1">VLOOKUP($B57,OFFSET([2]quests!$A$1,0,0,COUNTA([2]quests!$A:$A),MATCH(D$1,[2]quests!$1:$1,0)-MATCH($B$1,[2]quests!$1:$1,0)+1),MATCH(D$1,[2]quests!$1:$1,0)-MATCH($B$1,[2]quests!$1:$1,0)+1,FALSE)</f>
        <v>ドロップイベント7（マルチ専用）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7" s="86">
        <v>0</v>
      </c>
      <c r="I57" s="98">
        <v>28</v>
      </c>
      <c r="J57" s="85" t="s">
        <v>197</v>
      </c>
      <c r="K57" s="94" t="str">
        <f>VLOOKUP(I57,[7]stage_hints!$A:$C,3,FALSE)</f>
        <v>ステータス情報は長押しで</v>
      </c>
      <c r="L57" s="95" t="str">
        <f>VLOOKUP(I57,[7]stage_hints!$A:$D,4,FALSE)</f>
        <v>ユニットのアイコンを長押しすると_x000D_ステータス情報を確認することができます</v>
      </c>
      <c r="M57" s="57" t="s">
        <v>210</v>
      </c>
    </row>
    <row r="58" spans="1:13" x14ac:dyDescent="0.15">
      <c r="A58" s="82" t="s">
        <v>200</v>
      </c>
      <c r="B58" s="83">
        <f>floors!$C$2</f>
        <v>30027</v>
      </c>
      <c r="C58" s="84" t="str">
        <f ca="1">VLOOKUP($B58,OFFSET([2]quests!$A$1,0,0,COUNTA([2]quests!$A:$A),MATCH(C$1,[2]quests!$1:$1,0)-MATCH($B$1,[2]quests!$1:$1,0)+1),MATCH(C$1,[2]quests!$1:$1,0)-MATCH($B$1,[2]quests!$1:$1,0)+1,FALSE)</f>
        <v>凍りつくまで愛してあげる</v>
      </c>
      <c r="D58" s="84" t="str">
        <f ca="1">VLOOKUP($B58,OFFSET([2]quests!$A$1,0,0,COUNTA([2]quests!$A:$A),MATCH(D$1,[2]quests!$1:$1,0)-MATCH($B$1,[2]quests!$1:$1,0)+1),MATCH(D$1,[2]quests!$1:$1,0)-MATCH($B$1,[2]quests!$1:$1,0)+1,FALSE)</f>
        <v>ドロップイベント7（マルチ専用）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8" s="86">
        <v>0</v>
      </c>
      <c r="I58" s="98">
        <v>29</v>
      </c>
      <c r="J58" s="85" t="s">
        <v>197</v>
      </c>
      <c r="K58" s="94" t="str">
        <f>VLOOKUP(I58,[7]stage_hints!$A:$C,3,FALSE)</f>
        <v>「バグ」のメリット</v>
      </c>
      <c r="L58" s="95" t="str">
        <f>VLOOKUP(I58,[7]stage_hints!$A:$D,4,FALSE)</f>
        <v>ユニットの「バグ」を増やすと_x000D_報酬をもらえる確率がアップします</v>
      </c>
      <c r="M58" s="57" t="s">
        <v>210</v>
      </c>
    </row>
    <row r="59" spans="1:13" x14ac:dyDescent="0.15">
      <c r="A59" s="82" t="s">
        <v>200</v>
      </c>
      <c r="B59" s="83">
        <f>floors!$C$2</f>
        <v>30027</v>
      </c>
      <c r="C59" s="84" t="str">
        <f ca="1">VLOOKUP($B59,OFFSET([2]quests!$A$1,0,0,COUNTA([2]quests!$A:$A),MATCH(C$1,[2]quests!$1:$1,0)-MATCH($B$1,[2]quests!$1:$1,0)+1),MATCH(C$1,[2]quests!$1:$1,0)-MATCH($B$1,[2]quests!$1:$1,0)+1,FALSE)</f>
        <v>凍りつくまで愛してあげる</v>
      </c>
      <c r="D59" s="84" t="str">
        <f ca="1">VLOOKUP($B59,OFFSET([2]quests!$A$1,0,0,COUNTA([2]quests!$A:$A),MATCH(D$1,[2]quests!$1:$1,0)-MATCH($B$1,[2]quests!$1:$1,0)+1),MATCH(D$1,[2]quests!$1:$1,0)-MATCH($B$1,[2]quests!$1:$1,0)+1,FALSE)</f>
        <v>ドロップイベント7（マルチ専用）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9" s="86">
        <v>0</v>
      </c>
      <c r="I59" s="98">
        <v>30</v>
      </c>
      <c r="J59" s="85" t="s">
        <v>197</v>
      </c>
      <c r="K59" s="94" t="str">
        <f>VLOOKUP(I59,[7]stage_hints!$A:$C,3,FALSE)</f>
        <v>「バグ」の増やし方</v>
      </c>
      <c r="L59" s="95" t="str">
        <f>VLOOKUP(I59,[7]stage_hints!$A:$D,4,FALSE)</f>
        <v>同じユニット同士を強化で合成すると_x000D_「バグ」を増やすことができます</v>
      </c>
      <c r="M59" s="57" t="s">
        <v>210</v>
      </c>
    </row>
    <row r="60" spans="1:13" x14ac:dyDescent="0.15">
      <c r="A60" s="82" t="s">
        <v>200</v>
      </c>
      <c r="B60" s="83">
        <f>floors!$C$2</f>
        <v>30027</v>
      </c>
      <c r="C60" s="84" t="str">
        <f ca="1">VLOOKUP($B60,OFFSET([2]quests!$A$1,0,0,COUNTA([2]quests!$A:$A),MATCH(C$1,[2]quests!$1:$1,0)-MATCH($B$1,[2]quests!$1:$1,0)+1),MATCH(C$1,[2]quests!$1:$1,0)-MATCH($B$1,[2]quests!$1:$1,0)+1,FALSE)</f>
        <v>凍りつくまで愛してあげる</v>
      </c>
      <c r="D60" s="84" t="str">
        <f ca="1">VLOOKUP($B60,OFFSET([2]quests!$A$1,0,0,COUNTA([2]quests!$A:$A),MATCH(D$1,[2]quests!$1:$1,0)-MATCH($B$1,[2]quests!$1:$1,0)+1),MATCH(D$1,[2]quests!$1:$1,0)-MATCH($B$1,[2]quests!$1:$1,0)+1,FALSE)</f>
        <v>ドロップイベント7（マルチ専用）</v>
      </c>
      <c r="E60" s="88">
        <v>2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0" s="86">
        <v>0</v>
      </c>
      <c r="I60" s="98">
        <v>31</v>
      </c>
      <c r="J60" s="85" t="s">
        <v>197</v>
      </c>
      <c r="K60" s="94" t="str">
        <f>VLOOKUP(I60,[7]stage_hints!$A:$C,3,FALSE)</f>
        <v>イベントはお知らせでチェック</v>
      </c>
      <c r="L60" s="95" t="str">
        <f>VLOOKUP(I60,[7]stage_hints!$A:$D,4,FALSE)</f>
        <v>イベント限定ユニットを取り忘れないように_x000D_お知らせをこまめにチェックしましょう</v>
      </c>
      <c r="M60" s="57" t="s">
        <v>210</v>
      </c>
    </row>
    <row r="61" spans="1:13" x14ac:dyDescent="0.15">
      <c r="A61" s="82" t="s">
        <v>200</v>
      </c>
      <c r="B61" s="83">
        <f>floors!$C$2</f>
        <v>30027</v>
      </c>
      <c r="C61" s="84" t="str">
        <f ca="1">VLOOKUP($B61,OFFSET([2]quests!$A$1,0,0,COUNTA([2]quests!$A:$A),MATCH(C$1,[2]quests!$1:$1,0)-MATCH($B$1,[2]quests!$1:$1,0)+1),MATCH(C$1,[2]quests!$1:$1,0)-MATCH($B$1,[2]quests!$1:$1,0)+1,FALSE)</f>
        <v>凍りつくまで愛してあげる</v>
      </c>
      <c r="D61" s="84" t="str">
        <f ca="1">VLOOKUP($B61,OFFSET([2]quests!$A$1,0,0,COUNTA([2]quests!$A:$A),MATCH(D$1,[2]quests!$1:$1,0)-MATCH($B$1,[2]quests!$1:$1,0)+1),MATCH(D$1,[2]quests!$1:$1,0)-MATCH($B$1,[2]quests!$1:$1,0)+1,FALSE)</f>
        <v>ドロップイベント7（マルチ専用）</v>
      </c>
      <c r="E61" s="88">
        <v>2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1" s="86">
        <v>0</v>
      </c>
      <c r="I61" s="98">
        <v>32</v>
      </c>
      <c r="J61" s="85" t="s">
        <v>197</v>
      </c>
      <c r="K61" s="94" t="str">
        <f>VLOOKUP(I61,[7]stage_hints!$A:$C,3,FALSE)</f>
        <v>敵の連続攻撃には</v>
      </c>
      <c r="L61" s="95" t="str">
        <f>VLOOKUP(I61,[7]stage_hints!$A:$D,4,FALSE)</f>
        <v>カウンタースキルを持つユニットがいれば_x000D_ダメージ回数分の反撃ができます</v>
      </c>
      <c r="M61" s="57" t="s">
        <v>210</v>
      </c>
    </row>
    <row r="62" spans="1:13" x14ac:dyDescent="0.15">
      <c r="A62" s="82" t="s">
        <v>200</v>
      </c>
      <c r="B62" s="83">
        <f>floors!$C$2</f>
        <v>30027</v>
      </c>
      <c r="C62" s="84" t="str">
        <f ca="1">VLOOKUP($B62,OFFSET([2]quests!$A$1,0,0,COUNTA([2]quests!$A:$A),MATCH(C$1,[2]quests!$1:$1,0)-MATCH($B$1,[2]quests!$1:$1,0)+1),MATCH(C$1,[2]quests!$1:$1,0)-MATCH($B$1,[2]quests!$1:$1,0)+1,FALSE)</f>
        <v>凍りつくまで愛してあげる</v>
      </c>
      <c r="D62" s="84" t="str">
        <f ca="1">VLOOKUP($B62,OFFSET([2]quests!$A$1,0,0,COUNTA([2]quests!$A:$A),MATCH(D$1,[2]quests!$1:$1,0)-MATCH($B$1,[2]quests!$1:$1,0)+1),MATCH(D$1,[2]quests!$1:$1,0)-MATCH($B$1,[2]quests!$1:$1,0)+1,FALSE)</f>
        <v>ドロップイベント7（マルチ専用）</v>
      </c>
      <c r="E62" s="88">
        <v>2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2" s="86">
        <v>0</v>
      </c>
      <c r="I62" s="98">
        <v>33</v>
      </c>
      <c r="J62" s="85" t="s">
        <v>197</v>
      </c>
      <c r="K62" s="94" t="str">
        <f>VLOOKUP(I62,[7]stage_hints!$A:$C,3,FALSE)</f>
        <v>敵のカウンター攻撃には</v>
      </c>
      <c r="L62" s="95" t="str">
        <f>VLOOKUP(I62,[7]stage_hints!$A:$D,4,FALSE)</f>
        <v>カウンターブレイクスキルを持っていれば_x000D_敵のカウンターを解除して攻撃ができます</v>
      </c>
      <c r="M62" s="57" t="s">
        <v>210</v>
      </c>
    </row>
    <row r="63" spans="1:13" x14ac:dyDescent="0.15">
      <c r="A63" s="82" t="s">
        <v>200</v>
      </c>
      <c r="B63" s="83">
        <f>floors!$C$2</f>
        <v>30027</v>
      </c>
      <c r="C63" s="84" t="str">
        <f ca="1">VLOOKUP($B63,OFFSET([2]quests!$A$1,0,0,COUNTA([2]quests!$A:$A),MATCH(C$1,[2]quests!$1:$1,0)-MATCH($B$1,[2]quests!$1:$1,0)+1),MATCH(C$1,[2]quests!$1:$1,0)-MATCH($B$1,[2]quests!$1:$1,0)+1,FALSE)</f>
        <v>凍りつくまで愛してあげる</v>
      </c>
      <c r="D63" s="84" t="str">
        <f ca="1">VLOOKUP($B63,OFFSET([2]quests!$A$1,0,0,COUNTA([2]quests!$A:$A),MATCH(D$1,[2]quests!$1:$1,0)-MATCH($B$1,[2]quests!$1:$1,0)+1),MATCH(D$1,[2]quests!$1:$1,0)-MATCH($B$1,[2]quests!$1:$1,0)+1,FALSE)</f>
        <v>ドロップイベント7（マルチ専用）</v>
      </c>
      <c r="E63" s="88">
        <v>2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3" s="86">
        <v>0</v>
      </c>
      <c r="I63" s="98">
        <v>34</v>
      </c>
      <c r="J63" s="85" t="s">
        <v>197</v>
      </c>
      <c r="K63" s="94" t="str">
        <f>VLOOKUP(I63,[7]stage_hints!$A:$C,3,FALSE)</f>
        <v>ステータスをスキルで下げられたら</v>
      </c>
      <c r="L63" s="95" t="str">
        <f>VLOOKUP(I63,[7]stage_hints!$A:$D,4,FALSE)</f>
        <v>ステータスダウンのスキルを受けたら_x000D_ステータスアップスキルで上書きしましょう</v>
      </c>
      <c r="M63" s="57" t="s">
        <v>210</v>
      </c>
    </row>
    <row r="64" spans="1:13" x14ac:dyDescent="0.15">
      <c r="A64" s="82" t="s">
        <v>200</v>
      </c>
      <c r="B64" s="83">
        <f>floors!$C$2</f>
        <v>30027</v>
      </c>
      <c r="C64" s="84" t="str">
        <f ca="1">VLOOKUP($B64,OFFSET([2]quests!$A$1,0,0,COUNTA([2]quests!$A:$A),MATCH(C$1,[2]quests!$1:$1,0)-MATCH($B$1,[2]quests!$1:$1,0)+1),MATCH(C$1,[2]quests!$1:$1,0)-MATCH($B$1,[2]quests!$1:$1,0)+1,FALSE)</f>
        <v>凍りつくまで愛してあげる</v>
      </c>
      <c r="D64" s="84" t="str">
        <f ca="1">VLOOKUP($B64,OFFSET([2]quests!$A$1,0,0,COUNTA([2]quests!$A:$A),MATCH(D$1,[2]quests!$1:$1,0)-MATCH($B$1,[2]quests!$1:$1,0)+1),MATCH(D$1,[2]quests!$1:$1,0)-MATCH($B$1,[2]quests!$1:$1,0)+1,FALSE)</f>
        <v>ドロップイベント7（マルチ専用）</v>
      </c>
      <c r="E64" s="88">
        <v>2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4" s="86">
        <v>0</v>
      </c>
      <c r="I64" s="98">
        <v>35</v>
      </c>
      <c r="J64" s="85" t="s">
        <v>197</v>
      </c>
      <c r="K64" s="94" t="str">
        <f>VLOOKUP(I64,[7]stage_hints!$A:$C,3,FALSE)</f>
        <v>敵のステータスがスキルで上がったら</v>
      </c>
      <c r="L64" s="95" t="str">
        <f>VLOOKUP(I64,[7]stage_hints!$A:$D,4,FALSE)</f>
        <v>敵のステータスがスキルでアップしたときは_x000D_ステータスダウンスキルで上書きしましょう</v>
      </c>
      <c r="M64" s="57" t="s">
        <v>210</v>
      </c>
    </row>
    <row r="65" spans="1:13" x14ac:dyDescent="0.15">
      <c r="A65" s="82" t="s">
        <v>200</v>
      </c>
      <c r="B65" s="83">
        <f>floors!$C$2</f>
        <v>30027</v>
      </c>
      <c r="C65" s="84" t="str">
        <f ca="1">VLOOKUP($B65,OFFSET([2]quests!$A$1,0,0,COUNTA([2]quests!$A:$A),MATCH(C$1,[2]quests!$1:$1,0)-MATCH($B$1,[2]quests!$1:$1,0)+1),MATCH(C$1,[2]quests!$1:$1,0)-MATCH($B$1,[2]quests!$1:$1,0)+1,FALSE)</f>
        <v>凍りつくまで愛してあげる</v>
      </c>
      <c r="D65" s="84" t="str">
        <f ca="1">VLOOKUP($B65,OFFSET([2]quests!$A$1,0,0,COUNTA([2]quests!$A:$A),MATCH(D$1,[2]quests!$1:$1,0)-MATCH($B$1,[2]quests!$1:$1,0)+1),MATCH(D$1,[2]quests!$1:$1,0)-MATCH($B$1,[2]quests!$1:$1,0)+1,FALSE)</f>
        <v>ドロップイベント7（マルチ専用）</v>
      </c>
      <c r="E65" s="88">
        <v>2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5" s="86">
        <v>0</v>
      </c>
      <c r="I65" s="98">
        <v>36</v>
      </c>
      <c r="J65" s="85" t="s">
        <v>197</v>
      </c>
      <c r="K65" s="94" t="str">
        <f>VLOOKUP(I65,[7]stage_hints!$A:$C,3,FALSE)</f>
        <v>タワーオブザクイーンのボス</v>
      </c>
      <c r="L65" s="95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210</v>
      </c>
    </row>
    <row r="66" spans="1:13" x14ac:dyDescent="0.15">
      <c r="A66" s="82" t="s">
        <v>200</v>
      </c>
      <c r="B66" s="83">
        <f>floors!$C$2</f>
        <v>30027</v>
      </c>
      <c r="C66" s="84" t="str">
        <f ca="1">VLOOKUP($B66,OFFSET([2]quests!$A$1,0,0,COUNTA([2]quests!$A:$A),MATCH(C$1,[2]quests!$1:$1,0)-MATCH($B$1,[2]quests!$1:$1,0)+1),MATCH(C$1,[2]quests!$1:$1,0)-MATCH($B$1,[2]quests!$1:$1,0)+1,FALSE)</f>
        <v>凍りつくまで愛してあげる</v>
      </c>
      <c r="D66" s="84" t="str">
        <f ca="1">VLOOKUP($B66,OFFSET([2]quests!$A$1,0,0,COUNTA([2]quests!$A:$A),MATCH(D$1,[2]quests!$1:$1,0)-MATCH($B$1,[2]quests!$1:$1,0)+1),MATCH(D$1,[2]quests!$1:$1,0)-MATCH($B$1,[2]quests!$1:$1,0)+1,FALSE)</f>
        <v>ドロップイベント7（マルチ専用）</v>
      </c>
      <c r="E66" s="88">
        <v>2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6" s="86">
        <v>0</v>
      </c>
      <c r="I66" s="98">
        <v>37</v>
      </c>
      <c r="J66" s="85" t="s">
        <v>197</v>
      </c>
      <c r="K66" s="94" t="str">
        <f>VLOOKUP(I66,[7]stage_hints!$A:$C,3,FALSE)</f>
        <v>限界突破値の引き継ぎ</v>
      </c>
      <c r="L66" s="95" t="str">
        <f>VLOOKUP(I66,[7]stage_hints!$A:$D,4,FALSE)</f>
        <v>同じユニットを強化で合成すると_x000D_限界突破値を引き継げます（覚醒前後も可）</v>
      </c>
      <c r="M66" s="57" t="s">
        <v>210</v>
      </c>
    </row>
    <row r="67" spans="1:13" x14ac:dyDescent="0.15">
      <c r="A67" s="82" t="s">
        <v>200</v>
      </c>
      <c r="B67" s="83">
        <f>floors!$C$2</f>
        <v>30027</v>
      </c>
      <c r="C67" s="84" t="str">
        <f ca="1">VLOOKUP($B67,OFFSET([2]quests!$A$1,0,0,COUNTA([2]quests!$A:$A),MATCH(C$1,[2]quests!$1:$1,0)-MATCH($B$1,[2]quests!$1:$1,0)+1),MATCH(C$1,[2]quests!$1:$1,0)-MATCH($B$1,[2]quests!$1:$1,0)+1,FALSE)</f>
        <v>凍りつくまで愛してあげる</v>
      </c>
      <c r="D67" s="84" t="str">
        <f ca="1">VLOOKUP($B67,OFFSET([2]quests!$A$1,0,0,COUNTA([2]quests!$A:$A),MATCH(D$1,[2]quests!$1:$1,0)-MATCH($B$1,[2]quests!$1:$1,0)+1),MATCH(D$1,[2]quests!$1:$1,0)-MATCH($B$1,[2]quests!$1:$1,0)+1,FALSE)</f>
        <v>ドロップイベント7（マルチ専用）</v>
      </c>
      <c r="E67" s="88">
        <v>2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7" s="86">
        <v>0</v>
      </c>
      <c r="I67" s="98">
        <v>39</v>
      </c>
      <c r="J67" s="85" t="s">
        <v>197</v>
      </c>
      <c r="K67" s="94" t="str">
        <f>VLOOKUP(I67,[7]stage_hints!$A:$C,3,FALSE)</f>
        <v>システム適合者を確認</v>
      </c>
      <c r="L67" s="95" t="str">
        <f>VLOOKUP(I67,[7]stage_hints!$A:$D,4,FALSE)</f>
        <v>ALICEが 「アナタ」を呼んでいます</v>
      </c>
      <c r="M67" s="57" t="s">
        <v>210</v>
      </c>
    </row>
    <row r="68" spans="1:13" x14ac:dyDescent="0.15">
      <c r="A68" s="82" t="s">
        <v>200</v>
      </c>
      <c r="B68" s="83">
        <f>floors!$C$2</f>
        <v>30027</v>
      </c>
      <c r="C68" s="84" t="str">
        <f ca="1">VLOOKUP($B68,OFFSET([2]quests!$A$1,0,0,COUNTA([2]quests!$A:$A),MATCH(C$1,[2]quests!$1:$1,0)-MATCH($B$1,[2]quests!$1:$1,0)+1),MATCH(C$1,[2]quests!$1:$1,0)-MATCH($B$1,[2]quests!$1:$1,0)+1,FALSE)</f>
        <v>凍りつくまで愛してあげる</v>
      </c>
      <c r="D68" s="84" t="str">
        <f ca="1">VLOOKUP($B68,OFFSET([2]quests!$A$1,0,0,COUNTA([2]quests!$A:$A),MATCH(D$1,[2]quests!$1:$1,0)-MATCH($B$1,[2]quests!$1:$1,0)+1),MATCH(D$1,[2]quests!$1:$1,0)-MATCH($B$1,[2]quests!$1:$1,0)+1,FALSE)</f>
        <v>ドロップイベント7（マルチ専用）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8" s="86">
        <v>0</v>
      </c>
      <c r="I68">
        <v>12</v>
      </c>
      <c r="J68" s="85" t="s">
        <v>197</v>
      </c>
      <c r="K68" s="94" t="str">
        <f>VLOOKUP(I68,[7]stage_hints!$A:$C,3,FALSE)</f>
        <v>ユニットのお気に入り登録</v>
      </c>
      <c r="L68" s="95" t="str">
        <f>VLOOKUP(I68,[7]stage_hints!$A:$D,4,FALSE)</f>
        <v>大事なユニットを誤って消さないように_x000D_フォルダから「お気に入り登録」しましょう</v>
      </c>
      <c r="M68" s="57" t="s">
        <v>210</v>
      </c>
    </row>
    <row r="69" spans="1:13" x14ac:dyDescent="0.15">
      <c r="A69" s="82" t="s">
        <v>200</v>
      </c>
      <c r="B69" s="83">
        <f>floors!$C$2</f>
        <v>30027</v>
      </c>
      <c r="C69" s="84" t="str">
        <f ca="1">VLOOKUP($B69,OFFSET([2]quests!$A$1,0,0,COUNTA([2]quests!$A:$A),MATCH(C$1,[2]quests!$1:$1,0)-MATCH($B$1,[2]quests!$1:$1,0)+1),MATCH(C$1,[2]quests!$1:$1,0)-MATCH($B$1,[2]quests!$1:$1,0)+1,FALSE)</f>
        <v>凍りつくまで愛してあげる</v>
      </c>
      <c r="D69" s="84" t="str">
        <f ca="1">VLOOKUP($B69,OFFSET([2]quests!$A$1,0,0,COUNTA([2]quests!$A:$A),MATCH(D$1,[2]quests!$1:$1,0)-MATCH($B$1,[2]quests!$1:$1,0)+1),MATCH(D$1,[2]quests!$1:$1,0)-MATCH($B$1,[2]quests!$1:$1,0)+1,FALSE)</f>
        <v>ドロップイベント7（マルチ専用）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9" s="86">
        <v>0</v>
      </c>
      <c r="I69">
        <v>17</v>
      </c>
      <c r="J69" s="85" t="s">
        <v>197</v>
      </c>
      <c r="K69" s="94" t="str">
        <f>VLOOKUP(I69,[7]stage_hints!$A:$C,3,FALSE)</f>
        <v>リンクガチャ</v>
      </c>
      <c r="L69" s="95" t="str">
        <f>VLOOKUP(I69,[7]stage_hints!$A:$D,4,FALSE)</f>
        <v>無料のリンクガチャを回して_x000D_経験値素材や売却素材を獲得しましょう</v>
      </c>
      <c r="M69" s="57" t="s">
        <v>210</v>
      </c>
    </row>
    <row r="70" spans="1:13" x14ac:dyDescent="0.15">
      <c r="A70" s="82" t="s">
        <v>200</v>
      </c>
      <c r="B70" s="83">
        <f>floors!$C$2</f>
        <v>30027</v>
      </c>
      <c r="C70" s="84" t="str">
        <f ca="1">VLOOKUP($B70,OFFSET([2]quests!$A$1,0,0,COUNTA([2]quests!$A:$A),MATCH(C$1,[2]quests!$1:$1,0)-MATCH($B$1,[2]quests!$1:$1,0)+1),MATCH(C$1,[2]quests!$1:$1,0)-MATCH($B$1,[2]quests!$1:$1,0)+1,FALSE)</f>
        <v>凍りつくまで愛してあげる</v>
      </c>
      <c r="D70" s="84" t="str">
        <f ca="1">VLOOKUP($B70,OFFSET([2]quests!$A$1,0,0,COUNTA([2]quests!$A:$A),MATCH(D$1,[2]quests!$1:$1,0)-MATCH($B$1,[2]quests!$1:$1,0)+1),MATCH(D$1,[2]quests!$1:$1,0)-MATCH($B$1,[2]quests!$1:$1,0)+1,FALSE)</f>
        <v>ドロップイベント7（マルチ専用）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0" s="86">
        <v>0</v>
      </c>
      <c r="I70">
        <v>19</v>
      </c>
      <c r="J70" s="85" t="s">
        <v>197</v>
      </c>
      <c r="K70" s="94" t="str">
        <f>VLOOKUP(I70,[7]stage_hints!$A:$C,3,FALSE)</f>
        <v>ソロ専用タワーオブザクイーン</v>
      </c>
      <c r="L70" s="95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210</v>
      </c>
    </row>
    <row r="71" spans="1:13" x14ac:dyDescent="0.15">
      <c r="A71" s="82" t="s">
        <v>200</v>
      </c>
      <c r="B71" s="83">
        <f>floors!$C$2</f>
        <v>30027</v>
      </c>
      <c r="C71" s="84" t="str">
        <f ca="1">VLOOKUP($B71,OFFSET([2]quests!$A$1,0,0,COUNTA([2]quests!$A:$A),MATCH(C$1,[2]quests!$1:$1,0)-MATCH($B$1,[2]quests!$1:$1,0)+1),MATCH(C$1,[2]quests!$1:$1,0)-MATCH($B$1,[2]quests!$1:$1,0)+1,FALSE)</f>
        <v>凍りつくまで愛してあげる</v>
      </c>
      <c r="D71" s="84" t="str">
        <f ca="1">VLOOKUP($B71,OFFSET([2]quests!$A$1,0,0,COUNTA([2]quests!$A:$A),MATCH(D$1,[2]quests!$1:$1,0)-MATCH($B$1,[2]quests!$1:$1,0)+1),MATCH(D$1,[2]quests!$1:$1,0)-MATCH($B$1,[2]quests!$1:$1,0)+1,FALSE)</f>
        <v>ドロップイベント7（マルチ専用）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1" s="86">
        <v>0</v>
      </c>
      <c r="I71">
        <v>21</v>
      </c>
      <c r="J71" s="85" t="s">
        <v>197</v>
      </c>
      <c r="K71" s="94" t="str">
        <f>VLOOKUP(I71,[7]stage_hints!$A:$C,3,FALSE)</f>
        <v>スキルを有効に</v>
      </c>
      <c r="L71" s="95" t="str">
        <f>VLOOKUP(I71,[7]stage_hints!$A:$D,4,FALSE)</f>
        <v>ターン経過でユニットのスキルが使えます_x000D_強力スキルでバトルを有利に進めましょう</v>
      </c>
      <c r="M71" s="57" t="s">
        <v>210</v>
      </c>
    </row>
    <row r="72" spans="1:13" x14ac:dyDescent="0.15">
      <c r="A72" s="82" t="s">
        <v>200</v>
      </c>
      <c r="B72" s="83">
        <f>floors!$C$2</f>
        <v>30027</v>
      </c>
      <c r="C72" s="84" t="str">
        <f ca="1">VLOOKUP($B72,OFFSET([2]quests!$A$1,0,0,COUNTA([2]quests!$A:$A),MATCH(C$1,[2]quests!$1:$1,0)-MATCH($B$1,[2]quests!$1:$1,0)+1),MATCH(C$1,[2]quests!$1:$1,0)-MATCH($B$1,[2]quests!$1:$1,0)+1,FALSE)</f>
        <v>凍りつくまで愛してあげる</v>
      </c>
      <c r="D72" s="84" t="str">
        <f ca="1">VLOOKUP($B72,OFFSET([2]quests!$A$1,0,0,COUNTA([2]quests!$A:$A),MATCH(D$1,[2]quests!$1:$1,0)-MATCH($B$1,[2]quests!$1:$1,0)+1),MATCH(D$1,[2]quests!$1:$1,0)-MATCH($B$1,[2]quests!$1:$1,0)+1,FALSE)</f>
        <v>ドロップイベント7（マルチ専用）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2" s="86">
        <v>0</v>
      </c>
      <c r="I72">
        <v>27</v>
      </c>
      <c r="J72" s="85" t="s">
        <v>197</v>
      </c>
      <c r="K72" s="94" t="str">
        <f>VLOOKUP(I72,[7]stage_hints!$A:$C,3,FALSE)</f>
        <v>ホーム画面からデッキを編成</v>
      </c>
      <c r="L72" s="95" t="str">
        <f>VLOOKUP(I72,[7]stage_hints!$A:$D,4,FALSE)</f>
        <v>ホーム画面でユニットを長押しすると_x000D_すぐにパーティ編成に移動できます</v>
      </c>
      <c r="M72" s="57" t="s">
        <v>210</v>
      </c>
    </row>
    <row r="73" spans="1:13" x14ac:dyDescent="0.15">
      <c r="A73" s="82" t="s">
        <v>200</v>
      </c>
      <c r="B73" s="83">
        <f>floors!$C$2</f>
        <v>30027</v>
      </c>
      <c r="C73" s="84" t="str">
        <f ca="1">VLOOKUP($B73,OFFSET([2]quests!$A$1,0,0,COUNTA([2]quests!$A:$A),MATCH(C$1,[2]quests!$1:$1,0)-MATCH($B$1,[2]quests!$1:$1,0)+1),MATCH(C$1,[2]quests!$1:$1,0)-MATCH($B$1,[2]quests!$1:$1,0)+1,FALSE)</f>
        <v>凍りつくまで愛してあげる</v>
      </c>
      <c r="D73" s="84" t="str">
        <f ca="1">VLOOKUP($B73,OFFSET([2]quests!$A$1,0,0,COUNTA([2]quests!$A:$A),MATCH(D$1,[2]quests!$1:$1,0)-MATCH($B$1,[2]quests!$1:$1,0)+1),MATCH(D$1,[2]quests!$1:$1,0)-MATCH($B$1,[2]quests!$1:$1,0)+1,FALSE)</f>
        <v>ドロップイベント7（マルチ専用）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3" s="86">
        <v>0</v>
      </c>
      <c r="I73">
        <v>28</v>
      </c>
      <c r="J73" s="85" t="s">
        <v>197</v>
      </c>
      <c r="K73" s="94" t="str">
        <f>VLOOKUP(I73,[7]stage_hints!$A:$C,3,FALSE)</f>
        <v>ステータス情報は長押しで</v>
      </c>
      <c r="L73" s="95" t="str">
        <f>VLOOKUP(I73,[7]stage_hints!$A:$D,4,FALSE)</f>
        <v>ユニットのアイコンを長押しすると_x000D_ステータス情報を確認することができます</v>
      </c>
      <c r="M73" s="57" t="s">
        <v>210</v>
      </c>
    </row>
    <row r="74" spans="1:13" x14ac:dyDescent="0.15">
      <c r="A74" s="82" t="s">
        <v>200</v>
      </c>
      <c r="B74" s="83">
        <f>floors!$C$2</f>
        <v>30027</v>
      </c>
      <c r="C74" s="84" t="str">
        <f ca="1">VLOOKUP($B74,OFFSET([2]quests!$A$1,0,0,COUNTA([2]quests!$A:$A),MATCH(C$1,[2]quests!$1:$1,0)-MATCH($B$1,[2]quests!$1:$1,0)+1),MATCH(C$1,[2]quests!$1:$1,0)-MATCH($B$1,[2]quests!$1:$1,0)+1,FALSE)</f>
        <v>凍りつくまで愛してあげる</v>
      </c>
      <c r="D74" s="84" t="str">
        <f ca="1">VLOOKUP($B74,OFFSET([2]quests!$A$1,0,0,COUNTA([2]quests!$A:$A),MATCH(D$1,[2]quests!$1:$1,0)-MATCH($B$1,[2]quests!$1:$1,0)+1),MATCH(D$1,[2]quests!$1:$1,0)-MATCH($B$1,[2]quests!$1:$1,0)+1,FALSE)</f>
        <v>ドロップイベント7（マルチ専用）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4" s="86">
        <v>0</v>
      </c>
      <c r="I74">
        <v>29</v>
      </c>
      <c r="J74" s="85" t="s">
        <v>197</v>
      </c>
      <c r="K74" s="94" t="str">
        <f>VLOOKUP(I74,[7]stage_hints!$A:$C,3,FALSE)</f>
        <v>「バグ」のメリット</v>
      </c>
      <c r="L74" s="95" t="str">
        <f>VLOOKUP(I74,[7]stage_hints!$A:$D,4,FALSE)</f>
        <v>ユニットの「バグ」を増やすと_x000D_報酬をもらえる確率がアップします</v>
      </c>
      <c r="M74" s="57" t="s">
        <v>210</v>
      </c>
    </row>
    <row r="75" spans="1:13" x14ac:dyDescent="0.15">
      <c r="A75" s="82" t="s">
        <v>200</v>
      </c>
      <c r="B75" s="83">
        <f>floors!$C$2</f>
        <v>30027</v>
      </c>
      <c r="C75" s="84" t="str">
        <f ca="1">VLOOKUP($B75,OFFSET([2]quests!$A$1,0,0,COUNTA([2]quests!$A:$A),MATCH(C$1,[2]quests!$1:$1,0)-MATCH($B$1,[2]quests!$1:$1,0)+1),MATCH(C$1,[2]quests!$1:$1,0)-MATCH($B$1,[2]quests!$1:$1,0)+1,FALSE)</f>
        <v>凍りつくまで愛してあげる</v>
      </c>
      <c r="D75" s="84" t="str">
        <f ca="1">VLOOKUP($B75,OFFSET([2]quests!$A$1,0,0,COUNTA([2]quests!$A:$A),MATCH(D$1,[2]quests!$1:$1,0)-MATCH($B$1,[2]quests!$1:$1,0)+1),MATCH(D$1,[2]quests!$1:$1,0)-MATCH($B$1,[2]quests!$1:$1,0)+1,FALSE)</f>
        <v>ドロップイベント7（マルチ専用）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5" s="86">
        <v>0</v>
      </c>
      <c r="I75">
        <v>30</v>
      </c>
      <c r="J75" s="85" t="s">
        <v>197</v>
      </c>
      <c r="K75" s="94" t="str">
        <f>VLOOKUP(I75,[7]stage_hints!$A:$C,3,FALSE)</f>
        <v>「バグ」の増やし方</v>
      </c>
      <c r="L75" s="95" t="str">
        <f>VLOOKUP(I75,[7]stage_hints!$A:$D,4,FALSE)</f>
        <v>同じユニット同士を強化で合成すると_x000D_「バグ」を増やすことができます</v>
      </c>
      <c r="M75" s="57" t="s">
        <v>210</v>
      </c>
    </row>
    <row r="76" spans="1:13" x14ac:dyDescent="0.15">
      <c r="A76" s="82" t="s">
        <v>200</v>
      </c>
      <c r="B76" s="83">
        <f>floors!$C$2</f>
        <v>30027</v>
      </c>
      <c r="C76" s="84" t="str">
        <f ca="1">VLOOKUP($B76,OFFSET([2]quests!$A$1,0,0,COUNTA([2]quests!$A:$A),MATCH(C$1,[2]quests!$1:$1,0)-MATCH($B$1,[2]quests!$1:$1,0)+1),MATCH(C$1,[2]quests!$1:$1,0)-MATCH($B$1,[2]quests!$1:$1,0)+1,FALSE)</f>
        <v>凍りつくまで愛してあげる</v>
      </c>
      <c r="D76" s="84" t="str">
        <f ca="1">VLOOKUP($B76,OFFSET([2]quests!$A$1,0,0,COUNTA([2]quests!$A:$A),MATCH(D$1,[2]quests!$1:$1,0)-MATCH($B$1,[2]quests!$1:$1,0)+1),MATCH(D$1,[2]quests!$1:$1,0)-MATCH($B$1,[2]quests!$1:$1,0)+1,FALSE)</f>
        <v>ドロップイベント7（マルチ専用）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6" s="86">
        <v>0</v>
      </c>
      <c r="I76">
        <v>32</v>
      </c>
      <c r="J76" s="85" t="s">
        <v>197</v>
      </c>
      <c r="K76" s="94" t="str">
        <f>VLOOKUP(I76,[7]stage_hints!$A:$C,3,FALSE)</f>
        <v>敵の連続攻撃には</v>
      </c>
      <c r="L76" s="95" t="str">
        <f>VLOOKUP(I76,[7]stage_hints!$A:$D,4,FALSE)</f>
        <v>カウンタースキルを持つユニットがいれば_x000D_ダメージ回数分の反撃ができます</v>
      </c>
      <c r="M76" s="57" t="s">
        <v>210</v>
      </c>
    </row>
    <row r="77" spans="1:13" x14ac:dyDescent="0.15">
      <c r="A77" s="82" t="s">
        <v>200</v>
      </c>
      <c r="B77" s="83">
        <f>floors!$C$2</f>
        <v>30027</v>
      </c>
      <c r="C77" s="84" t="str">
        <f ca="1">VLOOKUP($B77,OFFSET([2]quests!$A$1,0,0,COUNTA([2]quests!$A:$A),MATCH(C$1,[2]quests!$1:$1,0)-MATCH($B$1,[2]quests!$1:$1,0)+1),MATCH(C$1,[2]quests!$1:$1,0)-MATCH($B$1,[2]quests!$1:$1,0)+1,FALSE)</f>
        <v>凍りつくまで愛してあげる</v>
      </c>
      <c r="D77" s="84" t="str">
        <f ca="1">VLOOKUP($B77,OFFSET([2]quests!$A$1,0,0,COUNTA([2]quests!$A:$A),MATCH(D$1,[2]quests!$1:$1,0)-MATCH($B$1,[2]quests!$1:$1,0)+1),MATCH(D$1,[2]quests!$1:$1,0)-MATCH($B$1,[2]quests!$1:$1,0)+1,FALSE)</f>
        <v>ドロップイベント7（マルチ専用）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7" s="86">
        <v>0</v>
      </c>
      <c r="I77">
        <v>33</v>
      </c>
      <c r="J77" s="85" t="s">
        <v>197</v>
      </c>
      <c r="K77" s="94" t="str">
        <f>VLOOKUP(I77,[7]stage_hints!$A:$C,3,FALSE)</f>
        <v>敵のカウンター攻撃には</v>
      </c>
      <c r="L77" s="95" t="str">
        <f>VLOOKUP(I77,[7]stage_hints!$A:$D,4,FALSE)</f>
        <v>カウンターブレイクスキルを持っていれば_x000D_敵のカウンターを解除して攻撃ができます</v>
      </c>
      <c r="M77" s="57" t="s">
        <v>210</v>
      </c>
    </row>
    <row r="78" spans="1:13" x14ac:dyDescent="0.15">
      <c r="A78" s="82" t="s">
        <v>200</v>
      </c>
      <c r="B78" s="83">
        <f>floors!$C$2</f>
        <v>30027</v>
      </c>
      <c r="C78" s="84" t="str">
        <f ca="1">VLOOKUP($B78,OFFSET([2]quests!$A$1,0,0,COUNTA([2]quests!$A:$A),MATCH(C$1,[2]quests!$1:$1,0)-MATCH($B$1,[2]quests!$1:$1,0)+1),MATCH(C$1,[2]quests!$1:$1,0)-MATCH($B$1,[2]quests!$1:$1,0)+1,FALSE)</f>
        <v>凍りつくまで愛してあげる</v>
      </c>
      <c r="D78" s="84" t="str">
        <f ca="1">VLOOKUP($B78,OFFSET([2]quests!$A$1,0,0,COUNTA([2]quests!$A:$A),MATCH(D$1,[2]quests!$1:$1,0)-MATCH($B$1,[2]quests!$1:$1,0)+1),MATCH(D$1,[2]quests!$1:$1,0)-MATCH($B$1,[2]quests!$1:$1,0)+1,FALSE)</f>
        <v>ドロップイベント7（マルチ専用）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8" s="86">
        <v>0</v>
      </c>
      <c r="I78">
        <v>34</v>
      </c>
      <c r="J78" s="85" t="s">
        <v>197</v>
      </c>
      <c r="K78" s="94" t="str">
        <f>VLOOKUP(I78,[7]stage_hints!$A:$C,3,FALSE)</f>
        <v>ステータスをスキルで下げられたら</v>
      </c>
      <c r="L78" s="95" t="str">
        <f>VLOOKUP(I78,[7]stage_hints!$A:$D,4,FALSE)</f>
        <v>ステータスダウンのスキルを受けたら_x000D_ステータスアップスキルで上書きしましょう</v>
      </c>
      <c r="M78" s="57" t="s">
        <v>210</v>
      </c>
    </row>
    <row r="79" spans="1:13" x14ac:dyDescent="0.15">
      <c r="A79" s="82" t="s">
        <v>200</v>
      </c>
      <c r="B79" s="83">
        <f>floors!$C$2</f>
        <v>30027</v>
      </c>
      <c r="C79" s="84" t="str">
        <f ca="1">VLOOKUP($B79,OFFSET([2]quests!$A$1,0,0,COUNTA([2]quests!$A:$A),MATCH(C$1,[2]quests!$1:$1,0)-MATCH($B$1,[2]quests!$1:$1,0)+1),MATCH(C$1,[2]quests!$1:$1,0)-MATCH($B$1,[2]quests!$1:$1,0)+1,FALSE)</f>
        <v>凍りつくまで愛してあげる</v>
      </c>
      <c r="D79" s="84" t="str">
        <f ca="1">VLOOKUP($B79,OFFSET([2]quests!$A$1,0,0,COUNTA([2]quests!$A:$A),MATCH(D$1,[2]quests!$1:$1,0)-MATCH($B$1,[2]quests!$1:$1,0)+1),MATCH(D$1,[2]quests!$1:$1,0)-MATCH($B$1,[2]quests!$1:$1,0)+1,FALSE)</f>
        <v>ドロップイベント7（マルチ専用）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9" s="86">
        <v>0</v>
      </c>
      <c r="I79">
        <v>35</v>
      </c>
      <c r="J79" s="85" t="s">
        <v>197</v>
      </c>
      <c r="K79" s="94" t="str">
        <f>VLOOKUP(I79,[7]stage_hints!$A:$C,3,FALSE)</f>
        <v>敵のステータスがスキルで上がったら</v>
      </c>
      <c r="L79" s="95" t="str">
        <f>VLOOKUP(I79,[7]stage_hints!$A:$D,4,FALSE)</f>
        <v>敵のステータスがスキルでアップしたときは_x000D_ステータスダウンスキルで上書きしましょう</v>
      </c>
      <c r="M79" s="57" t="s">
        <v>210</v>
      </c>
    </row>
    <row r="80" spans="1:13" x14ac:dyDescent="0.15">
      <c r="A80" s="82" t="s">
        <v>200</v>
      </c>
      <c r="B80" s="83">
        <f>floors!$C$2</f>
        <v>30027</v>
      </c>
      <c r="C80" s="84" t="str">
        <f ca="1">VLOOKUP($B80,OFFSET([2]quests!$A$1,0,0,COUNTA([2]quests!$A:$A),MATCH(C$1,[2]quests!$1:$1,0)-MATCH($B$1,[2]quests!$1:$1,0)+1),MATCH(C$1,[2]quests!$1:$1,0)-MATCH($B$1,[2]quests!$1:$1,0)+1,FALSE)</f>
        <v>凍りつくまで愛してあげる</v>
      </c>
      <c r="D80" s="84" t="str">
        <f ca="1">VLOOKUP($B80,OFFSET([2]quests!$A$1,0,0,COUNTA([2]quests!$A:$A),MATCH(D$1,[2]quests!$1:$1,0)-MATCH($B$1,[2]quests!$1:$1,0)+1),MATCH(D$1,[2]quests!$1:$1,0)-MATCH($B$1,[2]quests!$1:$1,0)+1,FALSE)</f>
        <v>ドロップイベント7（マルチ専用）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0" s="86">
        <v>0</v>
      </c>
      <c r="I80">
        <v>36</v>
      </c>
      <c r="J80" s="85" t="s">
        <v>197</v>
      </c>
      <c r="K80" s="94" t="str">
        <f>VLOOKUP(I80,[7]stage_hints!$A:$C,3,FALSE)</f>
        <v>タワーオブザクイーンのボス</v>
      </c>
      <c r="L80" s="95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210</v>
      </c>
    </row>
    <row r="81" spans="1:13" x14ac:dyDescent="0.15">
      <c r="A81" s="82" t="s">
        <v>200</v>
      </c>
      <c r="B81" s="83">
        <f>floors!$C$2</f>
        <v>30027</v>
      </c>
      <c r="C81" s="84" t="str">
        <f ca="1">VLOOKUP($B81,OFFSET([2]quests!$A$1,0,0,COUNTA([2]quests!$A:$A),MATCH(C$1,[2]quests!$1:$1,0)-MATCH($B$1,[2]quests!$1:$1,0)+1),MATCH(C$1,[2]quests!$1:$1,0)-MATCH($B$1,[2]quests!$1:$1,0)+1,FALSE)</f>
        <v>凍りつくまで愛してあげる</v>
      </c>
      <c r="D81" s="84" t="str">
        <f ca="1">VLOOKUP($B81,OFFSET([2]quests!$A$1,0,0,COUNTA([2]quests!$A:$A),MATCH(D$1,[2]quests!$1:$1,0)-MATCH($B$1,[2]quests!$1:$1,0)+1),MATCH(D$1,[2]quests!$1:$1,0)-MATCH($B$1,[2]quests!$1:$1,0)+1,FALSE)</f>
        <v>ドロップイベント7（マルチ専用）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1" s="86">
        <v>0</v>
      </c>
      <c r="I81">
        <v>37</v>
      </c>
      <c r="J81" s="85" t="s">
        <v>197</v>
      </c>
      <c r="K81" s="94" t="str">
        <f>VLOOKUP(I81,[7]stage_hints!$A:$C,3,FALSE)</f>
        <v>限界突破値の引き継ぎ</v>
      </c>
      <c r="L81" s="95" t="str">
        <f>VLOOKUP(I81,[7]stage_hints!$A:$D,4,FALSE)</f>
        <v>同じユニットを強化で合成すると_x000D_限界突破値を引き継げます（覚醒前後も可）</v>
      </c>
      <c r="M81" s="57" t="s">
        <v>210</v>
      </c>
    </row>
    <row r="82" spans="1:13" x14ac:dyDescent="0.15">
      <c r="A82" s="82" t="s">
        <v>200</v>
      </c>
      <c r="B82" s="83">
        <f>floors!$C$2</f>
        <v>30027</v>
      </c>
      <c r="C82" s="84" t="str">
        <f ca="1">VLOOKUP($B82,OFFSET([2]quests!$A$1,0,0,COUNTA([2]quests!$A:$A),MATCH(C$1,[2]quests!$1:$1,0)-MATCH($B$1,[2]quests!$1:$1,0)+1),MATCH(C$1,[2]quests!$1:$1,0)-MATCH($B$1,[2]quests!$1:$1,0)+1,FALSE)</f>
        <v>凍りつくまで愛してあげる</v>
      </c>
      <c r="D82" s="84" t="str">
        <f ca="1">VLOOKUP($B82,OFFSET([2]quests!$A$1,0,0,COUNTA([2]quests!$A:$A),MATCH(D$1,[2]quests!$1:$1,0)-MATCH($B$1,[2]quests!$1:$1,0)+1),MATCH(D$1,[2]quests!$1:$1,0)-MATCH($B$1,[2]quests!$1:$1,0)+1,FALSE)</f>
        <v>ドロップイベント7（マルチ専用）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2" s="86">
        <v>0</v>
      </c>
      <c r="I82">
        <v>39</v>
      </c>
      <c r="J82" s="85" t="s">
        <v>197</v>
      </c>
      <c r="K82" s="94" t="str">
        <f>VLOOKUP(I82,[7]stage_hints!$A:$C,3,FALSE)</f>
        <v>システム適合者を確認</v>
      </c>
      <c r="L82" s="95" t="str">
        <f>VLOOKUP(I82,[7]stage_hints!$A:$D,4,FALSE)</f>
        <v>ALICEが 「アナタ」を呼んでいます</v>
      </c>
      <c r="M82" s="57" t="s">
        <v>210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1"/>
  <sheetViews>
    <sheetView showGridLines="0" workbookViewId="0">
      <pane ySplit="1" topLeftCell="A2" activePane="bottomLeft" state="frozen"/>
      <selection pane="bottomLeft" activeCell="M16" sqref="M1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187</v>
      </c>
      <c r="B1" s="73" t="s">
        <v>150</v>
      </c>
      <c r="C1" s="78" t="s">
        <v>189</v>
      </c>
      <c r="D1" s="78" t="s">
        <v>33</v>
      </c>
      <c r="E1" s="73" t="s">
        <v>190</v>
      </c>
      <c r="F1" s="78" t="s">
        <v>18</v>
      </c>
      <c r="G1" s="78" t="s">
        <v>33</v>
      </c>
      <c r="H1" s="73" t="s">
        <v>192</v>
      </c>
      <c r="I1" s="90" t="s">
        <v>193</v>
      </c>
      <c r="J1" s="92" t="s">
        <v>194</v>
      </c>
      <c r="K1" s="80" t="s">
        <v>126</v>
      </c>
      <c r="L1" s="79" t="s">
        <v>186</v>
      </c>
      <c r="M1" s="93" t="s">
        <v>185</v>
      </c>
      <c r="N1" s="81" t="s">
        <v>195</v>
      </c>
    </row>
    <row r="2" spans="1:14" ht="28" x14ac:dyDescent="0.15">
      <c r="A2" s="82" t="s">
        <v>196</v>
      </c>
      <c r="B2" s="83">
        <f>floors!$C$2</f>
        <v>30027</v>
      </c>
      <c r="C2" s="84" t="str">
        <f ca="1">VLOOKUP($B2,OFFSET([2]quests!$A$1,0,0,COUNTA([2]quests!$A:$A),MATCH(C$1,[2]quests!$1:$1,0)-MATCH($B$1,[2]quests!$1:$1,0)+1),MATCH(C$1,[2]quests!$1:$1,0)-MATCH($B$1,[2]quests!$1:$1,0)+1,FALSE)</f>
        <v>凍りつくまで愛してあげる</v>
      </c>
      <c r="D2" s="84" t="str">
        <f ca="1">VLOOKUP($B2,OFFSET([2]quests!$A$1,0,0,COUNTA([2]quests!$A:$A),MATCH(D$1,[2]quests!$1:$1,0)-MATCH($B$1,[2]quests!$1:$1,0)+1),MATCH(D$1,[2]quests!$1:$1,0)-MATCH($B$1,[2]quests!$1:$1,0)+1,FALSE)</f>
        <v>ドロップイベント7（マルチ専用）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" s="86">
        <v>1</v>
      </c>
      <c r="I2" s="91">
        <f t="shared" ref="I2:I11" si="0">ROW()-1</f>
        <v>1</v>
      </c>
      <c r="J2" s="87" t="str">
        <f t="shared" ref="J2:J11" si="1">B2&amp;TEXT(I2,"00")</f>
        <v>3002701</v>
      </c>
      <c r="K2" s="85" t="s">
        <v>197</v>
      </c>
      <c r="L2" s="88" t="s">
        <v>198</v>
      </c>
      <c r="M2" s="106" t="s">
        <v>254</v>
      </c>
      <c r="N2" s="57" t="s">
        <v>199</v>
      </c>
    </row>
    <row r="3" spans="1:14" ht="28" x14ac:dyDescent="0.15">
      <c r="A3" s="82" t="s">
        <v>196</v>
      </c>
      <c r="B3" s="83">
        <f>floors!$C$2</f>
        <v>30027</v>
      </c>
      <c r="C3" s="84" t="str">
        <f ca="1">VLOOKUP($B3,OFFSET([2]quests!$A$1,0,0,COUNTA([2]quests!$A:$A),MATCH(C$1,[2]quests!$1:$1,0)-MATCH($B$1,[2]quests!$1:$1,0)+1),MATCH(C$1,[2]quests!$1:$1,0)-MATCH($B$1,[2]quests!$1:$1,0)+1,FALSE)</f>
        <v>凍りつくまで愛してあげる</v>
      </c>
      <c r="D3" s="84" t="str">
        <f ca="1">VLOOKUP($B3,OFFSET([2]quests!$A$1,0,0,COUNTA([2]quests!$A:$A),MATCH(D$1,[2]quests!$1:$1,0)-MATCH($B$1,[2]quests!$1:$1,0)+1),MATCH(D$1,[2]quests!$1:$1,0)-MATCH($B$1,[2]quests!$1:$1,0)+1,FALSE)</f>
        <v>ドロップイベント7（マルチ専用）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" s="86">
        <v>2</v>
      </c>
      <c r="I3" s="91">
        <f t="shared" si="0"/>
        <v>2</v>
      </c>
      <c r="J3" s="87" t="str">
        <f t="shared" si="1"/>
        <v>3002702</v>
      </c>
      <c r="K3" s="85" t="s">
        <v>127</v>
      </c>
      <c r="L3" s="88" t="s">
        <v>198</v>
      </c>
      <c r="M3" s="106" t="s">
        <v>255</v>
      </c>
      <c r="N3" s="57" t="s">
        <v>199</v>
      </c>
    </row>
    <row r="4" spans="1:14" ht="28" x14ac:dyDescent="0.15">
      <c r="A4" s="82" t="s">
        <v>196</v>
      </c>
      <c r="B4" s="83">
        <f>floors!$C$2</f>
        <v>30027</v>
      </c>
      <c r="C4" s="84" t="str">
        <f ca="1">VLOOKUP($B4,OFFSET([2]quests!$A$1,0,0,COUNTA([2]quests!$A:$A),MATCH(C$1,[2]quests!$1:$1,0)-MATCH($B$1,[2]quests!$1:$1,0)+1),MATCH(C$1,[2]quests!$1:$1,0)-MATCH($B$1,[2]quests!$1:$1,0)+1,FALSE)</f>
        <v>凍りつくまで愛してあげる</v>
      </c>
      <c r="D4" s="84" t="str">
        <f ca="1">VLOOKUP($B4,OFFSET([2]quests!$A$1,0,0,COUNTA([2]quests!$A:$A),MATCH(D$1,[2]quests!$1:$1,0)-MATCH($B$1,[2]quests!$1:$1,0)+1),MATCH(D$1,[2]quests!$1:$1,0)-MATCH($B$1,[2]quests!$1:$1,0)+1,FALSE)</f>
        <v>ドロップイベント7（マルチ専用）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【中級】凍りつくまで愛してあげる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" s="86">
        <v>3</v>
      </c>
      <c r="I4" s="91">
        <f t="shared" si="0"/>
        <v>3</v>
      </c>
      <c r="J4" s="87" t="str">
        <f t="shared" si="1"/>
        <v>3002703</v>
      </c>
      <c r="K4" s="85" t="s">
        <v>127</v>
      </c>
      <c r="L4" s="88" t="s">
        <v>198</v>
      </c>
      <c r="M4" s="106" t="s">
        <v>260</v>
      </c>
      <c r="N4" s="57" t="s">
        <v>199</v>
      </c>
    </row>
    <row r="5" spans="1:14" ht="28" x14ac:dyDescent="0.15">
      <c r="A5" s="82" t="s">
        <v>196</v>
      </c>
      <c r="B5" s="83">
        <f>floors!$C$2</f>
        <v>30027</v>
      </c>
      <c r="C5" s="84" t="str">
        <f ca="1">VLOOKUP($B5,OFFSET([2]quests!$A$1,0,0,COUNTA([2]quests!$A:$A),MATCH(C$1,[2]quests!$1:$1,0)-MATCH($B$1,[2]quests!$1:$1,0)+1),MATCH(C$1,[2]quests!$1:$1,0)-MATCH($B$1,[2]quests!$1:$1,0)+1,FALSE)</f>
        <v>凍りつくまで愛してあげる</v>
      </c>
      <c r="D5" s="84" t="str">
        <f ca="1">VLOOKUP($B5,OFFSET([2]quests!$A$1,0,0,COUNTA([2]quests!$A:$A),MATCH(D$1,[2]quests!$1:$1,0)-MATCH($B$1,[2]quests!$1:$1,0)+1),MATCH(D$1,[2]quests!$1:$1,0)-MATCH($B$1,[2]quests!$1:$1,0)+1,FALSE)</f>
        <v>ドロップイベント7（マルチ専用）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" s="86">
        <v>1</v>
      </c>
      <c r="I5" s="91">
        <f t="shared" si="0"/>
        <v>4</v>
      </c>
      <c r="J5" s="87" t="str">
        <f t="shared" si="1"/>
        <v>3002704</v>
      </c>
      <c r="K5" s="85" t="s">
        <v>127</v>
      </c>
      <c r="L5" s="88" t="s">
        <v>198</v>
      </c>
      <c r="M5" s="106" t="s">
        <v>255</v>
      </c>
      <c r="N5" s="57" t="s">
        <v>199</v>
      </c>
    </row>
    <row r="6" spans="1:14" ht="28" x14ac:dyDescent="0.15">
      <c r="A6" s="82" t="s">
        <v>196</v>
      </c>
      <c r="B6" s="83">
        <f>floors!$C$2</f>
        <v>30027</v>
      </c>
      <c r="C6" s="84" t="str">
        <f ca="1">VLOOKUP($B6,OFFSET([2]quests!$A$1,0,0,COUNTA([2]quests!$A:$A),MATCH(C$1,[2]quests!$1:$1,0)-MATCH($B$1,[2]quests!$1:$1,0)+1),MATCH(C$1,[2]quests!$1:$1,0)-MATCH($B$1,[2]quests!$1:$1,0)+1,FALSE)</f>
        <v>凍りつくまで愛してあげる</v>
      </c>
      <c r="D6" s="84" t="str">
        <f ca="1">VLOOKUP($B6,OFFSET([2]quests!$A$1,0,0,COUNTA([2]quests!$A:$A),MATCH(D$1,[2]quests!$1:$1,0)-MATCH($B$1,[2]quests!$1:$1,0)+1),MATCH(D$1,[2]quests!$1:$1,0)-MATCH($B$1,[2]quests!$1:$1,0)+1,FALSE)</f>
        <v>ドロップイベント7（マルチ専用）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" s="86">
        <v>2</v>
      </c>
      <c r="I6" s="91">
        <f t="shared" si="0"/>
        <v>5</v>
      </c>
      <c r="J6" s="87" t="str">
        <f t="shared" si="1"/>
        <v>3002705</v>
      </c>
      <c r="K6" s="85" t="s">
        <v>127</v>
      </c>
      <c r="L6" s="88" t="s">
        <v>198</v>
      </c>
      <c r="M6" s="106" t="s">
        <v>255</v>
      </c>
      <c r="N6" s="57" t="s">
        <v>199</v>
      </c>
    </row>
    <row r="7" spans="1:14" ht="56" x14ac:dyDescent="0.15">
      <c r="A7" s="82" t="s">
        <v>196</v>
      </c>
      <c r="B7" s="83">
        <f>floors!$C$2</f>
        <v>30027</v>
      </c>
      <c r="C7" s="84" t="str">
        <f ca="1">VLOOKUP($B7,OFFSET([2]quests!$A$1,0,0,COUNTA([2]quests!$A:$A),MATCH(C$1,[2]quests!$1:$1,0)-MATCH($B$1,[2]quests!$1:$1,0)+1),MATCH(C$1,[2]quests!$1:$1,0)-MATCH($B$1,[2]quests!$1:$1,0)+1,FALSE)</f>
        <v>凍りつくまで愛してあげる</v>
      </c>
      <c r="D7" s="84" t="str">
        <f ca="1">VLOOKUP($B7,OFFSET([2]quests!$A$1,0,0,COUNTA([2]quests!$A:$A),MATCH(D$1,[2]quests!$1:$1,0)-MATCH($B$1,[2]quests!$1:$1,0)+1),MATCH(D$1,[2]quests!$1:$1,0)-MATCH($B$1,[2]quests!$1:$1,0)+1,FALSE)</f>
        <v>ドロップイベント7（マルチ専用）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【上級】凍りつくまで愛してあげる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" s="86">
        <v>3</v>
      </c>
      <c r="I7" s="91">
        <f t="shared" si="0"/>
        <v>6</v>
      </c>
      <c r="J7" s="87" t="str">
        <f t="shared" si="1"/>
        <v>3002706</v>
      </c>
      <c r="K7" s="85" t="s">
        <v>127</v>
      </c>
      <c r="L7" s="88" t="s">
        <v>198</v>
      </c>
      <c r="M7" s="106" t="s">
        <v>259</v>
      </c>
      <c r="N7" s="57" t="s">
        <v>199</v>
      </c>
    </row>
    <row r="8" spans="1:14" ht="28" x14ac:dyDescent="0.15">
      <c r="A8" s="82" t="s">
        <v>196</v>
      </c>
      <c r="B8" s="83">
        <f>floors!$C$2</f>
        <v>30027</v>
      </c>
      <c r="C8" s="84" t="str">
        <f ca="1">VLOOKUP($B8,OFFSET([2]quests!$A$1,0,0,COUNTA([2]quests!$A:$A),MATCH(C$1,[2]quests!$1:$1,0)-MATCH($B$1,[2]quests!$1:$1,0)+1),MATCH(C$1,[2]quests!$1:$1,0)-MATCH($B$1,[2]quests!$1:$1,0)+1,FALSE)</f>
        <v>凍りつくまで愛してあげる</v>
      </c>
      <c r="D8" s="84" t="str">
        <f ca="1">VLOOKUP($B8,OFFSET([2]quests!$A$1,0,0,COUNTA([2]quests!$A:$A),MATCH(D$1,[2]quests!$1:$1,0)-MATCH($B$1,[2]quests!$1:$1,0)+1),MATCH(D$1,[2]quests!$1:$1,0)-MATCH($B$1,[2]quests!$1:$1,0)+1,FALSE)</f>
        <v>ドロップイベント7（マルチ専用）</v>
      </c>
      <c r="E8" s="85">
        <v>3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" s="86">
        <v>1</v>
      </c>
      <c r="I8" s="91">
        <f t="shared" si="0"/>
        <v>7</v>
      </c>
      <c r="J8" s="87" t="str">
        <f t="shared" si="1"/>
        <v>3002707</v>
      </c>
      <c r="K8" s="85" t="s">
        <v>127</v>
      </c>
      <c r="L8" s="88" t="s">
        <v>198</v>
      </c>
      <c r="M8" s="106" t="s">
        <v>255</v>
      </c>
      <c r="N8" s="57" t="s">
        <v>199</v>
      </c>
    </row>
    <row r="9" spans="1:14" ht="56" x14ac:dyDescent="0.15">
      <c r="A9" s="82" t="s">
        <v>196</v>
      </c>
      <c r="B9" s="83">
        <f>floors!$C$2</f>
        <v>30027</v>
      </c>
      <c r="C9" s="84" t="str">
        <f ca="1">VLOOKUP($B9,OFFSET([2]quests!$A$1,0,0,COUNTA([2]quests!$A:$A),MATCH(C$1,[2]quests!$1:$1,0)-MATCH($B$1,[2]quests!$1:$1,0)+1),MATCH(C$1,[2]quests!$1:$1,0)-MATCH($B$1,[2]quests!$1:$1,0)+1,FALSE)</f>
        <v>凍りつくまで愛してあげる</v>
      </c>
      <c r="D9" s="84" t="str">
        <f ca="1">VLOOKUP($B9,OFFSET([2]quests!$A$1,0,0,COUNTA([2]quests!$A:$A),MATCH(D$1,[2]quests!$1:$1,0)-MATCH($B$1,[2]quests!$1:$1,0)+1),MATCH(D$1,[2]quests!$1:$1,0)-MATCH($B$1,[2]quests!$1:$1,0)+1,FALSE)</f>
        <v>ドロップイベント7（マルチ専用）</v>
      </c>
      <c r="E9" s="85">
        <v>3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9" s="86">
        <v>2</v>
      </c>
      <c r="I9" s="91">
        <f t="shared" si="0"/>
        <v>8</v>
      </c>
      <c r="J9" s="87" t="str">
        <f t="shared" si="1"/>
        <v>3002708</v>
      </c>
      <c r="K9" s="85" t="s">
        <v>127</v>
      </c>
      <c r="L9" s="88" t="s">
        <v>198</v>
      </c>
      <c r="M9" s="106" t="s">
        <v>258</v>
      </c>
      <c r="N9" s="57" t="s">
        <v>199</v>
      </c>
    </row>
    <row r="10" spans="1:14" ht="28" x14ac:dyDescent="0.15">
      <c r="A10" s="82" t="s">
        <v>196</v>
      </c>
      <c r="B10" s="83">
        <f>floors!$C$2</f>
        <v>30027</v>
      </c>
      <c r="C10" s="84" t="str">
        <f ca="1">VLOOKUP($B10,OFFSET([2]quests!$A$1,0,0,COUNTA([2]quests!$A:$A),MATCH(C$1,[2]quests!$1:$1,0)-MATCH($B$1,[2]quests!$1:$1,0)+1),MATCH(C$1,[2]quests!$1:$1,0)-MATCH($B$1,[2]quests!$1:$1,0)+1,FALSE)</f>
        <v>凍りつくまで愛してあげる</v>
      </c>
      <c r="D10" s="84" t="str">
        <f ca="1">VLOOKUP($B10,OFFSET([2]quests!$A$1,0,0,COUNTA([2]quests!$A:$A),MATCH(D$1,[2]quests!$1:$1,0)-MATCH($B$1,[2]quests!$1:$1,0)+1),MATCH(D$1,[2]quests!$1:$1,0)-MATCH($B$1,[2]quests!$1:$1,0)+1,FALSE)</f>
        <v>ドロップイベント7（マルチ専用）</v>
      </c>
      <c r="E10" s="85">
        <v>3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0" s="86">
        <v>3</v>
      </c>
      <c r="I10" s="91">
        <f t="shared" si="0"/>
        <v>9</v>
      </c>
      <c r="J10" s="87" t="str">
        <f t="shared" si="1"/>
        <v>3002709</v>
      </c>
      <c r="K10" s="85" t="s">
        <v>127</v>
      </c>
      <c r="L10" s="88" t="s">
        <v>198</v>
      </c>
      <c r="M10" s="106" t="s">
        <v>256</v>
      </c>
      <c r="N10" s="57" t="s">
        <v>199</v>
      </c>
    </row>
    <row r="11" spans="1:14" ht="56" x14ac:dyDescent="0.15">
      <c r="A11" s="82" t="s">
        <v>196</v>
      </c>
      <c r="B11" s="83">
        <f>floors!$C$2</f>
        <v>30027</v>
      </c>
      <c r="C11" s="84" t="str">
        <f ca="1">VLOOKUP($B11,OFFSET([2]quests!$A$1,0,0,COUNTA([2]quests!$A:$A),MATCH(C$1,[2]quests!$1:$1,0)-MATCH($B$1,[2]quests!$1:$1,0)+1),MATCH(C$1,[2]quests!$1:$1,0)-MATCH($B$1,[2]quests!$1:$1,0)+1,FALSE)</f>
        <v>凍りつくまで愛してあげる</v>
      </c>
      <c r="D11" s="84" t="str">
        <f ca="1">VLOOKUP($B11,OFFSET([2]quests!$A$1,0,0,COUNTA([2]quests!$A:$A),MATCH(D$1,[2]quests!$1:$1,0)-MATCH($B$1,[2]quests!$1:$1,0)+1),MATCH(D$1,[2]quests!$1:$1,0)-MATCH($B$1,[2]quests!$1:$1,0)+1,FALSE)</f>
        <v>ドロップイベント7（マルチ専用）</v>
      </c>
      <c r="E11" s="85">
        <v>3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【超級】凍りつくまで愛してあげる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1" s="86">
        <v>4</v>
      </c>
      <c r="I11" s="91">
        <f t="shared" si="0"/>
        <v>10</v>
      </c>
      <c r="J11" s="87" t="str">
        <f t="shared" si="1"/>
        <v>3002710</v>
      </c>
      <c r="K11" s="85" t="s">
        <v>127</v>
      </c>
      <c r="L11" s="88" t="s">
        <v>198</v>
      </c>
      <c r="M11" s="106" t="s">
        <v>259</v>
      </c>
      <c r="N11" s="57" t="s">
        <v>199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2017-03-08T06:01:58Z</dcterms:modified>
</cp:coreProperties>
</file>