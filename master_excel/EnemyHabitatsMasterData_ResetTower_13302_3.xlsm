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00" yWindow="2000" windowWidth="38400" windowHeight="210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M8" i="10"/>
  <c r="N8" i="10"/>
  <c r="Q8" i="10"/>
  <c r="P8" i="10"/>
  <c r="R8" i="10"/>
  <c r="O8" i="10"/>
  <c r="S8" i="10"/>
  <c r="M9" i="10"/>
  <c r="N9" i="10"/>
  <c r="Q9" i="10"/>
  <c r="P9" i="10"/>
  <c r="R9" i="10"/>
  <c r="O9" i="10"/>
  <c r="S9" i="10"/>
  <c r="G2" i="2"/>
  <c r="A2" i="2"/>
  <c r="G3" i="2"/>
  <c r="A3" i="2"/>
  <c r="G4" i="2"/>
  <c r="A4" i="2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E2" i="9"/>
  <c r="X2" i="1"/>
  <c r="E15" i="9"/>
  <c r="X7" i="1"/>
  <c r="E12" i="9"/>
  <c r="X6" i="1"/>
  <c r="E10" i="9"/>
  <c r="X5" i="1"/>
  <c r="E8" i="9"/>
  <c r="X4" i="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T9" i="10"/>
  <c r="W9" i="10"/>
  <c r="V9" i="10"/>
  <c r="X9" i="10"/>
  <c r="U9" i="10"/>
  <c r="Y9" i="10"/>
  <c r="G9" i="10"/>
  <c r="J9" i="10"/>
  <c r="I9" i="10"/>
  <c r="K9" i="10"/>
  <c r="H9" i="10"/>
  <c r="L9" i="10"/>
  <c r="T8" i="10"/>
  <c r="W8" i="10"/>
  <c r="V8" i="10"/>
  <c r="X8" i="10"/>
  <c r="U8" i="10"/>
  <c r="Y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10"/>
  <c r="J2" i="10"/>
  <c r="I2" i="10"/>
  <c r="K2" i="10"/>
  <c r="H2" i="10"/>
  <c r="L2" i="10"/>
  <c r="O6" i="1"/>
  <c r="J16" i="11"/>
  <c r="J15" i="11"/>
  <c r="J14" i="11"/>
  <c r="J13" i="11"/>
  <c r="J12" i="11"/>
  <c r="J11" i="11"/>
  <c r="J10" i="11"/>
  <c r="J9" i="11"/>
  <c r="J8" i="11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D7" i="9"/>
  <c r="E7" i="9"/>
  <c r="D8" i="9"/>
  <c r="D9" i="9"/>
  <c r="E9" i="9"/>
  <c r="D10" i="9"/>
  <c r="D11" i="9"/>
  <c r="E11" i="9"/>
  <c r="D12" i="9"/>
  <c r="D13" i="9"/>
  <c r="E13" i="9"/>
  <c r="D14" i="9"/>
  <c r="E14" i="9"/>
  <c r="D15" i="9"/>
  <c r="D16" i="9"/>
  <c r="E16" i="9"/>
  <c r="A16" i="9"/>
  <c r="A15" i="9"/>
  <c r="A14" i="9"/>
  <c r="A13" i="9"/>
  <c r="A12" i="9"/>
  <c r="A11" i="9"/>
  <c r="A10" i="9"/>
  <c r="A9" i="9"/>
  <c r="A8" i="9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H2" i="1"/>
  <c r="H3" i="1"/>
  <c r="B4" i="2"/>
  <c r="I2" i="21"/>
  <c r="G2" i="21"/>
  <c r="F2" i="21"/>
  <c r="D2" i="21"/>
  <c r="C2" i="21"/>
  <c r="C6" i="18"/>
  <c r="D6" i="18"/>
  <c r="C5" i="18"/>
  <c r="D5" i="18"/>
  <c r="C4" i="18"/>
  <c r="D4" i="18"/>
  <c r="C3" i="18"/>
  <c r="D3" i="18"/>
  <c r="C2" i="18"/>
  <c r="D2" i="18"/>
  <c r="G2" i="22"/>
  <c r="N3" i="22"/>
  <c r="G3" i="22"/>
  <c r="D3" i="22"/>
  <c r="C3" i="22"/>
  <c r="A3" i="22"/>
  <c r="N2" i="22"/>
  <c r="D2" i="22"/>
  <c r="C2" i="22"/>
  <c r="A2" i="22"/>
  <c r="J4" i="11"/>
  <c r="J3" i="11"/>
  <c r="J2" i="1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A7" i="9"/>
  <c r="E6" i="9"/>
  <c r="D6" i="9"/>
  <c r="A6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G2" i="9"/>
  <c r="D2" i="9"/>
  <c r="A2" i="9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J2" i="1"/>
  <c r="I2" i="1"/>
  <c r="D2" i="1"/>
  <c r="F2" i="1"/>
  <c r="E2" i="1"/>
  <c r="A2" i="1"/>
  <c r="H3" i="2"/>
  <c r="E3" i="2"/>
  <c r="D3" i="2"/>
  <c r="B3" i="2"/>
  <c r="E13" i="16"/>
  <c r="E12" i="16"/>
  <c r="E11" i="16"/>
  <c r="E10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<sst xmlns="http://schemas.openxmlformats.org/spreadsheetml/2006/main" count="588" uniqueCount="329">
  <si>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</si>
  <si>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</si>
  <si>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</si>
  <si>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</si>
  <si>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</si>
  <si>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</si>
  <si>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</si>
  <si>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</si>
  <si>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</si>
  <si>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</si>
  <si>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</si>
  <si>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</si>
  <si>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</si>
  <si>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</si>
  <si>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</si>
  <si>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</si>
  <si>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</si>
  <si>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</si>
  <si>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</si>
  <si>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</si>
  <si>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</si>
  <si>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</si>
  <si>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</si>
  <si>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</si>
  <si>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</si>
  <si>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</si>
  <si>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</si>
  <si>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</si>
  <si>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</si>
  <si>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</si>
  <si>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</si>
  <si>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</si>
  <si>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</si>
  <si>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</si>
  <si>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</si>
  <si>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</si>
  <si>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</si>
  <si>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</si>
  <si>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</si>
  <si>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</si>
  <si>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</si>
  <si>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</si>
  <si>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</si>
  <si>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</si>
  <si>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</si>
  <si>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</si>
  <si>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</si>
  <si>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</si>
  <si>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</si>
  <si>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</si>
  <si>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</si>
  <si>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</si>
  <si>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</si>
  <si>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</si>
  <si>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</si>
  <si>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</si>
  <si>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</si>
  <si>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</si>
  <si>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</si>
  <si>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</si>
  <si>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</si>
  <si>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</si>
  <si>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</si>
  <si>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</si>
  <si>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</si>
  <si>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</si>
  <si>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</si>
  <si>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</si>
  <si>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</si>
  <si>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</si>
  <si>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</si>
  <si>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</si>
  <si>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</si>
  <si>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</si>
  <si>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</si>
  <si>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</si>
  <si>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</si>
  <si>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</si>
  <si>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</si>
  <si>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</si>
  <si>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</si>
  <si>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</si>
  <si>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</si>
  <si>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</si>
  <si>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</si>
  <si>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</si>
  <si>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</si>
  <si>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</si>
  <si>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</si>
  <si>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</si>
  <si>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</si>
  <si>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</si>
  <si>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</si>
  <si>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</si>
  <si>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</si>
  <si>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</si>
  <si>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</si>
  <si>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</si>
  <si>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</si>
  <si>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</si>
  <si>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</si>
  <si>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</si>
  <si>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</si>
  <si>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</si>
  <si>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</si>
  <si>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</si>
  <si>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</si>
  <si>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</si>
  <si>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</si>
  <si>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</si>
  <si>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</si>
  <si>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</si>
  <si>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</si>
  <si>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</si>
  <si>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</si>
  <si>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</si>
  <si>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</si>
  <si>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</si>
  <si>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</si>
  <si>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</si>
  <si>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</si>
  <si>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</si>
  <si>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</si>
  <si>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</si>
  <si>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</si>
  <si>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</si>
  <si>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</si>
  <si>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</si>
  <si>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</si>
  <si>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</si>
  <si>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</si>
  <si>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</si>
  <si>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</si>
  <si>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</si>
  <si>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</si>
  <si>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</si>
  <si>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</si>
  <si>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</si>
  <si>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</si>
  <si>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</si>
  <si>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</si>
  <si>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</si>
  <si>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</si>
  <si>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</si>
  <si>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</si>
  <si>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</si>
  <si>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</si>
  <si>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</si>
  <si>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</si>
  <si>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</si>
  <si>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</si>
  <si>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</si>
  <si>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</si>
  <si>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</si>
  <si>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</si>
  <si>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</si>
  <si>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</si>
  <si>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</si>
  <si>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</si>
  <si>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</si>
  <si>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</si>
  <si>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</si>
  <si>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</si>
  <si>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</si>
  <si>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</si>
  <si>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</si>
  <si>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</si>
  <si>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</si>
  <si>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</si>
  <si>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</si>
  <si>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</si>
  <si>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</si>
  <si>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</si>
  <si>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</si>
  <si>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</si>
  <si>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</si>
  <si>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</si>
  <si>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</si>
  <si>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</si>
  <si>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</si>
  <si>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</si>
  <si>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</si>
  <si>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</si>
  <si>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</si>
  <si>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</si>
  <si>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</si>
  <si>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</si>
  <si>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</si>
  <si>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</si>
  <si>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</si>
  <si>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</si>
  <si>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</si>
  <si>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</si>
  <si>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</si>
  <si>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</si>
  <si>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</si>
  <si>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</si>
  <si>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</si>
  <si>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</si>
  <si>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</si>
  <si>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</si>
  <si>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</si>
  <si>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</si>
  <si>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</si>
  <si>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</si>
  <si>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</si>
  <si>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</si>
  <si>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</si>
  <si>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</si>
  <si>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</si>
  <si>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</si>
  <si>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</si>
  <si>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</si>
  <si>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</si>
  <si>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</si>
  <si>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</si>
  <si>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</si>
  <si>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</si>
  <si>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</si>
  <si>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</si>
  <si>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</si>
  <si>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</si>
  <si>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</si>
  <si>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</si>
  <si>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</si>
  <si>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</si>
  <si>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</si>
  <si>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</si>
  <si>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</si>
  <si>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</si>
  <si>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</si>
  <si>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</si>
  <si>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</si>
  <si>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</si>
  <si>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</si>
  <si>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</si>
  <si>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</si>
  <si>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</si>
  <si>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</si>
  <si>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</si>
  <si>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</si>
  <si>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</si>
  <si>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</si>
  <si>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</si>
  <si>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</si>
  <si>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</si>
  <si>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</si>
  <si>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</si>
  <si>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状態異常耐性</t>
    <phoneticPr fontId="5"/>
  </si>
  <si>
    <t>bit</t>
    <phoneticPr fontId="5"/>
  </si>
  <si>
    <t>null</t>
    <phoneticPr fontId="5"/>
  </si>
  <si>
    <t>singleonly</t>
    <phoneticPr fontId="5"/>
  </si>
  <si>
    <t>clear</t>
    <phoneticPr fontId="5"/>
  </si>
  <si>
    <t>2016-5-27 0:00:00</t>
    <phoneticPr fontId="5"/>
  </si>
  <si>
    <t>2970-01-01 09:00:00</t>
    <phoneticPr fontId="5"/>
  </si>
  <si>
    <t>NULL</t>
    <phoneticPr fontId="5"/>
  </si>
  <si>
    <t>3F ヒューマンコスト２８＆２６</t>
    <phoneticPr fontId="5"/>
  </si>
  <si>
    <t>全体攻撃</t>
    <phoneticPr fontId="5"/>
  </si>
  <si>
    <t>全体攻撃</t>
    <phoneticPr fontId="5"/>
  </si>
  <si>
    <t>3F ヒューマンコスト２８＆２６</t>
    <phoneticPr fontId="5"/>
  </si>
  <si>
    <t>unit</t>
    <phoneticPr fontId="5"/>
  </si>
  <si>
    <t>まだまだこれからだ！</t>
    <phoneticPr fontId="5"/>
  </si>
  <si>
    <t>お手並み拝見</t>
    <phoneticPr fontId="5"/>
  </si>
  <si>
    <t>許しませんっ！</t>
    <phoneticPr fontId="5"/>
  </si>
  <si>
    <t>5ターン攻撃力アップ</t>
    <phoneticPr fontId="5"/>
  </si>
  <si>
    <t>俺の攻撃に
いつまで耐えれるかな？</t>
    <phoneticPr fontId="5"/>
  </si>
  <si>
    <t>新しい武器
試していいですか？</t>
    <phoneticPr fontId="5"/>
  </si>
  <si>
    <t>ハートスプレーショット</t>
    <phoneticPr fontId="5"/>
  </si>
  <si>
    <t>カエデ</t>
    <phoneticPr fontId="5"/>
  </si>
  <si>
    <t>バキュームガン</t>
    <phoneticPr fontId="5"/>
  </si>
  <si>
    <t>ハートパネルを吸収して全体攻撃</t>
    <phoneticPr fontId="5"/>
  </si>
  <si>
    <t>計算通りだ</t>
    <phoneticPr fontId="5"/>
  </si>
  <si>
    <t>ウラシマ</t>
    <phoneticPr fontId="5"/>
  </si>
  <si>
    <t>気長に行こうぜ</t>
    <phoneticPr fontId="5"/>
  </si>
  <si>
    <t>3ターンハートパネルが出現しない
+単体攻撃</t>
    <phoneticPr fontId="5"/>
  </si>
  <si>
    <t>ウラシマ</t>
    <phoneticPr fontId="5"/>
  </si>
  <si>
    <t>黄パネル出現率アップ+黄パネル無効</t>
    <phoneticPr fontId="5"/>
  </si>
  <si>
    <t>舞の構え・ハート</t>
    <phoneticPr fontId="5"/>
  </si>
  <si>
    <t>静</t>
    <phoneticPr fontId="5"/>
  </si>
  <si>
    <t>狂喜乱舞</t>
    <phoneticPr fontId="5"/>
  </si>
  <si>
    <t>静</t>
    <phoneticPr fontId="5"/>
  </si>
  <si>
    <t>暴れるな、データが狂う</t>
    <phoneticPr fontId="5"/>
  </si>
  <si>
    <t>チカ</t>
    <phoneticPr fontId="5"/>
  </si>
  <si>
    <t>ja</t>
    <phoneticPr fontId="5"/>
  </si>
  <si>
    <t>カッターポイズン</t>
    <phoneticPr fontId="5"/>
  </si>
  <si>
    <t>4ターンウィルス+全体攻撃</t>
    <phoneticPr fontId="5"/>
  </si>
  <si>
    <t>null</t>
    <phoneticPr fontId="5"/>
  </si>
  <si>
    <t>カエデとウラシマは
ハートパネルを使って
盤面を妨害します
落ち着いて対処しましょう</t>
    <phoneticPr fontId="5"/>
  </si>
  <si>
    <t>静御前はハートパネル吸収の
攻撃を行います
優先的に処理をしましょう</t>
    <phoneticPr fontId="5"/>
  </si>
  <si>
    <t>静御前は黄パネルを無効にして
出現率を上昇させます
変換スキルが有効です</t>
    <phoneticPr fontId="5"/>
  </si>
  <si>
    <t>緑時限式ダメージパネルを8個生成</t>
    <phoneticPr fontId="5"/>
  </si>
  <si>
    <t>null</t>
    <phoneticPr fontId="5"/>
  </si>
  <si>
    <t>[effect:change_panel_ratio, turn:-1, block_type:yellow, val:0.38, animation:block_incidence04],[effect:dis_panel, target:block_yellow, turn:-1, animation:enemy_dis_yellow],[effect:enemy_message, val1:1.4, val2:2.2]</t>
    <phoneticPr fontId="5"/>
  </si>
  <si>
    <t>お邪魔パネルを3個生成+単体攻撃</t>
    <phoneticPr fontId="5"/>
  </si>
  <si>
    <t>ハートパネル変換を最大8個
+単体攻撃</t>
    <phoneticPr fontId="5"/>
  </si>
  <si>
    <t>ハートパネル変換を最大6個
+単体攻撃</t>
    <phoneticPr fontId="5"/>
  </si>
  <si>
    <t>3ターン全ユニットの攻撃力50%DOWN
+単体攻撃</t>
    <phoneticPr fontId="5"/>
  </si>
  <si>
    <t>[effect:force_change_block, new_block:time_bomb, target:block_all, ignore01:color_break, ignore02:crash, ignore03:crack_bomb, ignore04:time_bomb, color:block_green, count:6, val:0.2, min_time_count:3, max_time_count:4, animation:change_block],[effect:enemy_message, val1:1.4, val2:1.8]</t>
    <phoneticPr fontId="5"/>
  </si>
  <si>
    <t>[effect:spread, val:0.18],[effect:enemy_message, val1:1.4, val2:1.8]</t>
    <phoneticPr fontId="5"/>
  </si>
  <si>
    <t>[effect:break_attack_fix, target:unit_all, val:200, lowest_val:200, count:-1, color:red, block_color:block_heart, block01:block_heart],[effect:enemy_message, val1:1.4, val2:1.8]</t>
    <phoneticPr fontId="5"/>
  </si>
  <si>
    <t>女王の名の下に…</t>
    <phoneticPr fontId="5"/>
  </si>
  <si>
    <t>[effect:tolerance, target:enemy_all, turn:-1, count:-1, tolerance_effect:all, animation:enemy_tolerance],[effect:enemy_message, val1:1.4, val2:2]</t>
    <phoneticPr fontId="5"/>
  </si>
  <si>
    <t>[effect:break_attack_fix, target:unit_all, val:170, lowest_val:200, count:-1, color:green, block_color:block_heart, block01:block_heart],[effect:enemy_message, val1:1.4, val2:1.8]</t>
    <phoneticPr fontId="5"/>
  </si>
  <si>
    <t>[effect:spread, val:0.18],[effect:enemy_message, val1:1.4, val2:1.8]</t>
    <phoneticPr fontId="5"/>
  </si>
  <si>
    <t>[effect:spread, val:0.28],[effect:enemy_message, val1:1.4, val2:1.8]</t>
    <phoneticPr fontId="5"/>
  </si>
  <si>
    <t>[effect:rush, count:1, val:1.15],[effect:change_panel_ratio, turn:3, block_type:heal, val:0, animation:block_incidence04],[effect:enemy_message, val1:1.4, val2:1.8]</t>
    <phoneticPr fontId="5"/>
  </si>
  <si>
    <t>[effect:spread, val:0.15],[effect:virus, target:unit_all, turn:4, rate:1, val:0.13, animation:enemy_virus],[effect:enemy_message, val1:1.4, val2:1.8]</t>
    <phoneticPr fontId="5"/>
  </si>
  <si>
    <t>[effect:rush, count:1, val:0.9],[effect:degrade_unit, target:unit_all, turn:3, status:attack, val:0.5, calc:mul],[effect:enemy_message, val1:1.4, val2:2.3]</t>
    <phoneticPr fontId="5"/>
  </si>
  <si>
    <t>[effect:rush, count:1, val:1],[effect:force_change_block, new_block:jammer, target:block_all, ignore01:color_break, ignore02:crash, ignore03:crack_bomb, ignore04:jammer, count:3, val:0, animation:change_block],[effect:enemy_message, val1:1.4, val2:2.2]</t>
    <phoneticPr fontId="5"/>
  </si>
  <si>
    <t>[effect:rush, count:1, val:1.3],[effect:force_change_block, new_block:block_heart, target:block_all, ignore01:color_break, ignore02:crash, ignore03:crack_bomb, ignore04:jammer, count:5, val:0, animation:change_block],[effect:enemy_message, val1:1.4, val2:2]</t>
    <phoneticPr fontId="5"/>
  </si>
  <si>
    <t>[effect:enhance_enemy, target:myself, turn:5, status:attack, val:0.35, calc:mul, animation:enemy_enhance_attack],[effect:enemy_message, val1:1.4, val2:1.8]</t>
    <phoneticPr fontId="5"/>
  </si>
  <si>
    <t>お邪魔パネルを最大3個生成+
単体攻撃</t>
    <phoneticPr fontId="5"/>
  </si>
  <si>
    <t>3ターンハートパネルが出現しない+
単体攻撃</t>
    <phoneticPr fontId="5"/>
  </si>
  <si>
    <t>3ターン全ユニットの攻撃力50%DOWN+
単体攻撃</t>
    <phoneticPr fontId="5"/>
  </si>
  <si>
    <t>5ターン攻撃力UP</t>
    <phoneticPr fontId="5"/>
  </si>
  <si>
    <t>黄パネル出現率UP+黄パネル無効</t>
    <phoneticPr fontId="5"/>
  </si>
  <si>
    <t>オレの攻撃に
いつまで耐えれるかな？</t>
    <phoneticPr fontId="5"/>
  </si>
  <si>
    <t>このフロアのエネミーは
時限式ダメージパネルを多用します
対処しきれない場合は
変換スキルなどで対応しましょう</t>
    <phoneticPr fontId="5"/>
  </si>
  <si>
    <t>[effect:rush, count:1, val:1.6],[effect:force_change_block, new_block:block_heart, target:block_all, ignore01:color_break, ignore02:crash, ignore03:crack_bomb, ignore04:jammer, count:6, val:0, animation:change_block],[effect:enemy_message, val1:1.4, val2:2]</t>
    <phoneticPr fontId="5"/>
  </si>
  <si>
    <t>ランダムでパネルを6個ハートパネルに変換+
単体攻撃</t>
    <phoneticPr fontId="5"/>
  </si>
  <si>
    <t>ランダムでパネルを5個ハートパネルに変換+
単体攻撃</t>
    <phoneticPr fontId="5"/>
  </si>
  <si>
    <t>緑の時限式ダメージパネルを6個生成</t>
    <phoneticPr fontId="5"/>
  </si>
  <si>
    <t>skip</t>
    <phoneticPr fontId="5"/>
  </si>
  <si>
    <t>skip</t>
    <phoneticPr fontId="5"/>
  </si>
  <si>
    <t>skip</t>
    <phoneticPr fontId="5"/>
  </si>
  <si>
    <t>13302_3</t>
    <phoneticPr fontId="5"/>
  </si>
  <si>
    <t>old</t>
    <phoneticPr fontId="5"/>
  </si>
  <si>
    <t>ハ・カ・イ・セ・ヨ…</t>
    <phoneticPr fontId="5"/>
  </si>
  <si>
    <t>ハ・カ・イ・セ・ヨ…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</si>
</sst>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32" borderId="7" xfId="0" applyFont="1" applyFill="1" applyBorder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13301_5-1</v>
          </cell>
        </row>
        <row r="3">
          <cell r="A3" t="str">
            <v>13301_5-2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zoomScale="130" zoomScaleNormal="130" zoomScalePageLayoutView="130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326</v>
      </c>
      <c r="B2" s="57" t="s">
        <v>106</v>
      </c>
      <c r="C2" s="63" t="s">
        <v>325</v>
      </c>
      <c r="D2" s="57" t="s">
        <v>107</v>
      </c>
      <c r="E2" s="56" t="str">
        <f>B2&amp;C2&amp;D2</f>
        <v>floors_13302_3.tmp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326</v>
      </c>
      <c r="B3" s="57" t="s">
        <v>109</v>
      </c>
      <c r="C3" s="63" t="str">
        <f t="shared" ref="C3:C13" si="0">C$2</f>
        <v>13302_3</v>
      </c>
      <c r="D3" s="57" t="s">
        <v>107</v>
      </c>
      <c r="E3" s="56" t="str">
        <f>B3&amp;C3&amp;D3</f>
        <v>enemy_habitats_13302_3.tmp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326</v>
      </c>
      <c r="B4" s="57" t="s">
        <v>111</v>
      </c>
      <c r="C4" s="63" t="str">
        <f t="shared" si="0"/>
        <v>13302_3</v>
      </c>
      <c r="D4" s="57" t="s">
        <v>107</v>
      </c>
      <c r="E4" s="56" t="str">
        <f>B4&amp;C4&amp;D4</f>
        <v>enemy_habitat_S_13302_3.tmp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323</v>
      </c>
      <c r="B5" s="57" t="s">
        <v>113</v>
      </c>
      <c r="C5" s="63" t="str">
        <f t="shared" si="0"/>
        <v>13302_3</v>
      </c>
      <c r="D5" s="57" t="s">
        <v>107</v>
      </c>
      <c r="E5" s="56" t="str">
        <f>B5&amp;C5&amp;D5</f>
        <v>enemy_skill_sets_13302_3.tmp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322</v>
      </c>
      <c r="B6" s="57" t="s">
        <v>115</v>
      </c>
      <c r="C6" s="63" t="str">
        <f t="shared" si="0"/>
        <v>13302_3</v>
      </c>
      <c r="D6" s="57" t="s">
        <v>116</v>
      </c>
      <c r="E6" s="56" t="str">
        <f t="shared" ref="E6:E10" si="1">B6&amp;C6&amp;D6</f>
        <v>enemy_skills_tmp_13302_3.tmp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323</v>
      </c>
      <c r="B7" s="57" t="s">
        <v>117</v>
      </c>
      <c r="C7" s="63" t="str">
        <f t="shared" si="0"/>
        <v>13302_3</v>
      </c>
      <c r="D7" s="57" t="s">
        <v>107</v>
      </c>
      <c r="E7" s="56" t="str">
        <f>B7&amp;C7&amp;D7</f>
        <v>enemy_skills_i18n_13302_3.tmp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324</v>
      </c>
      <c r="B8" s="57" t="s">
        <v>119</v>
      </c>
      <c r="C8" s="63" t="str">
        <f t="shared" si="0"/>
        <v>13302_3</v>
      </c>
      <c r="D8" s="57" t="s">
        <v>120</v>
      </c>
      <c r="E8" s="56" t="str">
        <f t="shared" si="1"/>
        <v>enemy_skill_triggers_13302_3.tmp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326</v>
      </c>
      <c r="B9" s="68" t="s">
        <v>176</v>
      </c>
      <c r="C9" s="63" t="str">
        <f t="shared" si="0"/>
        <v>13302_3</v>
      </c>
      <c r="D9" s="68" t="s">
        <v>170</v>
      </c>
      <c r="E9" s="69" t="str">
        <f t="shared" si="1"/>
        <v>stage_bug_bonuses_13302_3.tmp</v>
      </c>
      <c r="F9" s="68" t="s">
        <v>171</v>
      </c>
      <c r="G9" s="65" t="s">
        <v>150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186</v>
      </c>
      <c r="B10" s="68" t="s">
        <v>199</v>
      </c>
      <c r="C10" s="63" t="str">
        <f t="shared" si="0"/>
        <v>13302_3</v>
      </c>
      <c r="D10" s="68" t="s">
        <v>179</v>
      </c>
      <c r="E10" s="69" t="str">
        <f t="shared" si="1"/>
        <v>stage_hints_data_c_13302_3.tmp</v>
      </c>
      <c r="F10" s="68" t="s">
        <v>207</v>
      </c>
      <c r="G10" s="73" t="s">
        <v>180</v>
      </c>
      <c r="H10" s="73" t="s">
        <v>172</v>
      </c>
      <c r="I10" s="74" t="s">
        <v>181</v>
      </c>
      <c r="J10" s="67" t="s">
        <v>182</v>
      </c>
      <c r="K10" s="67" t="s">
        <v>183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326</v>
      </c>
      <c r="B11" s="68" t="s">
        <v>200</v>
      </c>
      <c r="C11" s="63" t="str">
        <f t="shared" si="0"/>
        <v>13302_3</v>
      </c>
      <c r="D11" s="68" t="s">
        <v>170</v>
      </c>
      <c r="E11" s="69" t="str">
        <f t="shared" ref="E11:E13" si="2">B11&amp;C11&amp;D11</f>
        <v>stage_hints_data_f_13302_3.tmp</v>
      </c>
      <c r="F11" s="68" t="s">
        <v>208</v>
      </c>
      <c r="G11" s="73" t="s">
        <v>180</v>
      </c>
      <c r="H11" s="73" t="s">
        <v>172</v>
      </c>
      <c r="I11" s="74" t="s">
        <v>181</v>
      </c>
      <c r="J11" s="67" t="s">
        <v>182</v>
      </c>
      <c r="K11" s="67" t="s">
        <v>183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326</v>
      </c>
      <c r="B12" s="68" t="s">
        <v>201</v>
      </c>
      <c r="C12" s="63" t="str">
        <f t="shared" si="0"/>
        <v>13302_3</v>
      </c>
      <c r="D12" s="68" t="s">
        <v>170</v>
      </c>
      <c r="E12" s="69" t="str">
        <f t="shared" si="2"/>
        <v>stage_hints_i18n_13302_3.tmp</v>
      </c>
      <c r="F12" s="68" t="s">
        <v>209</v>
      </c>
      <c r="G12" s="74" t="s">
        <v>202</v>
      </c>
      <c r="H12" s="92" t="s">
        <v>203</v>
      </c>
      <c r="I12" s="73" t="s">
        <v>204</v>
      </c>
      <c r="J12" s="100" t="s">
        <v>205</v>
      </c>
      <c r="K12" s="67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326</v>
      </c>
      <c r="B13" s="68" t="s">
        <v>244</v>
      </c>
      <c r="C13" s="63" t="str">
        <f t="shared" si="0"/>
        <v>13302_3</v>
      </c>
      <c r="D13" s="68" t="s">
        <v>225</v>
      </c>
      <c r="E13" s="69" t="str">
        <f t="shared" si="2"/>
        <v>stage_bonuses_13302_3.tmp</v>
      </c>
      <c r="F13" s="68" t="s">
        <v>224</v>
      </c>
      <c r="G13" s="73" t="s">
        <v>226</v>
      </c>
      <c r="H13" s="73" t="s">
        <v>227</v>
      </c>
      <c r="I13" s="73" t="s">
        <v>228</v>
      </c>
      <c r="J13" s="73" t="s">
        <v>229</v>
      </c>
      <c r="K13" s="73" t="s">
        <v>230</v>
      </c>
      <c r="L13" s="73" t="s">
        <v>231</v>
      </c>
      <c r="M13" s="73" t="s">
        <v>232</v>
      </c>
      <c r="N13" s="73" t="s">
        <v>233</v>
      </c>
      <c r="O13" s="73" t="s">
        <v>234</v>
      </c>
      <c r="P13" s="73" t="s">
        <v>235</v>
      </c>
      <c r="Q13" s="73" t="s">
        <v>236</v>
      </c>
      <c r="R13" s="73" t="s">
        <v>237</v>
      </c>
      <c r="S13" s="73" t="s">
        <v>238</v>
      </c>
      <c r="T13" s="73" t="s">
        <v>239</v>
      </c>
      <c r="U13" s="73" t="s">
        <v>240</v>
      </c>
      <c r="V13" s="73" t="s">
        <v>241</v>
      </c>
      <c r="W13" s="73" t="s">
        <v>242</v>
      </c>
      <c r="X13" s="73" t="s">
        <v>243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zoomScale="130" zoomScaleNormal="130" zoomScalePageLayoutView="13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5.83203125" style="3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13302_3-1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3</v>
      </c>
      <c r="G2" s="23" t="str">
        <f>C2&amp;"_"&amp;F2</f>
        <v>13302_3</v>
      </c>
      <c r="H2" s="15" t="str">
        <f ca="1">VLOOKUP($G2,OFFSET([2]stages!$A$1,0,0,COUNTA([2]stages!$A:$A),MATCH(H$1,[2]stages!$2:$2,0)-MATCH($G$1,[2]stages!$2:$2,0)+1),MATCH(H$1,[2]stages!$2:$2,0)-MATCH($G$1,[2]stages!$2:$2,0)+1,FALSE)</f>
        <v>3階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13302_3-2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3</v>
      </c>
      <c r="G3" s="23" t="str">
        <f>C3&amp;"_"&amp;F3</f>
        <v>13302_3</v>
      </c>
      <c r="H3" s="15" t="str">
        <f ca="1">VLOOKUP($G3,OFFSET([2]stages!$A$1,0,0,COUNTA([2]stages!$A:$A),MATCH(H$1,[2]stages!$2:$2,0)-MATCH($G$1,[2]stages!$2:$2,0)+1),MATCH(H$1,[2]stages!$2:$2,0)-MATCH($G$1,[2]stages!$2:$2,0)+1,FALSE)</f>
        <v>3階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13302_3-3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3</v>
      </c>
      <c r="G4" s="23" t="str">
        <f>C4&amp;"_"&amp;F4</f>
        <v>13302_3</v>
      </c>
      <c r="H4" s="15" t="str">
        <f ca="1">VLOOKUP($G4,OFFSET([2]stages!$A$1,0,0,COUNTA([2]stages!$A:$A),MATCH(H$1,[2]stages!$2:$2,0)-MATCH($G$1,[2]stages!$2:$2,0)+1),MATCH(H$1,[2]stages!$2:$2,0)-MATCH($G$1,[2]stages!$2:$2,0)+1,FALSE)</f>
        <v>3階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20.332031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customWidth="1"/>
    <col min="13" max="13" width="17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245</v>
      </c>
      <c r="U1" s="26" t="s">
        <v>50</v>
      </c>
      <c r="V1" s="101" t="s">
        <v>246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13302_3-1/722&lt;lv1&gt;s2</v>
      </c>
      <c r="B2" s="22">
        <v>13302</v>
      </c>
      <c r="C2" s="21">
        <v>3</v>
      </c>
      <c r="D2" s="2" t="str">
        <f t="shared" ref="D2:D7" si="1">B2&amp;"_"&amp;C2</f>
        <v>13302_3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3階 コスト制限なし</v>
      </c>
      <c r="G2" s="21">
        <v>1</v>
      </c>
      <c r="H2" s="15" t="str">
        <f t="shared" ref="H2:H7" si="2">B2&amp;"_"&amp;C2&amp;"-"&amp;G2</f>
        <v>13302_3-1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722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森蘭丸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5.8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17365.2</v>
      </c>
      <c r="U2" s="25">
        <v>6.3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1593.8999999999999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62">
        <v>13301287</v>
      </c>
      <c r="Z2" s="6">
        <v>1</v>
      </c>
      <c r="AA2" s="6">
        <v>100</v>
      </c>
      <c r="AB2" s="6">
        <v>2</v>
      </c>
      <c r="AC2" s="17">
        <v>2</v>
      </c>
      <c r="AD2" s="24">
        <f t="shared" ref="AD2:AD7" si="3">L2</f>
        <v>722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森蘭丸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13302_3-1/424&lt;lv1&gt;s2</v>
      </c>
      <c r="B3" s="22">
        <v>13302</v>
      </c>
      <c r="C3" s="21">
        <v>3</v>
      </c>
      <c r="D3" s="2" t="str">
        <f t="shared" si="1"/>
        <v>13302_3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3階 コスト制限なし</v>
      </c>
      <c r="G3" s="21">
        <v>1</v>
      </c>
      <c r="H3" s="15" t="str">
        <f t="shared" si="2"/>
        <v>13302_3-1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424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フック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11.5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34431</v>
      </c>
      <c r="U3" s="25">
        <v>5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1685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62">
        <v>13301288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424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フック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13302_3-2/420&lt;lv1&gt;s2</v>
      </c>
      <c r="B4" s="22">
        <v>13302</v>
      </c>
      <c r="C4" s="106">
        <v>3</v>
      </c>
      <c r="D4" s="15" t="str">
        <f t="shared" si="1"/>
        <v>13302_3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3階 コスト制限なし</v>
      </c>
      <c r="G4" s="106">
        <v>2</v>
      </c>
      <c r="H4" s="15" t="str">
        <f t="shared" si="2"/>
        <v>13302_3-2</v>
      </c>
      <c r="I4" s="4" t="e">
        <f ca="1">VLOOKUP($H4,OFFSET([5]floors!$A$1,0,0,COUNTA([5]floors!$A:$A),MATCH(I$1,[5]floors!$1:$1,0)-MATCH($H$1,[5]floors!$1:$1,0)+1),MATCH(I$1,[5]floors!$1:$1,0)-MATCH($H$1,[5]floors!$1:$1,0)+1,FALSE)</f>
        <v>#N/A</v>
      </c>
      <c r="J4" s="4" t="e">
        <f ca="1">VLOOKUP($H4,OFFSET([5]floors!$A$1,0,0,COUNTA([5]floors!$A:$A),MATCH(J$1,[5]floors!$1:$1,0)-MATCH($H$1,[5]floors!$1:$1,0)+1),MATCH(J$1,[5]floors!$1:$1,0)-MATCH($H$1,[5]floors!$1:$1,0)+1,FALSE)</f>
        <v>#N/A</v>
      </c>
      <c r="K4" s="38">
        <v>1</v>
      </c>
      <c r="L4" s="107">
        <v>420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カエデ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17.600000000000001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43876.800000000003</v>
      </c>
      <c r="U4" s="25">
        <v>10.5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2016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ランダムでパネルを6個ハートパネルに変換+_x000D_単体攻撃</v>
      </c>
      <c r="Y4" s="62">
        <v>13301295</v>
      </c>
      <c r="Z4" s="6">
        <v>1</v>
      </c>
      <c r="AA4" s="6">
        <v>100</v>
      </c>
      <c r="AB4" s="6">
        <v>2</v>
      </c>
      <c r="AC4" s="17">
        <v>2</v>
      </c>
      <c r="AD4" s="108">
        <f t="shared" si="3"/>
        <v>420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カエデ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109">
        <v>1</v>
      </c>
      <c r="AI4" s="108">
        <f t="shared" ca="1" si="4"/>
        <v>4</v>
      </c>
      <c r="AJ4" s="8">
        <v>0</v>
      </c>
      <c r="AK4" s="109">
        <v>0</v>
      </c>
      <c r="AL4" s="109">
        <v>0</v>
      </c>
      <c r="AM4" s="109">
        <v>0</v>
      </c>
      <c r="AN4" s="109">
        <v>0</v>
      </c>
      <c r="AO4" s="109">
        <v>1</v>
      </c>
      <c r="AP4" s="70">
        <v>1</v>
      </c>
    </row>
    <row r="5" spans="1:42" ht="21" customHeight="1" x14ac:dyDescent="0.15">
      <c r="A5" s="16" t="str">
        <f t="shared" si="0"/>
        <v>13302_3-2/418&lt;lv1&gt;s3</v>
      </c>
      <c r="B5" s="22">
        <v>13302</v>
      </c>
      <c r="C5" s="106">
        <v>3</v>
      </c>
      <c r="D5" s="15" t="str">
        <f t="shared" si="1"/>
        <v>13302_3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3階 コスト制限なし</v>
      </c>
      <c r="G5" s="106">
        <v>2</v>
      </c>
      <c r="H5" s="15" t="str">
        <f t="shared" si="2"/>
        <v>13302_3-2</v>
      </c>
      <c r="I5" s="4" t="e">
        <f ca="1">VLOOKUP($H5,OFFSET([5]floors!$A$1,0,0,COUNTA([5]floors!$A:$A),MATCH(I$1,[5]floors!$1:$1,0)-MATCH($H$1,[5]floors!$1:$1,0)+1),MATCH(I$1,[5]floors!$1:$1,0)-MATCH($H$1,[5]floors!$1:$1,0)+1,FALSE)</f>
        <v>#N/A</v>
      </c>
      <c r="J5" s="4" t="e">
        <f ca="1">VLOOKUP($H5,OFFSET([5]floors!$A$1,0,0,COUNTA([5]floors!$A:$A),MATCH(J$1,[5]floors!$1:$1,0)-MATCH($H$1,[5]floors!$1:$1,0)+1),MATCH(J$1,[5]floors!$1:$1,0)-MATCH($H$1,[5]floors!$1:$1,0)+1,FALSE)</f>
        <v>#N/A</v>
      </c>
      <c r="K5" s="38">
        <v>2</v>
      </c>
      <c r="L5" s="107">
        <v>418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ウラシマ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12.8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56704</v>
      </c>
      <c r="U5" s="25">
        <v>9.1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1983.8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お邪魔パネルを最大3個生成+_x000D_単体攻撃</v>
      </c>
      <c r="Y5" s="62">
        <v>13301296</v>
      </c>
      <c r="Z5" s="6">
        <v>1</v>
      </c>
      <c r="AA5" s="6">
        <v>100</v>
      </c>
      <c r="AB5" s="6">
        <v>1</v>
      </c>
      <c r="AC5" s="17">
        <v>3</v>
      </c>
      <c r="AD5" s="108">
        <f t="shared" si="3"/>
        <v>418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09">
        <v>1</v>
      </c>
      <c r="AI5" s="108">
        <f t="shared" ca="1" si="4"/>
        <v>4</v>
      </c>
      <c r="AJ5" s="8">
        <v>0</v>
      </c>
      <c r="AK5" s="109">
        <v>0</v>
      </c>
      <c r="AL5" s="109">
        <v>0</v>
      </c>
      <c r="AM5" s="109">
        <v>0</v>
      </c>
      <c r="AN5" s="109">
        <v>0</v>
      </c>
      <c r="AO5" s="109">
        <v>1</v>
      </c>
      <c r="AP5" s="70">
        <v>1</v>
      </c>
    </row>
    <row r="6" spans="1:42" ht="21" customHeight="1" x14ac:dyDescent="0.15">
      <c r="A6" s="16" t="str">
        <f t="shared" si="0"/>
        <v>13302_3-3/1020&lt;lv1&gt;s2</v>
      </c>
      <c r="B6" s="22">
        <v>13302</v>
      </c>
      <c r="C6" s="106">
        <v>3</v>
      </c>
      <c r="D6" s="15" t="str">
        <f t="shared" si="1"/>
        <v>13302_3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3階 コスト制限なし</v>
      </c>
      <c r="G6" s="106">
        <v>3</v>
      </c>
      <c r="H6" s="15" t="str">
        <f t="shared" si="2"/>
        <v>13302_3-3</v>
      </c>
      <c r="I6" s="4" t="e">
        <f ca="1">VLOOKUP($H6,OFFSET([5]floors!$A$1,0,0,COUNTA([5]floors!$A:$A),MATCH(I$1,[5]floors!$1:$1,0)-MATCH($H$1,[5]floors!$1:$1,0)+1),MATCH(I$1,[5]floors!$1:$1,0)-MATCH($H$1,[5]floors!$1:$1,0)+1,FALSE)</f>
        <v>#N/A</v>
      </c>
      <c r="J6" s="4" t="e">
        <f ca="1">VLOOKUP($H6,OFFSET([5]floors!$A$1,0,0,COUNTA([5]floors!$A:$A),MATCH(J$1,[5]floors!$1:$1,0)-MATCH($H$1,[5]floors!$1:$1,0)+1),MATCH(J$1,[5]floors!$1:$1,0)-MATCH($H$1,[5]floors!$1:$1,0)+1,FALSE)</f>
        <v>#N/A</v>
      </c>
      <c r="K6" s="38">
        <v>1</v>
      </c>
      <c r="L6" s="107">
        <v>1020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静御前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</v>
      </c>
      <c r="S6" s="25">
        <v>15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41250</v>
      </c>
      <c r="U6" s="25">
        <v>9.8000000000000007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2254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黄パネル出現率UP+黄パネル無効</v>
      </c>
      <c r="Y6" s="62">
        <v>13301297</v>
      </c>
      <c r="Z6" s="6">
        <v>1</v>
      </c>
      <c r="AA6" s="6">
        <v>100</v>
      </c>
      <c r="AB6" s="6">
        <v>2</v>
      </c>
      <c r="AC6" s="17">
        <v>2</v>
      </c>
      <c r="AD6" s="108">
        <f t="shared" si="3"/>
        <v>1020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09">
        <v>1</v>
      </c>
      <c r="AI6" s="108">
        <f t="shared" ca="1" si="4"/>
        <v>4</v>
      </c>
      <c r="AJ6" s="8">
        <v>0</v>
      </c>
      <c r="AK6" s="109">
        <v>0</v>
      </c>
      <c r="AL6" s="109">
        <v>0</v>
      </c>
      <c r="AM6" s="109">
        <v>0</v>
      </c>
      <c r="AN6" s="109">
        <v>0</v>
      </c>
      <c r="AO6" s="109">
        <v>1</v>
      </c>
      <c r="AP6" s="70">
        <v>1</v>
      </c>
    </row>
    <row r="7" spans="1:42" ht="21" customHeight="1" x14ac:dyDescent="0.15">
      <c r="A7" s="16" t="str">
        <f t="shared" si="0"/>
        <v>13302_3-3/301&lt;lv1&gt;s2</v>
      </c>
      <c r="B7" s="22">
        <v>13302</v>
      </c>
      <c r="C7" s="106">
        <v>3</v>
      </c>
      <c r="D7" s="15" t="str">
        <f t="shared" si="1"/>
        <v>13302_3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3階 コスト制限なし</v>
      </c>
      <c r="G7" s="106">
        <v>3</v>
      </c>
      <c r="H7" s="15" t="str">
        <f t="shared" si="2"/>
        <v>13302_3-3</v>
      </c>
      <c r="I7" s="4" t="e">
        <f ca="1">VLOOKUP($H7,OFFSET([5]floors!$A$1,0,0,COUNTA([5]floors!$A:$A),MATCH(I$1,[5]floors!$1:$1,0)-MATCH($H$1,[5]floors!$1:$1,0)+1),MATCH(I$1,[5]floors!$1:$1,0)-MATCH($H$1,[5]floors!$1:$1,0)+1,FALSE)</f>
        <v>#N/A</v>
      </c>
      <c r="J7" s="4" t="e">
        <f ca="1">VLOOKUP($H7,OFFSET([5]floors!$A$1,0,0,COUNTA([5]floors!$A:$A),MATCH(J$1,[5]floors!$1:$1,0)-MATCH($H$1,[5]floors!$1:$1,0)+1),MATCH(J$1,[5]floors!$1:$1,0)-MATCH($H$1,[5]floors!$1:$1,0)+1,FALSE)</f>
        <v>#N/A</v>
      </c>
      <c r="K7" s="38">
        <v>2</v>
      </c>
      <c r="L7" s="107">
        <v>301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宿痾の葬送 チカ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17.3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53906.8</v>
      </c>
      <c r="U7" s="25">
        <v>9.5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2337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3ターン全ユニットの攻撃力50%DOWN+_x000D_単体攻撃</v>
      </c>
      <c r="Y7" s="62">
        <v>13301298</v>
      </c>
      <c r="Z7" s="6">
        <v>1</v>
      </c>
      <c r="AA7" s="6">
        <v>100</v>
      </c>
      <c r="AB7" s="6">
        <v>1</v>
      </c>
      <c r="AC7" s="17">
        <v>2</v>
      </c>
      <c r="AD7" s="108">
        <f t="shared" si="3"/>
        <v>301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宿痾の葬送 チカ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Drop2W</v>
      </c>
      <c r="AH7" s="109">
        <v>1</v>
      </c>
      <c r="AI7" s="108">
        <f t="shared" ca="1" si="4"/>
        <v>4</v>
      </c>
      <c r="AJ7" s="8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1</v>
      </c>
      <c r="AP7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245</v>
      </c>
      <c r="V1" s="26" t="s">
        <v>50</v>
      </c>
      <c r="W1" s="101" t="s">
        <v>246</v>
      </c>
      <c r="X1" s="26" t="s">
        <v>52</v>
      </c>
      <c r="Y1" s="28" t="s">
        <v>129</v>
      </c>
      <c r="Z1" s="29" t="s">
        <v>128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"/>
  <sheetViews>
    <sheetView showGridLines="0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6.83203125" style="39" customWidth="1"/>
    <col min="2" max="2" width="9.5" style="49" bestFit="1" customWidth="1"/>
    <col min="3" max="3" width="9.6640625" style="49" customWidth="1"/>
    <col min="4" max="4" width="8.1640625" style="49" customWidth="1" outlineLevel="1"/>
    <col min="5" max="5" width="9.832031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5" si="0">B2&amp;"_"&amp;C2</f>
        <v>13301287_13301246</v>
      </c>
      <c r="B2" s="47">
        <v>13301287</v>
      </c>
      <c r="C2" s="47">
        <v>13301246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女王の名の下に…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13301246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13301287_13301247</v>
      </c>
      <c r="B3" s="47">
        <v>13301287</v>
      </c>
      <c r="C3" s="47">
        <v>13301247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お手並み拝見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13301247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0"/>
        <v>13301287_13301248</v>
      </c>
      <c r="B4" s="47">
        <v>13301287</v>
      </c>
      <c r="C4" s="47">
        <v>13301248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オレの攻撃に_x000D_いつまで耐えれるかな？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13301248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 x14ac:dyDescent="0.15">
      <c r="A5" s="39" t="str">
        <f t="shared" si="0"/>
        <v>13301287_13301249</v>
      </c>
      <c r="B5" s="47">
        <v>13301287</v>
      </c>
      <c r="C5" s="47">
        <v>13301249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まだまだこれからだ！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5" s="47">
        <v>13301249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ref="A6:A16" si="1">B6&amp;"_"&amp;C6</f>
        <v>13301288_13301250</v>
      </c>
      <c r="B6" s="47">
        <v>13301288</v>
      </c>
      <c r="C6" s="47">
        <v>13301250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許しませんっ！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13301250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1"/>
        <v>13301288_13301251</v>
      </c>
      <c r="B7" s="47">
        <v>13301288</v>
      </c>
      <c r="C7" s="47">
        <v>13301251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新しい武器_x000D_試していいですか？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緑の時限式ダメージパネルを6個生成</v>
      </c>
      <c r="F7" s="47">
        <v>13301251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1"/>
        <v>13301295_13301322</v>
      </c>
      <c r="B8" s="47">
        <v>13301295</v>
      </c>
      <c r="C8" s="47">
        <v>13301322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ハートスプレーショット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ランダムでパネルを6個ハートパネルに変換+_x000D_単体攻撃</v>
      </c>
      <c r="F8" s="47">
        <v>13301322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" s="47"/>
      <c r="Q8" s="47"/>
      <c r="R8" s="47"/>
    </row>
    <row r="9" spans="1:18" ht="21" customHeight="1" x14ac:dyDescent="0.15">
      <c r="A9" s="39" t="str">
        <f t="shared" si="1"/>
        <v>13301295_13301323</v>
      </c>
      <c r="B9" s="47">
        <v>13301295</v>
      </c>
      <c r="C9" s="47">
        <v>13301323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バキュームガン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9" s="47">
        <v>13301323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47"/>
      <c r="Q9" s="47"/>
      <c r="R9" s="47"/>
    </row>
    <row r="10" spans="1:18" ht="21" customHeight="1" x14ac:dyDescent="0.15">
      <c r="A10" s="39" t="str">
        <f t="shared" si="1"/>
        <v>13301296_13301324</v>
      </c>
      <c r="B10" s="47">
        <v>13301296</v>
      </c>
      <c r="C10" s="47">
        <v>13301324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計算通りだ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お邪魔パネルを最大3個生成+_x000D_単体攻撃</v>
      </c>
      <c r="F10" s="47">
        <v>13301324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47"/>
      <c r="Q10" s="47"/>
      <c r="R10" s="47"/>
    </row>
    <row r="11" spans="1:18" ht="21" customHeight="1" x14ac:dyDescent="0.15">
      <c r="A11" s="39" t="str">
        <f t="shared" si="1"/>
        <v>13301296_13301325</v>
      </c>
      <c r="B11" s="47">
        <v>13301296</v>
      </c>
      <c r="C11" s="47">
        <v>13301325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気長に行こうぜ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3ターンハートパネルが出現しない+_x000D_単体攻撃</v>
      </c>
      <c r="F11" s="47">
        <v>13301325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1" s="47"/>
      <c r="Q11" s="47"/>
      <c r="R11" s="47"/>
    </row>
    <row r="12" spans="1:18" ht="21" customHeight="1" x14ac:dyDescent="0.15">
      <c r="A12" s="39" t="str">
        <f t="shared" si="1"/>
        <v>13301297_13301326</v>
      </c>
      <c r="B12" s="47">
        <v>13301297</v>
      </c>
      <c r="C12" s="47">
        <v>13301326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ハ・カ・イ・セ・ヨ…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黄パネル出現率UP+黄パネル無効</v>
      </c>
      <c r="F12" s="47">
        <v>13301326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13301297_13301327</v>
      </c>
      <c r="B13" s="47">
        <v>13301297</v>
      </c>
      <c r="C13" s="47">
        <v>13301327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舞の構え・ハート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ランダムでパネルを5個ハートパネルに変換+_x000D_単体攻撃</v>
      </c>
      <c r="F13" s="47">
        <v>13301327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" s="47"/>
      <c r="Q13" s="47"/>
      <c r="R13" s="47"/>
    </row>
    <row r="14" spans="1:18" ht="21" customHeight="1" x14ac:dyDescent="0.15">
      <c r="A14" s="39" t="str">
        <f t="shared" si="1"/>
        <v>13301297_13301328</v>
      </c>
      <c r="B14" s="47">
        <v>13301297</v>
      </c>
      <c r="C14" s="47">
        <v>13301328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狂喜乱舞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4" s="47">
        <v>13301328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4" s="47"/>
      <c r="Q14" s="47"/>
      <c r="R14" s="47"/>
    </row>
    <row r="15" spans="1:18" ht="21" customHeight="1" x14ac:dyDescent="0.15">
      <c r="A15" s="39" t="str">
        <f t="shared" si="1"/>
        <v>13301298_13301329</v>
      </c>
      <c r="B15" s="47">
        <v>13301298</v>
      </c>
      <c r="C15" s="47">
        <v>13301329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暴れるな、データが狂う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3ターン全ユニットの攻撃力50%DOWN+_x000D_単体攻撃</v>
      </c>
      <c r="F15" s="47">
        <v>13301329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si="1"/>
        <v>13301298_13301330</v>
      </c>
      <c r="B16" s="47">
        <v>13301298</v>
      </c>
      <c r="C16" s="47">
        <v>13301330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カッターポイズン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4ターンウィルス+全体攻撃</v>
      </c>
      <c r="F16" s="47">
        <v>13301330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6" s="47"/>
      <c r="Q16" s="47"/>
      <c r="R1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6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0.5" style="49" customWidth="1"/>
    <col min="3" max="3" width="4.1640625" style="49" customWidth="1"/>
    <col min="4" max="4" width="4" style="49" customWidth="1"/>
    <col min="5" max="5" width="27" style="49" bestFit="1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13301246</v>
      </c>
      <c r="B2" s="47" t="s">
        <v>301</v>
      </c>
      <c r="C2" s="50">
        <v>1</v>
      </c>
      <c r="D2" s="50" t="s">
        <v>247</v>
      </c>
      <c r="E2" s="51" t="s">
        <v>300</v>
      </c>
      <c r="F2" s="51" t="s">
        <v>248</v>
      </c>
      <c r="G2" s="64" t="e">
        <f>IFERROR(LEFT(#REF!,FIND("],",#REF!)),#REF!)</f>
        <v>#REF!</v>
      </c>
      <c r="H2" s="64" t="e">
        <f t="shared" ref="H2:H7" si="0">FIND("effect:",G2)+7</f>
        <v>#REF!</v>
      </c>
      <c r="I2" s="64" t="e">
        <f t="shared" ref="I2:I7" si="1">IFERROR(FIND(",",G2),LEN(G2))</f>
        <v>#REF!</v>
      </c>
      <c r="J2" s="64" t="e">
        <f t="shared" ref="J2:J7" si="2">FIND("target:",G2)+7</f>
        <v>#REF!</v>
      </c>
      <c r="K2" s="64" t="e">
        <f t="shared" ref="K2:K7" si="3">FIND(",",G2,I2+1)</f>
        <v>#REF!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IFERROR(RIGHT(#REF!,LEN(#REF!)-FIND("],",#REF!)-1),"none")</f>
        <v>none</v>
      </c>
      <c r="N2" s="48" t="str">
        <f t="shared" ref="N2:N7" si="4">IFERROR(LEFT(M2,FIND("],",M2)+S10),M2)</f>
        <v>none</v>
      </c>
      <c r="O2" s="64" t="e">
        <f t="shared" ref="O2:O16" si="5">FIND("effect:",N2)+7</f>
        <v>#VALUE!</v>
      </c>
      <c r="P2" s="64">
        <f t="shared" ref="P2:P16" si="6">IFERROR(FIND(",",N2),LEN(N2))</f>
        <v>4</v>
      </c>
      <c r="Q2" s="64" t="e">
        <f t="shared" ref="Q2:Q16" si="7">FIND("target:",N2)+7</f>
        <v>#VALUE!</v>
      </c>
      <c r="R2" s="64" t="e">
        <f t="shared" ref="R2:R16" si="8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16" si="9">IFERROR(RIGHT(M2,LEN(M2)-FIND("],",M2)-1),"none")</f>
        <v>none</v>
      </c>
      <c r="U2" s="64" t="e">
        <f t="shared" ref="U2:U16" si="10">FIND("effect:",T2)+7</f>
        <v>#VALUE!</v>
      </c>
      <c r="V2" s="64">
        <f t="shared" ref="V2:V16" si="11">IFERROR(FIND(",",T2),LEN(T2))</f>
        <v>4</v>
      </c>
      <c r="W2" s="64" t="e">
        <f t="shared" ref="W2:W16" si="12">FIND("target:",T2)+7</f>
        <v>#VALUE!</v>
      </c>
      <c r="X2" s="64" t="e">
        <f t="shared" ref="X2:X16" si="13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13301247</v>
      </c>
      <c r="B3" s="47" t="s">
        <v>303</v>
      </c>
      <c r="C3" s="50">
        <v>1</v>
      </c>
      <c r="D3" s="50" t="s">
        <v>127</v>
      </c>
      <c r="E3" s="51" t="s">
        <v>262</v>
      </c>
      <c r="F3" s="51" t="s">
        <v>257</v>
      </c>
      <c r="G3" s="64" t="str">
        <f>IFERROR(LEFT(B3,FIND("],",B3)),B3)</f>
        <v>[effect:spread, val:0.18]</v>
      </c>
      <c r="H3" s="64">
        <f t="shared" si="0"/>
        <v>9</v>
      </c>
      <c r="I3" s="64">
        <f t="shared" si="1"/>
        <v>15</v>
      </c>
      <c r="J3" s="64" t="e">
        <f t="shared" si="2"/>
        <v>#VALUE!</v>
      </c>
      <c r="K3" s="64" t="e">
        <f t="shared" si="3"/>
        <v>#VALUE!</v>
      </c>
      <c r="L3" s="64" t="str">
        <f>IFERROR(VLOOKUP(MID(G3,J3,K3-J3),[6]skilldef!$C:$D,2,FALSE),"-") &amp; " / " &amp; IFERROR(VLOOKUP(MID(G3,H3,I3-H3),[6]skilldef!$A:$B,2,FALSE),"-")</f>
        <v>- / 全体攻撃</v>
      </c>
      <c r="M3" s="64" t="str">
        <f>IFERROR(RIGHT(#REF!,LEN(#REF!)-FIND("],",#REF!)-1),"none")</f>
        <v>none</v>
      </c>
      <c r="N3" s="48" t="str">
        <f t="shared" si="4"/>
        <v>none</v>
      </c>
      <c r="O3" s="64" t="e">
        <f t="shared" si="5"/>
        <v>#VALUE!</v>
      </c>
      <c r="P3" s="64">
        <f t="shared" si="6"/>
        <v>4</v>
      </c>
      <c r="Q3" s="64" t="e">
        <f t="shared" si="7"/>
        <v>#VALUE!</v>
      </c>
      <c r="R3" s="64" t="e">
        <f t="shared" si="8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9"/>
        <v>none</v>
      </c>
      <c r="U3" s="64" t="e">
        <f t="shared" si="10"/>
        <v>#VALUE!</v>
      </c>
      <c r="V3" s="64">
        <f t="shared" si="11"/>
        <v>4</v>
      </c>
      <c r="W3" s="64" t="e">
        <f t="shared" si="12"/>
        <v>#VALUE!</v>
      </c>
      <c r="X3" s="64" t="e">
        <f t="shared" si="13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8" x14ac:dyDescent="0.15">
      <c r="A4" s="47">
        <v>13301248</v>
      </c>
      <c r="B4" s="47" t="s">
        <v>304</v>
      </c>
      <c r="C4" s="50">
        <v>1</v>
      </c>
      <c r="D4" s="50" t="s">
        <v>127</v>
      </c>
      <c r="E4" s="51" t="s">
        <v>316</v>
      </c>
      <c r="F4" s="51" t="s">
        <v>258</v>
      </c>
      <c r="G4" s="64" t="str">
        <f>IFERROR(LEFT(B4,FIND("],",B4)),B4)</f>
        <v>[effect:spread, val:0.28]</v>
      </c>
      <c r="H4" s="64">
        <f t="shared" si="0"/>
        <v>9</v>
      </c>
      <c r="I4" s="64">
        <f t="shared" si="1"/>
        <v>15</v>
      </c>
      <c r="J4" s="64" t="e">
        <f t="shared" si="2"/>
        <v>#VALUE!</v>
      </c>
      <c r="K4" s="64" t="e">
        <f t="shared" si="3"/>
        <v>#VALUE!</v>
      </c>
      <c r="L4" s="64" t="str">
        <f>IFERROR(VLOOKUP(MID(G4,J4,K4-J4),[6]skilldef!$C:$D,2,FALSE),"-") &amp; " / " &amp; IFERROR(VLOOKUP(MID(G4,H4,I4-H4),[6]skilldef!$A:$B,2,FALSE),"-")</f>
        <v>- / 全体攻撃</v>
      </c>
      <c r="M4" s="64" t="str">
        <f>IFERROR(RIGHT(#REF!,LEN(#REF!)-FIND("],",#REF!)-1),"none")</f>
        <v>none</v>
      </c>
      <c r="N4" s="48" t="str">
        <f t="shared" si="4"/>
        <v>none</v>
      </c>
      <c r="O4" s="64" t="e">
        <f t="shared" si="5"/>
        <v>#VALUE!</v>
      </c>
      <c r="P4" s="64">
        <f t="shared" si="6"/>
        <v>4</v>
      </c>
      <c r="Q4" s="64" t="e">
        <f t="shared" si="7"/>
        <v>#VALUE!</v>
      </c>
      <c r="R4" s="64" t="e">
        <f t="shared" si="8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9"/>
        <v>none</v>
      </c>
      <c r="U4" s="64" t="e">
        <f t="shared" si="10"/>
        <v>#VALUE!</v>
      </c>
      <c r="V4" s="64">
        <f t="shared" si="11"/>
        <v>4</v>
      </c>
      <c r="W4" s="64" t="e">
        <f t="shared" si="12"/>
        <v>#VALUE!</v>
      </c>
      <c r="X4" s="64" t="e">
        <f t="shared" si="13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13301249</v>
      </c>
      <c r="B5" s="47" t="s">
        <v>310</v>
      </c>
      <c r="C5" s="50">
        <v>1</v>
      </c>
      <c r="D5" s="50" t="s">
        <v>127</v>
      </c>
      <c r="E5" s="51" t="s">
        <v>261</v>
      </c>
      <c r="F5" s="51" t="s">
        <v>314</v>
      </c>
      <c r="G5" s="64" t="str">
        <f>IFERROR(LEFT(B5,FIND("],",B5)),B5)</f>
        <v>[effect:enhance_enemy, target:myself, turn:5, status:attack, val:0.35, calc:mul, animation:enemy_enhance_attack]</v>
      </c>
      <c r="H5" s="64">
        <f t="shared" si="0"/>
        <v>9</v>
      </c>
      <c r="I5" s="64">
        <f t="shared" si="1"/>
        <v>22</v>
      </c>
      <c r="J5" s="64">
        <f t="shared" si="2"/>
        <v>31</v>
      </c>
      <c r="K5" s="64">
        <f t="shared" si="3"/>
        <v>37</v>
      </c>
      <c r="L5" s="64" t="str">
        <f>IFERROR(VLOOKUP(MID(G5,J5,K5-J5),[6]skilldef!$C:$D,2,FALSE),"-") &amp; " / " &amp; IFERROR(VLOOKUP(MID(G5,H5,I5-H5),[6]skilldef!$A:$B,2,FALSE),"-")</f>
        <v>自分自身に / ステータス強化</v>
      </c>
      <c r="M5" s="64" t="str">
        <f>IFERROR(RIGHT(#REF!,LEN(#REF!)-FIND("],",#REF!)-1),"none")</f>
        <v>none</v>
      </c>
      <c r="N5" s="48" t="str">
        <f t="shared" si="4"/>
        <v>none</v>
      </c>
      <c r="O5" s="64" t="e">
        <f t="shared" si="5"/>
        <v>#VALUE!</v>
      </c>
      <c r="P5" s="64">
        <f t="shared" si="6"/>
        <v>4</v>
      </c>
      <c r="Q5" s="64" t="e">
        <f t="shared" si="7"/>
        <v>#VALUE!</v>
      </c>
      <c r="R5" s="64" t="e">
        <f t="shared" si="8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9"/>
        <v>none</v>
      </c>
      <c r="U5" s="64" t="e">
        <f t="shared" si="10"/>
        <v>#VALUE!</v>
      </c>
      <c r="V5" s="64">
        <f t="shared" si="11"/>
        <v>4</v>
      </c>
      <c r="W5" s="64" t="e">
        <f t="shared" si="12"/>
        <v>#VALUE!</v>
      </c>
      <c r="X5" s="64" t="e">
        <f t="shared" si="13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13301250</v>
      </c>
      <c r="B6" s="47" t="s">
        <v>298</v>
      </c>
      <c r="C6" s="50">
        <v>1</v>
      </c>
      <c r="D6" s="50" t="s">
        <v>127</v>
      </c>
      <c r="E6" s="51" t="s">
        <v>263</v>
      </c>
      <c r="F6" s="51" t="s">
        <v>257</v>
      </c>
      <c r="G6" s="64" t="str">
        <f>IFERROR(LEFT(B6,FIND("],",B6)),B6)</f>
        <v>[effect:spread, val:0.18]</v>
      </c>
      <c r="H6" s="64">
        <f t="shared" si="0"/>
        <v>9</v>
      </c>
      <c r="I6" s="64">
        <f t="shared" si="1"/>
        <v>15</v>
      </c>
      <c r="J6" s="64" t="e">
        <f t="shared" si="2"/>
        <v>#VALUE!</v>
      </c>
      <c r="K6" s="64" t="e">
        <f t="shared" si="3"/>
        <v>#VALUE!</v>
      </c>
      <c r="L6" s="64" t="str">
        <f>IFERROR(VLOOKUP(MID(G6,J6,K6-J6),[6]skilldef!$C:$D,2,FALSE),"-") &amp; " / " &amp; IFERROR(VLOOKUP(MID(G6,H6,I6-H6),[6]skilldef!$A:$B,2,FALSE),"-")</f>
        <v>- / 全体攻撃</v>
      </c>
      <c r="M6" s="64" t="str">
        <f>IFERROR(RIGHT(#REF!,LEN(#REF!)-FIND("],",#REF!)-1),"none")</f>
        <v>none</v>
      </c>
      <c r="N6" s="48" t="str">
        <f t="shared" si="4"/>
        <v>none</v>
      </c>
      <c r="O6" s="64" t="e">
        <f t="shared" si="5"/>
        <v>#VALUE!</v>
      </c>
      <c r="P6" s="64">
        <f t="shared" si="6"/>
        <v>4</v>
      </c>
      <c r="Q6" s="64" t="e">
        <f t="shared" si="7"/>
        <v>#VALUE!</v>
      </c>
      <c r="R6" s="64" t="e">
        <f t="shared" si="8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9"/>
        <v>none</v>
      </c>
      <c r="U6" s="64" t="e">
        <f t="shared" si="10"/>
        <v>#VALUE!</v>
      </c>
      <c r="V6" s="64">
        <f t="shared" si="11"/>
        <v>4</v>
      </c>
      <c r="W6" s="64" t="e">
        <f t="shared" si="12"/>
        <v>#VALUE!</v>
      </c>
      <c r="X6" s="64" t="e">
        <f t="shared" si="13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32" customHeight="1" x14ac:dyDescent="0.15">
      <c r="A7" s="47">
        <v>13301251</v>
      </c>
      <c r="B7" s="47" t="s">
        <v>297</v>
      </c>
      <c r="C7" s="50">
        <v>1</v>
      </c>
      <c r="D7" s="50" t="s">
        <v>127</v>
      </c>
      <c r="E7" s="51" t="s">
        <v>266</v>
      </c>
      <c r="F7" s="51" t="s">
        <v>321</v>
      </c>
      <c r="G7" s="64" t="str">
        <f>IFERROR(LEFT(B7,FIND("],",B7)),B7)</f>
        <v>[effect:force_change_block, new_block:time_bomb, target:block_all, ignore01:color_break, ignore02:crash, ignore03:crack_bomb, ignore04:time_bomb, color:block_green, count:6, val:0.2, min_time_count:3, max_time_count:4, animation:change_block]</v>
      </c>
      <c r="H7" s="64">
        <f t="shared" si="0"/>
        <v>9</v>
      </c>
      <c r="I7" s="64">
        <f t="shared" si="1"/>
        <v>27</v>
      </c>
      <c r="J7" s="64">
        <f t="shared" si="2"/>
        <v>57</v>
      </c>
      <c r="K7" s="64">
        <f t="shared" si="3"/>
        <v>48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>IFERROR(RIGHT(#REF!,LEN(#REF!)-FIND("],",#REF!)-1),"none")</f>
        <v>none</v>
      </c>
      <c r="N7" s="48" t="str">
        <f t="shared" si="4"/>
        <v>none</v>
      </c>
      <c r="O7" s="64" t="e">
        <f t="shared" si="5"/>
        <v>#VALUE!</v>
      </c>
      <c r="P7" s="64">
        <f t="shared" si="6"/>
        <v>4</v>
      </c>
      <c r="Q7" s="64" t="e">
        <f t="shared" si="7"/>
        <v>#VALUE!</v>
      </c>
      <c r="R7" s="64" t="e">
        <f t="shared" si="8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9"/>
        <v>none</v>
      </c>
      <c r="U7" s="64" t="e">
        <f t="shared" si="10"/>
        <v>#VALUE!</v>
      </c>
      <c r="V7" s="64">
        <f t="shared" si="11"/>
        <v>4</v>
      </c>
      <c r="W7" s="64" t="e">
        <f t="shared" si="12"/>
        <v>#VALUE!</v>
      </c>
      <c r="X7" s="64" t="e">
        <f t="shared" si="13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46" customHeight="1" x14ac:dyDescent="0.15">
      <c r="A8" s="47">
        <v>13301322</v>
      </c>
      <c r="B8" s="47" t="s">
        <v>318</v>
      </c>
      <c r="C8" s="50">
        <v>1</v>
      </c>
      <c r="D8" s="50" t="s">
        <v>127</v>
      </c>
      <c r="E8" s="51" t="s">
        <v>267</v>
      </c>
      <c r="F8" s="51" t="s">
        <v>319</v>
      </c>
      <c r="G8" s="64" t="str">
        <f t="shared" ref="G8:G16" si="14">IFERROR(LEFT(B8,FIND("],",B8)),B8)</f>
        <v>[effect:rush, count:1, val:1.6]</v>
      </c>
      <c r="H8" s="64">
        <f t="shared" ref="H8:H16" si="15">FIND("effect:",G8)+7</f>
        <v>9</v>
      </c>
      <c r="I8" s="64">
        <f t="shared" ref="I8:I16" si="16">IFERROR(FIND(",",G8),LEN(G8))</f>
        <v>13</v>
      </c>
      <c r="J8" s="64" t="e">
        <f t="shared" ref="J8:J16" si="17">FIND("target:",G8)+7</f>
        <v>#VALUE!</v>
      </c>
      <c r="K8" s="64">
        <f t="shared" ref="K8:K16" si="18">FIND(",",G8,I8+1)</f>
        <v>22</v>
      </c>
      <c r="L8" s="64" t="str">
        <f>IFERROR(VLOOKUP(MID(G8,J8,K8-J8),[6]skilldef!$C:$D,2,FALSE),"-") &amp; " / " &amp; IFERROR(VLOOKUP(MID(G8,H8,I8-H8),[6]skilldef!$A:$B,2,FALSE),"-")</f>
        <v>- / 連続攻撃</v>
      </c>
      <c r="M8" s="64" t="str">
        <f>IFERROR(RIGHT(#REF!,LEN(#REF!)-FIND("],",#REF!)-1),"none")</f>
        <v>none</v>
      </c>
      <c r="N8" s="48" t="str">
        <f t="shared" ref="N8:N16" si="19">IFERROR(LEFT(M8,FIND("],",M8)+S18),M8)</f>
        <v>none</v>
      </c>
      <c r="O8" s="64" t="e">
        <f t="shared" si="5"/>
        <v>#VALUE!</v>
      </c>
      <c r="P8" s="64">
        <f t="shared" si="6"/>
        <v>4</v>
      </c>
      <c r="Q8" s="64" t="e">
        <f t="shared" si="7"/>
        <v>#VALUE!</v>
      </c>
      <c r="R8" s="64" t="e">
        <f t="shared" si="8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9"/>
        <v>none</v>
      </c>
      <c r="U8" s="64" t="e">
        <f t="shared" si="10"/>
        <v>#VALUE!</v>
      </c>
      <c r="V8" s="64">
        <f t="shared" si="11"/>
        <v>4</v>
      </c>
      <c r="W8" s="64" t="e">
        <f t="shared" si="12"/>
        <v>#VALUE!</v>
      </c>
      <c r="X8" s="64" t="e">
        <f t="shared" si="13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 t="s">
        <v>268</v>
      </c>
    </row>
    <row r="9" spans="1:28" ht="21" customHeight="1" x14ac:dyDescent="0.15">
      <c r="A9" s="47">
        <v>13301323</v>
      </c>
      <c r="B9" s="47" t="s">
        <v>302</v>
      </c>
      <c r="C9" s="50">
        <v>1</v>
      </c>
      <c r="D9" s="50" t="s">
        <v>127</v>
      </c>
      <c r="E9" s="51" t="s">
        <v>269</v>
      </c>
      <c r="F9" s="51" t="s">
        <v>270</v>
      </c>
      <c r="G9" s="64" t="str">
        <f t="shared" si="14"/>
        <v>[effect:break_attack_fix, target:unit_all, val:170, lowest_val:200, count:-1, color:green, block_color:block_heart, block01:block_heart]</v>
      </c>
      <c r="H9" s="64">
        <f t="shared" si="15"/>
        <v>9</v>
      </c>
      <c r="I9" s="64">
        <f t="shared" si="16"/>
        <v>25</v>
      </c>
      <c r="J9" s="64">
        <f t="shared" si="17"/>
        <v>34</v>
      </c>
      <c r="K9" s="64">
        <f t="shared" si="18"/>
        <v>42</v>
      </c>
      <c r="L9" s="64" t="str">
        <f>IFERROR(VLOOKUP(MID(G9,J9,K9-J9),[6]skilldef!$C:$D,2,FALSE),"-") &amp; " / " &amp; IFERROR(VLOOKUP(MID(G9,H9,I9-H9),[6]skilldef!$A:$B,2,FALSE),"-")</f>
        <v>味方全体に / -</v>
      </c>
      <c r="M9" s="64" t="str">
        <f>IFERROR(RIGHT(#REF!,LEN(#REF!)-FIND("],",#REF!)-1),"none")</f>
        <v>none</v>
      </c>
      <c r="N9" s="48" t="str">
        <f t="shared" si="19"/>
        <v>none</v>
      </c>
      <c r="O9" s="64" t="e">
        <f t="shared" si="5"/>
        <v>#VALUE!</v>
      </c>
      <c r="P9" s="64">
        <f t="shared" si="6"/>
        <v>4</v>
      </c>
      <c r="Q9" s="64" t="e">
        <f t="shared" si="7"/>
        <v>#VALUE!</v>
      </c>
      <c r="R9" s="64" t="e">
        <f t="shared" si="8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9"/>
        <v>none</v>
      </c>
      <c r="U9" s="64" t="e">
        <f t="shared" si="10"/>
        <v>#VALUE!</v>
      </c>
      <c r="V9" s="64">
        <f t="shared" si="11"/>
        <v>4</v>
      </c>
      <c r="W9" s="64" t="e">
        <f t="shared" si="12"/>
        <v>#VALUE!</v>
      </c>
      <c r="X9" s="64" t="e">
        <f t="shared" si="13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 t="s">
        <v>268</v>
      </c>
    </row>
    <row r="10" spans="1:28" ht="36" customHeight="1" x14ac:dyDescent="0.15">
      <c r="A10" s="47">
        <v>13301324</v>
      </c>
      <c r="B10" s="47" t="s">
        <v>308</v>
      </c>
      <c r="C10" s="50">
        <v>1</v>
      </c>
      <c r="D10" s="50" t="s">
        <v>127</v>
      </c>
      <c r="E10" s="51" t="s">
        <v>271</v>
      </c>
      <c r="F10" s="51" t="s">
        <v>311</v>
      </c>
      <c r="G10" s="64" t="str">
        <f t="shared" si="14"/>
        <v>[effect:rush, count:1, val:1]</v>
      </c>
      <c r="H10" s="64">
        <f t="shared" si="15"/>
        <v>9</v>
      </c>
      <c r="I10" s="64">
        <f t="shared" si="16"/>
        <v>13</v>
      </c>
      <c r="J10" s="64" t="e">
        <f t="shared" si="17"/>
        <v>#VALUE!</v>
      </c>
      <c r="K10" s="64">
        <f t="shared" si="18"/>
        <v>22</v>
      </c>
      <c r="L10" s="64" t="str">
        <f>IFERROR(VLOOKUP(MID(G10,J10,K10-J10),[6]skilldef!$C:$D,2,FALSE),"-") &amp; " / " &amp; IFERROR(VLOOKUP(MID(G10,H10,I10-H10),[6]skilldef!$A:$B,2,FALSE),"-")</f>
        <v>- / 連続攻撃</v>
      </c>
      <c r="M10" s="64" t="str">
        <f>IFERROR(RIGHT(#REF!,LEN(#REF!)-FIND("],",#REF!)-1),"none")</f>
        <v>none</v>
      </c>
      <c r="N10" s="48" t="str">
        <f t="shared" si="19"/>
        <v>none</v>
      </c>
      <c r="O10" s="64" t="e">
        <f t="shared" si="5"/>
        <v>#VALUE!</v>
      </c>
      <c r="P10" s="64">
        <f t="shared" si="6"/>
        <v>4</v>
      </c>
      <c r="Q10" s="64" t="e">
        <f t="shared" si="7"/>
        <v>#VALUE!</v>
      </c>
      <c r="R10" s="64" t="e">
        <f t="shared" si="8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9"/>
        <v>none</v>
      </c>
      <c r="U10" s="64" t="e">
        <f t="shared" si="10"/>
        <v>#VALUE!</v>
      </c>
      <c r="V10" s="64">
        <f t="shared" si="11"/>
        <v>4</v>
      </c>
      <c r="W10" s="64" t="e">
        <f t="shared" si="12"/>
        <v>#VALUE!</v>
      </c>
      <c r="X10" s="64" t="e">
        <f t="shared" si="13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 t="s">
        <v>272</v>
      </c>
    </row>
    <row r="11" spans="1:28" ht="42" customHeight="1" x14ac:dyDescent="0.15">
      <c r="A11" s="47">
        <v>13301325</v>
      </c>
      <c r="B11" s="47" t="s">
        <v>305</v>
      </c>
      <c r="C11" s="50">
        <v>1</v>
      </c>
      <c r="D11" s="50" t="s">
        <v>127</v>
      </c>
      <c r="E11" s="51" t="s">
        <v>273</v>
      </c>
      <c r="F11" s="51" t="s">
        <v>312</v>
      </c>
      <c r="G11" s="64" t="str">
        <f t="shared" si="14"/>
        <v>[effect:rush, count:1, val:1.15]</v>
      </c>
      <c r="H11" s="64">
        <f t="shared" si="15"/>
        <v>9</v>
      </c>
      <c r="I11" s="64">
        <f t="shared" si="16"/>
        <v>13</v>
      </c>
      <c r="J11" s="64" t="e">
        <f t="shared" si="17"/>
        <v>#VALUE!</v>
      </c>
      <c r="K11" s="64">
        <f t="shared" si="18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>IFERROR(RIGHT(#REF!,LEN(#REF!)-FIND("],",#REF!)-1),"none")</f>
        <v>none</v>
      </c>
      <c r="N11" s="48" t="str">
        <f t="shared" si="19"/>
        <v>none</v>
      </c>
      <c r="O11" s="64" t="e">
        <f t="shared" si="5"/>
        <v>#VALUE!</v>
      </c>
      <c r="P11" s="64">
        <f t="shared" si="6"/>
        <v>4</v>
      </c>
      <c r="Q11" s="64" t="e">
        <f t="shared" si="7"/>
        <v>#VALUE!</v>
      </c>
      <c r="R11" s="64" t="e">
        <f t="shared" si="8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9"/>
        <v>none</v>
      </c>
      <c r="U11" s="64" t="e">
        <f t="shared" si="10"/>
        <v>#VALUE!</v>
      </c>
      <c r="V11" s="64">
        <f t="shared" si="11"/>
        <v>4</v>
      </c>
      <c r="W11" s="64" t="e">
        <f t="shared" si="12"/>
        <v>#VALUE!</v>
      </c>
      <c r="X11" s="64" t="e">
        <f t="shared" si="13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275</v>
      </c>
    </row>
    <row r="12" spans="1:28" ht="21" customHeight="1" x14ac:dyDescent="0.15">
      <c r="A12" s="47">
        <v>13301326</v>
      </c>
      <c r="B12" s="47" t="s">
        <v>292</v>
      </c>
      <c r="C12" s="50">
        <v>1</v>
      </c>
      <c r="D12" s="50" t="s">
        <v>127</v>
      </c>
      <c r="E12" s="51" t="s">
        <v>327</v>
      </c>
      <c r="F12" s="51" t="s">
        <v>315</v>
      </c>
      <c r="G12" s="64" t="str">
        <f t="shared" si="14"/>
        <v>[effect:change_panel_ratio, turn:-1, block_type:yellow, val:0.38, animation:block_incidence04]</v>
      </c>
      <c r="H12" s="64">
        <f t="shared" si="15"/>
        <v>9</v>
      </c>
      <c r="I12" s="64">
        <f t="shared" si="16"/>
        <v>27</v>
      </c>
      <c r="J12" s="64" t="e">
        <f t="shared" si="17"/>
        <v>#VALUE!</v>
      </c>
      <c r="K12" s="64">
        <f t="shared" si="18"/>
        <v>36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>IFERROR(RIGHT(#REF!,LEN(#REF!)-FIND("],",#REF!)-1),"none")</f>
        <v>none</v>
      </c>
      <c r="N12" s="48" t="str">
        <f t="shared" si="19"/>
        <v>none</v>
      </c>
      <c r="O12" s="64" t="e">
        <f t="shared" si="5"/>
        <v>#VALUE!</v>
      </c>
      <c r="P12" s="64">
        <f t="shared" si="6"/>
        <v>4</v>
      </c>
      <c r="Q12" s="64" t="e">
        <f t="shared" si="7"/>
        <v>#VALUE!</v>
      </c>
      <c r="R12" s="64" t="e">
        <f t="shared" si="8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9"/>
        <v>none</v>
      </c>
      <c r="U12" s="64" t="e">
        <f t="shared" si="10"/>
        <v>#VALUE!</v>
      </c>
      <c r="V12" s="64">
        <f t="shared" si="11"/>
        <v>4</v>
      </c>
      <c r="W12" s="64" t="e">
        <f t="shared" si="12"/>
        <v>#VALUE!</v>
      </c>
      <c r="X12" s="64" t="e">
        <f t="shared" si="13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42" customHeight="1" x14ac:dyDescent="0.15">
      <c r="A13" s="47">
        <v>13301327</v>
      </c>
      <c r="B13" s="47" t="s">
        <v>309</v>
      </c>
      <c r="C13" s="50">
        <v>1</v>
      </c>
      <c r="D13" s="50" t="s">
        <v>127</v>
      </c>
      <c r="E13" s="51" t="s">
        <v>277</v>
      </c>
      <c r="F13" s="51" t="s">
        <v>320</v>
      </c>
      <c r="G13" s="64" t="str">
        <f t="shared" si="14"/>
        <v>[effect:rush, count:1, val:1.3]</v>
      </c>
      <c r="H13" s="64">
        <f t="shared" si="15"/>
        <v>9</v>
      </c>
      <c r="I13" s="64">
        <f t="shared" si="16"/>
        <v>13</v>
      </c>
      <c r="J13" s="64" t="e">
        <f t="shared" si="17"/>
        <v>#VALUE!</v>
      </c>
      <c r="K13" s="64">
        <f t="shared" si="18"/>
        <v>22</v>
      </c>
      <c r="L13" s="64" t="str">
        <f>IFERROR(VLOOKUP(MID(G13,J13,K13-J13),[6]skilldef!$C:$D,2,FALSE),"-") &amp; " / " &amp; IFERROR(VLOOKUP(MID(G13,H13,I13-H13),[6]skilldef!$A:$B,2,FALSE),"-")</f>
        <v>- / 連続攻撃</v>
      </c>
      <c r="M13" s="64" t="str">
        <f>IFERROR(RIGHT(#REF!,LEN(#REF!)-FIND("],",#REF!)-1),"none")</f>
        <v>none</v>
      </c>
      <c r="N13" s="48" t="str">
        <f t="shared" si="19"/>
        <v>none</v>
      </c>
      <c r="O13" s="64" t="e">
        <f t="shared" si="5"/>
        <v>#VALUE!</v>
      </c>
      <c r="P13" s="64">
        <f t="shared" si="6"/>
        <v>4</v>
      </c>
      <c r="Q13" s="64" t="e">
        <f t="shared" si="7"/>
        <v>#VALUE!</v>
      </c>
      <c r="R13" s="64" t="e">
        <f t="shared" si="8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9"/>
        <v>none</v>
      </c>
      <c r="U13" s="64" t="e">
        <f t="shared" si="10"/>
        <v>#VALUE!</v>
      </c>
      <c r="V13" s="64">
        <f t="shared" si="11"/>
        <v>4</v>
      </c>
      <c r="W13" s="64" t="e">
        <f t="shared" si="12"/>
        <v>#VALUE!</v>
      </c>
      <c r="X13" s="64" t="e">
        <f t="shared" si="13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278</v>
      </c>
    </row>
    <row r="14" spans="1:28" ht="21" customHeight="1" x14ac:dyDescent="0.15">
      <c r="A14" s="47">
        <v>13301328</v>
      </c>
      <c r="B14" s="47" t="s">
        <v>299</v>
      </c>
      <c r="C14" s="50">
        <v>1</v>
      </c>
      <c r="D14" s="50" t="s">
        <v>127</v>
      </c>
      <c r="E14" s="51" t="s">
        <v>279</v>
      </c>
      <c r="F14" s="51" t="s">
        <v>270</v>
      </c>
      <c r="G14" s="64" t="str">
        <f t="shared" si="14"/>
        <v>[effect:break_attack_fix, target:unit_all, val:200, lowest_val:200, count:-1, color:red, block_color:block_heart, block01:block_heart]</v>
      </c>
      <c r="H14" s="64">
        <f t="shared" si="15"/>
        <v>9</v>
      </c>
      <c r="I14" s="64">
        <f t="shared" si="16"/>
        <v>25</v>
      </c>
      <c r="J14" s="64">
        <f t="shared" si="17"/>
        <v>34</v>
      </c>
      <c r="K14" s="64">
        <f t="shared" si="18"/>
        <v>42</v>
      </c>
      <c r="L14" s="64" t="str">
        <f>IFERROR(VLOOKUP(MID(G14,J14,K14-J14),[6]skilldef!$C:$D,2,FALSE),"-") &amp; " / " &amp; IFERROR(VLOOKUP(MID(G14,H14,I14-H14),[6]skilldef!$A:$B,2,FALSE),"-")</f>
        <v>味方全体に / -</v>
      </c>
      <c r="M14" s="64" t="str">
        <f>IFERROR(RIGHT(#REF!,LEN(#REF!)-FIND("],",#REF!)-1),"none")</f>
        <v>none</v>
      </c>
      <c r="N14" s="48" t="str">
        <f t="shared" si="19"/>
        <v>none</v>
      </c>
      <c r="O14" s="64" t="e">
        <f t="shared" si="5"/>
        <v>#VALUE!</v>
      </c>
      <c r="P14" s="64">
        <f t="shared" si="6"/>
        <v>4</v>
      </c>
      <c r="Q14" s="64" t="e">
        <f t="shared" si="7"/>
        <v>#VALUE!</v>
      </c>
      <c r="R14" s="64" t="e">
        <f t="shared" si="8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9"/>
        <v>none</v>
      </c>
      <c r="U14" s="64" t="e">
        <f t="shared" si="10"/>
        <v>#VALUE!</v>
      </c>
      <c r="V14" s="64">
        <f t="shared" si="11"/>
        <v>4</v>
      </c>
      <c r="W14" s="64" t="e">
        <f t="shared" si="12"/>
        <v>#VALUE!</v>
      </c>
      <c r="X14" s="64" t="e">
        <f t="shared" si="13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280</v>
      </c>
    </row>
    <row r="15" spans="1:28" ht="30" customHeight="1" x14ac:dyDescent="0.15">
      <c r="A15" s="47">
        <v>13301329</v>
      </c>
      <c r="B15" s="47" t="s">
        <v>307</v>
      </c>
      <c r="C15" s="50">
        <v>1</v>
      </c>
      <c r="D15" s="50" t="s">
        <v>127</v>
      </c>
      <c r="E15" s="51" t="s">
        <v>281</v>
      </c>
      <c r="F15" s="51" t="s">
        <v>313</v>
      </c>
      <c r="G15" s="64" t="str">
        <f t="shared" si="14"/>
        <v>[effect:rush, count:1, val:0.9]</v>
      </c>
      <c r="H15" s="64">
        <f t="shared" si="15"/>
        <v>9</v>
      </c>
      <c r="I15" s="64">
        <f t="shared" si="16"/>
        <v>13</v>
      </c>
      <c r="J15" s="64" t="e">
        <f t="shared" si="17"/>
        <v>#VALUE!</v>
      </c>
      <c r="K15" s="64">
        <f t="shared" si="18"/>
        <v>22</v>
      </c>
      <c r="L15" s="64" t="str">
        <f>IFERROR(VLOOKUP(MID(G15,J15,K15-J15),[6]skilldef!$C:$D,2,FALSE),"-") &amp; " / " &amp; IFERROR(VLOOKUP(MID(G15,H15,I15-H15),[6]skilldef!$A:$B,2,FALSE),"-")</f>
        <v>- / 連続攻撃</v>
      </c>
      <c r="M15" s="64" t="str">
        <f>IFERROR(RIGHT(#REF!,LEN(#REF!)-FIND("],",#REF!)-1),"none")</f>
        <v>none</v>
      </c>
      <c r="N15" s="48" t="str">
        <f t="shared" si="19"/>
        <v>none</v>
      </c>
      <c r="O15" s="64" t="e">
        <f t="shared" si="5"/>
        <v>#VALUE!</v>
      </c>
      <c r="P15" s="64">
        <f t="shared" si="6"/>
        <v>4</v>
      </c>
      <c r="Q15" s="64" t="e">
        <f t="shared" si="7"/>
        <v>#VALUE!</v>
      </c>
      <c r="R15" s="64" t="e">
        <f t="shared" si="8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9"/>
        <v>none</v>
      </c>
      <c r="U15" s="64" t="e">
        <f t="shared" si="10"/>
        <v>#VALUE!</v>
      </c>
      <c r="V15" s="64">
        <f t="shared" si="11"/>
        <v>4</v>
      </c>
      <c r="W15" s="64" t="e">
        <f t="shared" si="12"/>
        <v>#VALUE!</v>
      </c>
      <c r="X15" s="64" t="e">
        <f t="shared" si="13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 t="s">
        <v>282</v>
      </c>
    </row>
    <row r="16" spans="1:28" ht="21" customHeight="1" x14ac:dyDescent="0.15">
      <c r="A16" s="47">
        <v>13301330</v>
      </c>
      <c r="B16" s="47" t="s">
        <v>306</v>
      </c>
      <c r="C16" s="50">
        <v>1</v>
      </c>
      <c r="D16" s="50" t="s">
        <v>283</v>
      </c>
      <c r="E16" s="51" t="s">
        <v>284</v>
      </c>
      <c r="F16" s="51" t="s">
        <v>285</v>
      </c>
      <c r="G16" s="64" t="str">
        <f t="shared" si="14"/>
        <v>[effect:spread, val:0.15]</v>
      </c>
      <c r="H16" s="64">
        <f t="shared" si="15"/>
        <v>9</v>
      </c>
      <c r="I16" s="64">
        <f t="shared" si="16"/>
        <v>15</v>
      </c>
      <c r="J16" s="64" t="e">
        <f t="shared" si="17"/>
        <v>#VALUE!</v>
      </c>
      <c r="K16" s="64" t="e">
        <f t="shared" si="18"/>
        <v>#VALUE!</v>
      </c>
      <c r="L16" s="64" t="str">
        <f>IFERROR(VLOOKUP(MID(G16,J16,K16-J16),[6]skilldef!$C:$D,2,FALSE),"-") &amp; " / " &amp; IFERROR(VLOOKUP(MID(G16,H16,I16-H16),[6]skilldef!$A:$B,2,FALSE),"-")</f>
        <v>- / 全体攻撃</v>
      </c>
      <c r="M16" s="64" t="str">
        <f>IFERROR(RIGHT(#REF!,LEN(#REF!)-FIND("],",#REF!)-1),"none")</f>
        <v>none</v>
      </c>
      <c r="N16" s="48" t="str">
        <f t="shared" si="19"/>
        <v>none</v>
      </c>
      <c r="O16" s="64" t="e">
        <f t="shared" si="5"/>
        <v>#VALUE!</v>
      </c>
      <c r="P16" s="64">
        <f t="shared" si="6"/>
        <v>4</v>
      </c>
      <c r="Q16" s="64" t="e">
        <f t="shared" si="7"/>
        <v>#VALUE!</v>
      </c>
      <c r="R16" s="64" t="e">
        <f t="shared" si="8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9"/>
        <v>none</v>
      </c>
      <c r="U16" s="64" t="e">
        <f t="shared" si="10"/>
        <v>#VALUE!</v>
      </c>
      <c r="V16" s="64">
        <f t="shared" si="11"/>
        <v>4</v>
      </c>
      <c r="W16" s="64" t="e">
        <f t="shared" si="12"/>
        <v>#VALUE!</v>
      </c>
      <c r="X16" s="64" t="e">
        <f t="shared" si="13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282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6"/>
  <sheetViews>
    <sheetView showGridLines="0" zoomScale="130" zoomScaleNormal="130" zoomScalePageLayoutView="13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7.33203125" style="49" customWidth="1"/>
    <col min="6" max="6" width="6.5" style="49" customWidth="1"/>
    <col min="7" max="7" width="10.83203125" style="49" customWidth="1"/>
    <col min="8" max="8" width="7.6640625" style="49" customWidth="1"/>
    <col min="9" max="9" width="8.83203125" style="49" customWidth="1"/>
    <col min="10" max="10" width="5" style="49" customWidth="1"/>
    <col min="11" max="11" width="22.83203125" style="39" bestFit="1" customWidth="1"/>
    <col min="12" max="12" width="20.33203125" style="45" bestFit="1" customWidth="1"/>
    <col min="13" max="13" width="35.83203125" style="45" bestFit="1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13301246</v>
      </c>
      <c r="B2" s="47">
        <v>1</v>
      </c>
      <c r="C2" s="47" t="s">
        <v>88</v>
      </c>
      <c r="D2" s="47">
        <v>100</v>
      </c>
      <c r="E2" s="47" t="s">
        <v>89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7" si="0">D2</f>
        <v>100</v>
      </c>
      <c r="L2" s="51" t="s">
        <v>300</v>
      </c>
      <c r="M2" s="51" t="s">
        <v>248</v>
      </c>
    </row>
    <row r="3" spans="1:13" ht="21" customHeight="1" x14ac:dyDescent="0.15">
      <c r="A3" s="47">
        <v>13301247</v>
      </c>
      <c r="B3" s="47">
        <v>0</v>
      </c>
      <c r="C3" s="47">
        <v>3</v>
      </c>
      <c r="D3" s="47">
        <v>60</v>
      </c>
      <c r="E3" s="47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si="0"/>
        <v>60</v>
      </c>
      <c r="L3" s="51" t="s">
        <v>262</v>
      </c>
      <c r="M3" s="51" t="s">
        <v>257</v>
      </c>
    </row>
    <row r="4" spans="1:13" ht="28" x14ac:dyDescent="0.15">
      <c r="A4" s="47">
        <v>13301248</v>
      </c>
      <c r="B4" s="47">
        <v>0</v>
      </c>
      <c r="C4" s="47">
        <v>4</v>
      </c>
      <c r="D4" s="47">
        <v>60</v>
      </c>
      <c r="E4" s="47">
        <v>50</v>
      </c>
      <c r="F4" s="47" t="s">
        <v>89</v>
      </c>
      <c r="G4" s="47" t="s">
        <v>89</v>
      </c>
      <c r="H4" s="47" t="s">
        <v>89</v>
      </c>
      <c r="I4" s="47" t="s">
        <v>89</v>
      </c>
      <c r="J4" s="48">
        <f t="shared" si="0"/>
        <v>60</v>
      </c>
      <c r="L4" s="51" t="s">
        <v>265</v>
      </c>
      <c r="M4" s="51" t="s">
        <v>258</v>
      </c>
    </row>
    <row r="5" spans="1:13" ht="21" customHeight="1" x14ac:dyDescent="0.15">
      <c r="A5" s="47">
        <v>13301249</v>
      </c>
      <c r="B5" s="47">
        <v>0</v>
      </c>
      <c r="C5" s="47">
        <v>5</v>
      </c>
      <c r="D5" s="47">
        <v>50</v>
      </c>
      <c r="E5" s="47">
        <v>70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0"/>
        <v>50</v>
      </c>
      <c r="L5" s="51" t="s">
        <v>261</v>
      </c>
      <c r="M5" s="51" t="s">
        <v>264</v>
      </c>
    </row>
    <row r="6" spans="1:13" ht="21" customHeight="1" x14ac:dyDescent="0.15">
      <c r="A6" s="47">
        <v>13301250</v>
      </c>
      <c r="B6" s="47">
        <v>0</v>
      </c>
      <c r="C6" s="47">
        <v>3</v>
      </c>
      <c r="D6" s="47">
        <v>50</v>
      </c>
      <c r="E6" s="47" t="s">
        <v>89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si="0"/>
        <v>50</v>
      </c>
      <c r="L6" s="51" t="s">
        <v>263</v>
      </c>
      <c r="M6" s="51" t="s">
        <v>257</v>
      </c>
    </row>
    <row r="7" spans="1:13" ht="21" customHeight="1" x14ac:dyDescent="0.15">
      <c r="A7" s="47">
        <v>13301251</v>
      </c>
      <c r="B7" s="47">
        <v>0</v>
      </c>
      <c r="C7" s="47">
        <v>3</v>
      </c>
      <c r="D7" s="47">
        <v>50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si="0"/>
        <v>50</v>
      </c>
      <c r="L7" s="51" t="s">
        <v>266</v>
      </c>
      <c r="M7" s="51" t="s">
        <v>290</v>
      </c>
    </row>
    <row r="8" spans="1:13" ht="28" x14ac:dyDescent="0.15">
      <c r="A8" s="47">
        <v>13301322</v>
      </c>
      <c r="B8" s="47">
        <v>0</v>
      </c>
      <c r="C8" s="47">
        <v>3</v>
      </c>
      <c r="D8" s="47">
        <v>35</v>
      </c>
      <c r="E8" s="47" t="s">
        <v>88</v>
      </c>
      <c r="F8" s="47" t="s">
        <v>88</v>
      </c>
      <c r="G8" s="47">
        <v>2</v>
      </c>
      <c r="H8" s="47" t="s">
        <v>88</v>
      </c>
      <c r="I8" s="47" t="s">
        <v>88</v>
      </c>
      <c r="J8" s="48">
        <f t="shared" ref="J8:J16" si="1">D8</f>
        <v>35</v>
      </c>
      <c r="L8" s="51" t="s">
        <v>267</v>
      </c>
      <c r="M8" s="51" t="s">
        <v>294</v>
      </c>
    </row>
    <row r="9" spans="1:13" ht="21" customHeight="1" x14ac:dyDescent="0.15">
      <c r="A9" s="47">
        <v>13301323</v>
      </c>
      <c r="B9" s="47">
        <v>0</v>
      </c>
      <c r="C9" s="47">
        <v>3</v>
      </c>
      <c r="D9" s="47">
        <v>65</v>
      </c>
      <c r="E9" s="47" t="s">
        <v>88</v>
      </c>
      <c r="F9" s="47" t="s">
        <v>88</v>
      </c>
      <c r="G9" s="47" t="s">
        <v>88</v>
      </c>
      <c r="H9" s="47" t="s">
        <v>88</v>
      </c>
      <c r="I9" s="47" t="s">
        <v>88</v>
      </c>
      <c r="J9" s="48">
        <f t="shared" si="1"/>
        <v>65</v>
      </c>
      <c r="L9" s="51" t="s">
        <v>269</v>
      </c>
      <c r="M9" s="51" t="s">
        <v>270</v>
      </c>
    </row>
    <row r="10" spans="1:13" ht="21" customHeight="1" x14ac:dyDescent="0.15">
      <c r="A10" s="47">
        <v>13301324</v>
      </c>
      <c r="B10" s="47">
        <v>0</v>
      </c>
      <c r="C10" s="47">
        <v>3</v>
      </c>
      <c r="D10" s="47">
        <v>35</v>
      </c>
      <c r="E10" s="47" t="s">
        <v>88</v>
      </c>
      <c r="F10" s="47" t="s">
        <v>88</v>
      </c>
      <c r="G10" s="47">
        <v>3</v>
      </c>
      <c r="H10" s="47" t="s">
        <v>88</v>
      </c>
      <c r="I10" s="47" t="s">
        <v>88</v>
      </c>
      <c r="J10" s="48">
        <f t="shared" si="1"/>
        <v>35</v>
      </c>
      <c r="L10" s="51" t="s">
        <v>271</v>
      </c>
      <c r="M10" s="51" t="s">
        <v>293</v>
      </c>
    </row>
    <row r="11" spans="1:13" ht="28" x14ac:dyDescent="0.15">
      <c r="A11" s="47">
        <v>13301325</v>
      </c>
      <c r="B11" s="47">
        <v>0</v>
      </c>
      <c r="C11" s="47">
        <v>3</v>
      </c>
      <c r="D11" s="47">
        <v>65</v>
      </c>
      <c r="E11" s="47" t="s">
        <v>88</v>
      </c>
      <c r="F11" s="47" t="s">
        <v>88</v>
      </c>
      <c r="G11" s="47" t="s">
        <v>88</v>
      </c>
      <c r="H11" s="47" t="s">
        <v>88</v>
      </c>
      <c r="I11" s="47" t="s">
        <v>88</v>
      </c>
      <c r="J11" s="48">
        <f t="shared" si="1"/>
        <v>65</v>
      </c>
      <c r="L11" s="51" t="s">
        <v>273</v>
      </c>
      <c r="M11" s="51" t="s">
        <v>274</v>
      </c>
    </row>
    <row r="12" spans="1:13" ht="21" customHeight="1" x14ac:dyDescent="0.15">
      <c r="A12" s="47">
        <v>13301326</v>
      </c>
      <c r="B12" s="47">
        <v>1</v>
      </c>
      <c r="C12" s="47" t="s">
        <v>88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 t="s">
        <v>88</v>
      </c>
      <c r="J12" s="48">
        <f t="shared" si="1"/>
        <v>100</v>
      </c>
      <c r="L12" s="51" t="s">
        <v>328</v>
      </c>
      <c r="M12" s="51" t="s">
        <v>276</v>
      </c>
    </row>
    <row r="13" spans="1:13" ht="28" x14ac:dyDescent="0.15">
      <c r="A13" s="47">
        <v>13301327</v>
      </c>
      <c r="B13" s="47">
        <v>0</v>
      </c>
      <c r="C13" s="47">
        <v>3</v>
      </c>
      <c r="D13" s="47">
        <v>30</v>
      </c>
      <c r="E13" s="47" t="s">
        <v>88</v>
      </c>
      <c r="F13" s="47" t="s">
        <v>88</v>
      </c>
      <c r="G13" s="47">
        <v>3</v>
      </c>
      <c r="H13" s="47" t="s">
        <v>291</v>
      </c>
      <c r="I13" s="47" t="s">
        <v>88</v>
      </c>
      <c r="J13" s="48">
        <f t="shared" si="1"/>
        <v>30</v>
      </c>
      <c r="L13" s="51" t="s">
        <v>277</v>
      </c>
      <c r="M13" s="51" t="s">
        <v>295</v>
      </c>
    </row>
    <row r="14" spans="1:13" ht="21" customHeight="1" x14ac:dyDescent="0.15">
      <c r="A14" s="47">
        <v>13301328</v>
      </c>
      <c r="B14" s="47">
        <v>0</v>
      </c>
      <c r="C14" s="47">
        <v>3</v>
      </c>
      <c r="D14" s="47">
        <v>70</v>
      </c>
      <c r="E14" s="47" t="s">
        <v>286</v>
      </c>
      <c r="F14" s="47" t="s">
        <v>286</v>
      </c>
      <c r="G14" s="47" t="s">
        <v>286</v>
      </c>
      <c r="H14" s="47" t="s">
        <v>286</v>
      </c>
      <c r="I14" s="47" t="s">
        <v>286</v>
      </c>
      <c r="J14" s="48">
        <f t="shared" si="1"/>
        <v>70</v>
      </c>
      <c r="L14" s="51" t="s">
        <v>279</v>
      </c>
      <c r="M14" s="51" t="s">
        <v>270</v>
      </c>
    </row>
    <row r="15" spans="1:13" ht="28" x14ac:dyDescent="0.15">
      <c r="A15" s="47">
        <v>13301329</v>
      </c>
      <c r="B15" s="47">
        <v>0</v>
      </c>
      <c r="C15" s="47">
        <v>3</v>
      </c>
      <c r="D15" s="47">
        <v>30</v>
      </c>
      <c r="E15" s="47" t="s">
        <v>286</v>
      </c>
      <c r="F15" s="47" t="s">
        <v>286</v>
      </c>
      <c r="G15" s="47">
        <v>1</v>
      </c>
      <c r="H15" s="47" t="s">
        <v>286</v>
      </c>
      <c r="I15" s="47" t="s">
        <v>286</v>
      </c>
      <c r="J15" s="48">
        <f t="shared" si="1"/>
        <v>30</v>
      </c>
      <c r="L15" s="51" t="s">
        <v>281</v>
      </c>
      <c r="M15" s="51" t="s">
        <v>296</v>
      </c>
    </row>
    <row r="16" spans="1:13" ht="21" customHeight="1" x14ac:dyDescent="0.15">
      <c r="A16" s="47">
        <v>13301330</v>
      </c>
      <c r="B16" s="47">
        <v>0</v>
      </c>
      <c r="C16" s="47">
        <v>3</v>
      </c>
      <c r="D16" s="47">
        <v>70</v>
      </c>
      <c r="E16" s="47" t="s">
        <v>286</v>
      </c>
      <c r="F16" s="47" t="s">
        <v>286</v>
      </c>
      <c r="G16" s="47" t="s">
        <v>286</v>
      </c>
      <c r="H16" s="47" t="s">
        <v>286</v>
      </c>
      <c r="I16" s="47" t="s">
        <v>286</v>
      </c>
      <c r="J16" s="48">
        <f t="shared" si="1"/>
        <v>70</v>
      </c>
      <c r="L16" s="51" t="s">
        <v>284</v>
      </c>
      <c r="M16" s="51" t="s">
        <v>285</v>
      </c>
    </row>
  </sheetData>
  <autoFilter ref="A1:G1"/>
  <phoneticPr fontId="5"/>
  <conditionalFormatting sqref="K17:K1048576 K1">
    <cfRule type="duplicateValues" dxfId="15" priority="23"/>
  </conditionalFormatting>
  <conditionalFormatting sqref="K2">
    <cfRule type="duplicateValues" dxfId="14" priority="17"/>
  </conditionalFormatting>
  <conditionalFormatting sqref="K3">
    <cfRule type="duplicateValues" dxfId="13" priority="16"/>
  </conditionalFormatting>
  <conditionalFormatting sqref="K4">
    <cfRule type="duplicateValues" dxfId="12" priority="15"/>
  </conditionalFormatting>
  <conditionalFormatting sqref="K5">
    <cfRule type="duplicateValues" dxfId="11" priority="14"/>
  </conditionalFormatting>
  <conditionalFormatting sqref="K6">
    <cfRule type="duplicateValues" dxfId="10" priority="13"/>
  </conditionalFormatting>
  <conditionalFormatting sqref="K7">
    <cfRule type="duplicateValues" dxfId="9" priority="12"/>
  </conditionalFormatting>
  <conditionalFormatting sqref="K8">
    <cfRule type="duplicateValues" dxfId="8" priority="9"/>
  </conditionalFormatting>
  <conditionalFormatting sqref="K9">
    <cfRule type="duplicateValues" dxfId="7" priority="8"/>
  </conditionalFormatting>
  <conditionalFormatting sqref="K10">
    <cfRule type="duplicateValues" dxfId="6" priority="7"/>
  </conditionalFormatting>
  <conditionalFormatting sqref="K11">
    <cfRule type="duplicateValues" dxfId="5" priority="6"/>
  </conditionalFormatting>
  <conditionalFormatting sqref="K12">
    <cfRule type="duplicateValues" dxfId="4" priority="5"/>
  </conditionalFormatting>
  <conditionalFormatting sqref="K13">
    <cfRule type="duplicateValues" dxfId="3" priority="4"/>
  </conditionalFormatting>
  <conditionalFormatting sqref="K14">
    <cfRule type="duplicateValues" dxfId="2" priority="3"/>
  </conditionalFormatting>
  <conditionalFormatting sqref="K15">
    <cfRule type="duplicateValues" dxfId="1" priority="2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13302</v>
      </c>
      <c r="B2" s="57">
        <v>3</v>
      </c>
      <c r="C2" s="71" t="str">
        <f>A2&amp; "_"&amp;B2</f>
        <v>13302_3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260</v>
      </c>
      <c r="G2" s="57">
        <v>123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120</v>
      </c>
      <c r="Q2" s="57" t="s">
        <v>168</v>
      </c>
      <c r="R2" s="57" t="s">
        <v>169</v>
      </c>
    </row>
    <row r="3" spans="1:18" x14ac:dyDescent="0.15">
      <c r="A3" s="57">
        <v>13302</v>
      </c>
      <c r="B3" s="57">
        <v>3</v>
      </c>
      <c r="C3" s="71" t="str">
        <f t="shared" ref="C3:C6" si="0">A3&amp; "_"&amp;B3</f>
        <v>13302_3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260</v>
      </c>
      <c r="G3" s="57">
        <v>609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168</v>
      </c>
      <c r="R3" s="57" t="s">
        <v>169</v>
      </c>
    </row>
    <row r="4" spans="1:18" x14ac:dyDescent="0.15">
      <c r="A4" s="57">
        <v>13302</v>
      </c>
      <c r="B4" s="57">
        <v>3</v>
      </c>
      <c r="C4" s="71" t="str">
        <f t="shared" si="0"/>
        <v>13302_3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260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168</v>
      </c>
      <c r="R4" s="57" t="s">
        <v>169</v>
      </c>
    </row>
    <row r="5" spans="1:18" x14ac:dyDescent="0.15">
      <c r="A5" s="57">
        <v>13302</v>
      </c>
      <c r="B5" s="57">
        <v>3</v>
      </c>
      <c r="C5" s="71" t="str">
        <f t="shared" si="0"/>
        <v>13302_3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260</v>
      </c>
      <c r="G5" s="57">
        <v>334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520</v>
      </c>
      <c r="Q5" s="57" t="s">
        <v>168</v>
      </c>
      <c r="R5" s="57" t="s">
        <v>169</v>
      </c>
    </row>
    <row r="6" spans="1:18" x14ac:dyDescent="0.15">
      <c r="A6" s="57">
        <v>13302</v>
      </c>
      <c r="B6" s="57">
        <v>3</v>
      </c>
      <c r="C6" s="71" t="str">
        <f t="shared" si="0"/>
        <v>13302_3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260</v>
      </c>
      <c r="G6" s="57">
        <v>335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240</v>
      </c>
      <c r="Q6" s="57" t="s">
        <v>168</v>
      </c>
      <c r="R6" s="57" t="s">
        <v>169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0" t="s">
        <v>194</v>
      </c>
      <c r="J1" s="79" t="s">
        <v>126</v>
      </c>
      <c r="K1" s="78" t="s">
        <v>185</v>
      </c>
      <c r="L1" s="91" t="s">
        <v>184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8" t="s">
        <v>193</v>
      </c>
      <c r="J1" s="90" t="s">
        <v>194</v>
      </c>
      <c r="K1" s="79" t="s">
        <v>126</v>
      </c>
      <c r="L1" s="78" t="s">
        <v>185</v>
      </c>
      <c r="M1" s="91" t="s">
        <v>184</v>
      </c>
      <c r="N1" s="80" t="s">
        <v>195</v>
      </c>
    </row>
    <row r="2" spans="1:14" ht="70" x14ac:dyDescent="0.15">
      <c r="A2" s="81" t="s">
        <v>196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3階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1</v>
      </c>
      <c r="I2" s="89">
        <f>ROW()-1</f>
        <v>1</v>
      </c>
      <c r="J2" s="105">
        <v>13302351</v>
      </c>
      <c r="K2" s="84" t="s">
        <v>197</v>
      </c>
      <c r="L2" s="86" t="s">
        <v>198</v>
      </c>
      <c r="M2" s="104" t="s">
        <v>317</v>
      </c>
      <c r="N2" s="57" t="s">
        <v>255</v>
      </c>
    </row>
    <row r="3" spans="1:14" ht="70" x14ac:dyDescent="0.15">
      <c r="A3" s="81" t="s">
        <v>196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3階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89">
        <f>ROW()-1</f>
        <v>2</v>
      </c>
      <c r="J3" s="105">
        <v>13302371</v>
      </c>
      <c r="K3" s="84" t="s">
        <v>127</v>
      </c>
      <c r="L3" s="86" t="s">
        <v>198</v>
      </c>
      <c r="M3" s="104" t="s">
        <v>287</v>
      </c>
      <c r="N3" s="57" t="s">
        <v>255</v>
      </c>
    </row>
    <row r="4" spans="1:14" ht="56" x14ac:dyDescent="0.15">
      <c r="A4" s="81" t="s">
        <v>196</v>
      </c>
      <c r="B4" s="82">
        <v>13302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3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3階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3</v>
      </c>
      <c r="I4" s="89">
        <f>ROW()-1</f>
        <v>3</v>
      </c>
      <c r="J4" s="105">
        <v>13302372</v>
      </c>
      <c r="K4" s="84" t="s">
        <v>127</v>
      </c>
      <c r="L4" s="86" t="s">
        <v>198</v>
      </c>
      <c r="M4" s="104" t="s">
        <v>288</v>
      </c>
      <c r="N4" s="57" t="s">
        <v>255</v>
      </c>
    </row>
    <row r="5" spans="1:14" ht="56" x14ac:dyDescent="0.15">
      <c r="A5" s="81" t="s">
        <v>196</v>
      </c>
      <c r="B5" s="82">
        <v>13302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3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3階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v>4</v>
      </c>
      <c r="J5" s="105">
        <v>13302373</v>
      </c>
      <c r="K5" s="84" t="s">
        <v>127</v>
      </c>
      <c r="L5" s="86" t="s">
        <v>198</v>
      </c>
      <c r="M5" s="104" t="s">
        <v>289</v>
      </c>
      <c r="N5" s="57" t="s">
        <v>255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7" t="s">
        <v>212</v>
      </c>
      <c r="D1" s="77" t="s">
        <v>33</v>
      </c>
      <c r="E1" s="94" t="s">
        <v>213</v>
      </c>
      <c r="F1" s="77" t="s">
        <v>214</v>
      </c>
      <c r="G1" s="77" t="s">
        <v>33</v>
      </c>
      <c r="H1" s="94" t="s">
        <v>215</v>
      </c>
      <c r="I1" s="94" t="s">
        <v>216</v>
      </c>
      <c r="J1" s="94" t="s">
        <v>217</v>
      </c>
      <c r="K1" s="73" t="s">
        <v>218</v>
      </c>
      <c r="L1" s="73" t="s">
        <v>219</v>
      </c>
      <c r="M1" s="73" t="s">
        <v>156</v>
      </c>
      <c r="N1" s="77" t="s">
        <v>16</v>
      </c>
      <c r="O1" s="73" t="s">
        <v>220</v>
      </c>
      <c r="P1" s="73" t="s">
        <v>56</v>
      </c>
      <c r="Q1" s="73" t="s">
        <v>221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222</v>
      </c>
      <c r="X1" s="73" t="s">
        <v>223</v>
      </c>
    </row>
    <row r="2" spans="1:24" x14ac:dyDescent="0.15">
      <c r="A2" s="95" t="str">
        <f>B2&amp;"_"&amp;E2&amp;"_"&amp;H2&amp;"_"&amp;I2&amp;"_"&amp;J2</f>
        <v>13302_3_singleonly_clear_1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3</v>
      </c>
      <c r="F2" s="83" t="s">
        <v>259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251</v>
      </c>
      <c r="I2" s="84" t="s">
        <v>252</v>
      </c>
      <c r="J2" s="84">
        <v>1</v>
      </c>
      <c r="K2" s="84">
        <v>770</v>
      </c>
      <c r="L2" s="84" t="s">
        <v>249</v>
      </c>
      <c r="M2" s="84">
        <v>11000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250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253</v>
      </c>
      <c r="X2" s="98" t="s">
        <v>254</v>
      </c>
    </row>
    <row r="3" spans="1:24" x14ac:dyDescent="0.15">
      <c r="A3" s="95" t="str">
        <f>B3&amp;"_"&amp;E3&amp;"_"&amp;H3&amp;"_"&amp;I3&amp;"_"&amp;J3</f>
        <v>13302_3_singleonly_clear_2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3</v>
      </c>
      <c r="F3" s="83" t="s">
        <v>256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251</v>
      </c>
      <c r="I3" s="84" t="s">
        <v>252</v>
      </c>
      <c r="J3" s="84">
        <v>2</v>
      </c>
      <c r="K3" s="84">
        <v>230</v>
      </c>
      <c r="L3" s="84" t="s">
        <v>249</v>
      </c>
      <c r="M3" s="84">
        <v>47000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250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253</v>
      </c>
      <c r="X3" s="98" t="s">
        <v>254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2016-12-07T09:19:25Z</dcterms:modified>
</cp:coreProperties>
</file>