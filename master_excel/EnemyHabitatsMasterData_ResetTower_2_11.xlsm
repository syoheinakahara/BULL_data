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0" yWindow="460" windowWidth="27320" windowHeight="140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8" l="1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3" i="21"/>
  <c r="I3" i="21"/>
  <c r="J3" i="21"/>
  <c r="G3" i="21"/>
  <c r="F3" i="21"/>
  <c r="D3" i="21"/>
  <c r="C3" i="21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5" i="11"/>
  <c r="J4" i="11"/>
  <c r="J3" i="11"/>
  <c r="B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B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B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B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B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B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B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B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B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B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B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B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5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H5" i="1"/>
  <c r="G2" i="2"/>
  <c r="A2" i="2"/>
  <c r="G3" i="2"/>
  <c r="A3" i="2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3" i="2"/>
  <c r="E3" i="2"/>
  <c r="D3" i="2"/>
  <c r="H2" i="1"/>
  <c r="B3" i="2"/>
  <c r="AA2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2" i="21"/>
  <c r="J2" i="11"/>
  <c r="B2" i="10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<sst xmlns="http://schemas.openxmlformats.org/spreadsheetml/2006/main" count="591" uniqueCount="316">
  <si>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</si>
  <si>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</si>
  <si>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</si>
  <si>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</si>
  <si>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</si>
  <si>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</si>
  <si>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</si>
  <si>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</si>
  <si>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</si>
  <si>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</si>
  <si>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</si>
  <si>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</si>
  <si>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</si>
  <si>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</si>
  <si>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</si>
  <si>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</si>
  <si>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</si>
  <si>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</si>
  <si>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</si>
  <si>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</si>
  <si>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</si>
  <si>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</si>
  <si>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</si>
  <si>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</si>
  <si>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</si>
  <si>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</si>
  <si>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</si>
  <si>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</si>
  <si>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</si>
  <si>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</si>
  <si>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</si>
  <si>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</si>
  <si>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</si>
  <si>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</si>
  <si>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</si>
  <si>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</si>
  <si>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</si>
  <si>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</si>
  <si>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</si>
  <si>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</si>
  <si>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</si>
  <si>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</si>
  <si>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</si>
  <si>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</si>
  <si>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</si>
  <si>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</si>
  <si>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</si>
  <si>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</si>
  <si>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</si>
  <si>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</si>
  <si>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</si>
  <si>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</si>
  <si>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</si>
  <si>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</si>
  <si>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</si>
  <si>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</si>
  <si>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</si>
  <si>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</si>
  <si>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</si>
  <si>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</si>
  <si>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</si>
  <si>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</si>
  <si>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</si>
  <si>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</si>
  <si>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</si>
  <si>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</si>
  <si>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</si>
  <si>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</si>
  <si>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</si>
  <si>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</si>
  <si>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</si>
  <si>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</si>
  <si>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</si>
  <si>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</si>
  <si>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</si>
  <si>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</si>
  <si>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</si>
  <si>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</si>
  <si>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</si>
  <si>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</si>
  <si>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</si>
  <si>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</si>
  <si>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</si>
  <si>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</si>
  <si>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</si>
  <si>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</si>
  <si>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</si>
  <si>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</si>
  <si>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</si>
  <si>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</si>
  <si>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</si>
  <si>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</si>
  <si>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</si>
  <si>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</si>
  <si>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</si>
  <si>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</si>
  <si>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</si>
  <si>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</si>
  <si>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</si>
  <si>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</si>
  <si>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</si>
  <si>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</si>
  <si>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</si>
  <si>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</si>
  <si>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</si>
  <si>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</si>
  <si>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</si>
  <si>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</si>
  <si>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</si>
  <si>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</si>
  <si>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</si>
  <si>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</si>
  <si>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</si>
  <si>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</si>
  <si>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</si>
  <si>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</si>
  <si>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</si>
  <si>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</si>
  <si>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</si>
  <si>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</si>
  <si>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</si>
  <si>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</si>
  <si>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</si>
  <si>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</si>
  <si>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</si>
  <si>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</si>
  <si>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</si>
  <si>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</si>
  <si>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</si>
  <si>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</si>
  <si>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</si>
  <si>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</si>
  <si>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</si>
  <si>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</si>
  <si>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</si>
  <si>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</si>
  <si>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</si>
  <si>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</si>
  <si>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</si>
  <si>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</si>
  <si>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</si>
  <si>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</si>
  <si>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</si>
  <si>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</si>
  <si>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</si>
  <si>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</si>
  <si>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</si>
  <si>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</si>
  <si>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</si>
  <si>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</si>
  <si>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</si>
  <si>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</si>
  <si>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</si>
  <si>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</si>
  <si>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</si>
  <si>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</si>
  <si>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</si>
  <si>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</si>
  <si>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</si>
  <si>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</si>
  <si>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</si>
  <si>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</si>
  <si>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</si>
  <si>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</si>
  <si>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</si>
  <si>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</si>
  <si>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</si>
  <si>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</si>
  <si>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</si>
  <si>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</si>
  <si>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</si>
  <si>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</si>
  <si>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</si>
  <si>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</si>
  <si>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</si>
  <si>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</si>
  <si>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</si>
  <si>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</si>
  <si>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</si>
  <si>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</si>
  <si>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</si>
  <si>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</si>
  <si>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</si>
  <si>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</si>
  <si>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</si>
  <si>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</si>
  <si>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</si>
  <si>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</si>
  <si>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</si>
  <si>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</si>
  <si>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</si>
  <si>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</si>
  <si>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</si>
  <si>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</si>
  <si>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</si>
  <si>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</si>
  <si>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</si>
  <si>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</si>
  <si>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</si>
  <si>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</si>
  <si>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</si>
  <si>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</si>
  <si>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</si>
  <si>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</si>
  <si>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</si>
  <si>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</si>
  <si>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</si>
  <si>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</si>
  <si>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</si>
  <si>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</si>
  <si>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</si>
  <si>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</si>
  <si>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</si>
  <si>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</si>
  <si>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</si>
  <si>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</si>
  <si>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</si>
  <si>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</si>
  <si>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</si>
  <si>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</si>
  <si>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</si>
  <si>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</si>
  <si>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</si>
  <si>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</si>
  <si>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</si>
  <si>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</si>
  <si>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</si>
  <si>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</si>
  <si>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</si>
  <si>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</si>
  <si>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</si>
  <si>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</si>
  <si>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</si>
  <si>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</si>
  <si>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</si>
  <si>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</si>
  <si>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</si>
  <si>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</si>
  <si>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</si>
  <si>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</si>
  <si>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</si>
  <si>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</si>
  <si>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</si>
  <si>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</si>
  <si>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</si>
  <si>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</si>
  <si>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</si>
  <si>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</si>
  <si>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</si>
  <si>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</si>
  <si>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</si>
  <si>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</si>
  <si>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</si>
  <si>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</si>
  <si>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</si>
  <si>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13400_11</t>
    <phoneticPr fontId="5"/>
  </si>
  <si>
    <t>F2（左右）</t>
    <rPh sb="3" eb="5">
      <t>サユ</t>
    </rPh>
    <phoneticPr fontId="5"/>
  </si>
  <si>
    <t>予備枠</t>
    <rPh sb="0" eb="3">
      <t>ヨｂ</t>
    </rPh>
    <phoneticPr fontId="5"/>
  </si>
  <si>
    <t>[effect:enhance_enemy, target:myself, turn:3, status:defense, val:5000, calc:add, animation:enemy_enhance_defense]</t>
    <phoneticPr fontId="5"/>
  </si>
  <si>
    <t>[effect:suicide, target:myself, val:1, dead_type:escape]</t>
    <phoneticPr fontId="5"/>
  </si>
  <si>
    <t>[effect:suicide, target:myself, val:0.2]</t>
    <phoneticPr fontId="5"/>
  </si>
  <si>
    <t>[effect:enhance_enemy, target:myself, turn:-1, status:attack, val:1.2, calc:mul, animation:enemy_enhance_attack]</t>
    <phoneticPr fontId="5"/>
  </si>
  <si>
    <t>[effect:kamikaze, val:10]</t>
    <phoneticPr fontId="5"/>
  </si>
  <si>
    <t>[effect:nothing]</t>
    <phoneticPr fontId="5"/>
  </si>
  <si>
    <t>[effect:force_change_block, new_block:damage, target:block_all, ignore01:crash, ignore02:crack_bomb, ignore03:time_bomb, ignore04:jammer, ignore05:color_break, ignore06:magnet, count:5, val:0.1, animation:change_block]</t>
    <phoneticPr fontId="5"/>
  </si>
  <si>
    <t>old</t>
    <phoneticPr fontId="5"/>
  </si>
  <si>
    <t>[effect:fix_speed, target:myself, turn:1],[effect:tolerance, target:myself, turn:-1, count:-1, tolerance_effect:all, animation:enemy_tolerance]</t>
    <phoneticPr fontId="5"/>
  </si>
  <si>
    <t>[effect:fix_speed, target:myself, turn:1],[effect:tolerance, target:myself, turn:-1, count:-1, tolerance_effect:all, animation:enemy_tolerance],[effect:enhance_enemy, target:myself, turn:-1, status:defense, val:999999, calc:add, animation:enemy_enhance_defense]</t>
    <phoneticPr fontId="5"/>
  </si>
  <si>
    <t>[effect:enhance_enemy, target:myself, turn:-1, status:defense, val:999999, calc:add, animation:enemy_enhance_defense]</t>
    <phoneticPr fontId="5"/>
  </si>
  <si>
    <t>[effect:guard_break, target:myself, turn:-1, val:999999, calc:add, animation:guard_break01]</t>
    <phoneticPr fontId="5"/>
  </si>
  <si>
    <t>[effect:heal, target:myself, val:0.1, animation:enemy_heal]</t>
    <phoneticPr fontId="5"/>
  </si>
  <si>
    <t>[effect:enemy_counter, target:myself, invoke_condition:unit_all, counter_target:attacker, turn:3, val:1, animation:enemy_counter]</t>
    <phoneticPr fontId="5"/>
  </si>
  <si>
    <t>[effect:drop_block, block_type:time_bomb, color:block_all, val:0.3, rate:0.3, turn:-1, animation:time_bomb_influence04]</t>
    <phoneticPr fontId="5"/>
  </si>
  <si>
    <t>[effect:fix_speed, target:myself, turn:1],[effect:tolerance, target:myself, turn:-1, count:-1, tolerance_effect:all, animation:enemy_tolerance]</t>
    <phoneticPr fontId="5"/>
  </si>
  <si>
    <t>状態異常耐性</t>
    <rPh sb="0" eb="4">
      <t>ｊｙ</t>
    </rPh>
    <rPh sb="4" eb="6">
      <t>タイセ</t>
    </rPh>
    <phoneticPr fontId="5"/>
  </si>
  <si>
    <t xml:space="preserve">確率で時限式ダメージパネルをドロップ </t>
    <rPh sb="3" eb="6">
      <t>ジゲｎ</t>
    </rPh>
    <phoneticPr fontId="5"/>
  </si>
  <si>
    <t>3ターン全ユニットの攻撃をカウンター</t>
    <rPh sb="4" eb="5">
      <t>ゼｎ</t>
    </rPh>
    <rPh sb="10" eb="12">
      <t>コウゲｋ</t>
    </rPh>
    <phoneticPr fontId="5"/>
  </si>
  <si>
    <t>3ターン防御力UP</t>
    <rPh sb="4" eb="6">
      <t>ボ</t>
    </rPh>
    <rPh sb="6" eb="7">
      <t>リョｋ</t>
    </rPh>
    <phoneticPr fontId="5"/>
  </si>
  <si>
    <t>自己回復</t>
    <rPh sb="0" eb="4">
      <t>ジｋ</t>
    </rPh>
    <phoneticPr fontId="5"/>
  </si>
  <si>
    <t>防御力UP</t>
    <rPh sb="0" eb="3">
      <t>ボ</t>
    </rPh>
    <phoneticPr fontId="5"/>
  </si>
  <si>
    <t>防御力DOWN</t>
    <rPh sb="0" eb="3">
      <t>ボ</t>
    </rPh>
    <phoneticPr fontId="5"/>
  </si>
  <si>
    <t>攻撃力UP</t>
    <rPh sb="0" eb="3">
      <t>コウゲｋ</t>
    </rPh>
    <phoneticPr fontId="5"/>
  </si>
  <si>
    <t>自爆攻撃</t>
    <rPh sb="0" eb="2">
      <t>ジｂ</t>
    </rPh>
    <rPh sb="2" eb="4">
      <t>コウゲｋ</t>
    </rPh>
    <phoneticPr fontId="5"/>
  </si>
  <si>
    <t>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t>
    <phoneticPr fontId="5"/>
  </si>
  <si>
    <t>[effect:force_change_block, new_block:crack_bomb, target:block_all, ignore01:crash, ignore02:crack_bomb, ignore03:time_bomb, ignore04:jammer, ignore05:color_break, ignore06:damage, ignore07:magnet, color:block_random, count:10, val:12, animation:change_block]</t>
    <phoneticPr fontId="5"/>
  </si>
  <si>
    <t>大爆発</t>
    <rPh sb="0" eb="3">
      <t>ダ</t>
    </rPh>
    <phoneticPr fontId="5"/>
  </si>
  <si>
    <t>うまく遊ばないと壊れちゃうよ？</t>
    <rPh sb="3" eb="4">
      <t>アソｂ</t>
    </rPh>
    <rPh sb="8" eb="9">
      <t>コワｒ</t>
    </rPh>
    <phoneticPr fontId="5"/>
  </si>
  <si>
    <t>状態異常耐性+防御力UP</t>
    <rPh sb="7" eb="10">
      <t>ボ</t>
    </rPh>
    <phoneticPr fontId="5"/>
  </si>
  <si>
    <t>コンニチワ</t>
    <phoneticPr fontId="5"/>
  </si>
  <si>
    <t>オクリモノデス</t>
    <phoneticPr fontId="5"/>
  </si>
  <si>
    <t>カイフクシマス</t>
    <phoneticPr fontId="5"/>
  </si>
  <si>
    <t>コン…ニチワ…</t>
    <phoneticPr fontId="5"/>
  </si>
  <si>
    <t>コこコこ…コンにチワ…</t>
    <phoneticPr fontId="5"/>
  </si>
  <si>
    <t>コン…ニチワ…チワ</t>
    <phoneticPr fontId="5"/>
  </si>
  <si>
    <t>…コンニチワ…</t>
    <phoneticPr fontId="5"/>
  </si>
  <si>
    <t>ボウエイシマス</t>
    <phoneticPr fontId="5"/>
  </si>
  <si>
    <t>ピッ…カウント3…</t>
    <phoneticPr fontId="5"/>
  </si>
  <si>
    <t>ピッ…カウント2…</t>
    <phoneticPr fontId="5"/>
  </si>
  <si>
    <t>ピッ…カウント1…</t>
    <phoneticPr fontId="5"/>
  </si>
  <si>
    <t>ピッ…カウント5…</t>
    <phoneticPr fontId="5"/>
  </si>
  <si>
    <t>ピッ…カウント4…</t>
    <phoneticPr fontId="5"/>
  </si>
  <si>
    <t>ハンゲキシマス</t>
    <phoneticPr fontId="5"/>
  </si>
  <si>
    <t>3体いるF3は両脇から倒さないと
中央のF3ダメージが通りません
ターゲット指定をして倒しましょう</t>
    <phoneticPr fontId="5"/>
  </si>
  <si>
    <t>中央のF3は両側のF3どちらか1体が
倒されるとカウントが始まります
強力なので自爆する前に倒しましょう</t>
    <phoneticPr fontId="5"/>
  </si>
  <si>
    <t>unit</t>
  </si>
  <si>
    <t>link</t>
  </si>
  <si>
    <t>singleonly</t>
    <phoneticPr fontId="5"/>
  </si>
  <si>
    <t>bit</t>
    <phoneticPr fontId="5"/>
  </si>
  <si>
    <t>bit</t>
    <phoneticPr fontId="5"/>
  </si>
  <si>
    <t>よく来たねぇ♪</t>
    <phoneticPr fontId="5"/>
  </si>
  <si>
    <t>たくさん歓迎してあげる！</t>
    <rPh sb="4" eb="6">
      <t>カンゲ</t>
    </rPh>
    <phoneticPr fontId="5"/>
  </si>
  <si>
    <t>アハハッ、後はオモチャに遊んでもらってよ！</t>
    <rPh sb="5" eb="6">
      <t>アトハ</t>
    </rPh>
    <rPh sb="12" eb="13">
      <t>アソｎ</t>
    </rPh>
    <phoneticPr fontId="5"/>
  </si>
  <si>
    <t>ランダムで時限式ダメージパネルに最大10個変換</t>
    <rPh sb="5" eb="8">
      <t>ジゲｎ</t>
    </rPh>
    <rPh sb="21" eb="23">
      <t>ヘンカｎ</t>
    </rPh>
    <phoneticPr fontId="5"/>
  </si>
  <si>
    <t>ランダムでボムパネルに最大10個変換</t>
    <rPh sb="16" eb="18">
      <t>ヘンカｎ</t>
    </rPh>
    <phoneticPr fontId="5"/>
  </si>
  <si>
    <t>ランダムでダメージパネルに最大5個変換</t>
    <rPh sb="17" eb="19">
      <t>ヘンカｎ</t>
    </rPh>
    <phoneticPr fontId="5"/>
  </si>
  <si>
    <t>残りHPの20%消費</t>
    <rPh sb="0" eb="1">
      <t>ノコｒ</t>
    </rPh>
    <rPh sb="8" eb="10">
      <t>ｓｙ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</si>
</sst>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29" sqref="C2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265</v>
      </c>
      <c r="B2" s="55" t="s">
        <v>106</v>
      </c>
      <c r="C2" s="60" t="s">
        <v>255</v>
      </c>
      <c r="D2" s="55" t="s">
        <v>107</v>
      </c>
      <c r="E2" s="54" t="str">
        <f>B2&amp;C2&amp;D2</f>
        <v>floors_13400_11.tmp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265</v>
      </c>
      <c r="B3" s="55" t="s">
        <v>109</v>
      </c>
      <c r="C3" s="60" t="s">
        <v>255</v>
      </c>
      <c r="D3" s="55" t="s">
        <v>107</v>
      </c>
      <c r="E3" s="54" t="str">
        <f>B3&amp;C3&amp;D3</f>
        <v>enemy_habitats_13400_11.tmp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177</v>
      </c>
    </row>
    <row r="4" spans="1:30" x14ac:dyDescent="0.15">
      <c r="A4" s="59" t="s">
        <v>186</v>
      </c>
      <c r="B4" s="55" t="s">
        <v>111</v>
      </c>
      <c r="C4" s="60" t="s">
        <v>255</v>
      </c>
      <c r="D4" s="55" t="s">
        <v>107</v>
      </c>
      <c r="E4" s="54" t="str">
        <f>B4&amp;C4&amp;D4</f>
        <v>enemy_habitat_S_13400_11.tmp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265</v>
      </c>
      <c r="B5" s="55" t="s">
        <v>113</v>
      </c>
      <c r="C5" s="60" t="s">
        <v>255</v>
      </c>
      <c r="D5" s="55" t="s">
        <v>107</v>
      </c>
      <c r="E5" s="54" t="str">
        <f>B5&amp;C5&amp;D5</f>
        <v>enemy_skill_sets_13400_11.tmp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265</v>
      </c>
      <c r="B6" s="55" t="s">
        <v>115</v>
      </c>
      <c r="C6" s="60" t="s">
        <v>255</v>
      </c>
      <c r="D6" s="55" t="s">
        <v>116</v>
      </c>
      <c r="E6" s="54" t="str">
        <f t="shared" ref="E6:E10" si="0">B6&amp;C6&amp;D6</f>
        <v>enemy_skills_tmp_13400_11.tmp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265</v>
      </c>
      <c r="B7" s="55" t="s">
        <v>117</v>
      </c>
      <c r="C7" s="60" t="s">
        <v>255</v>
      </c>
      <c r="D7" s="55" t="s">
        <v>107</v>
      </c>
      <c r="E7" s="54" t="str">
        <f>B7&amp;C7&amp;D7</f>
        <v>enemy_skills_i18n_13400_11.tmp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265</v>
      </c>
      <c r="B8" s="55" t="s">
        <v>119</v>
      </c>
      <c r="C8" s="60" t="s">
        <v>255</v>
      </c>
      <c r="D8" s="55" t="s">
        <v>120</v>
      </c>
      <c r="E8" s="54" t="str">
        <f t="shared" si="0"/>
        <v>enemy_skill_triggers_13400_11.tmp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265</v>
      </c>
      <c r="B9" s="65" t="s">
        <v>176</v>
      </c>
      <c r="C9" s="60" t="s">
        <v>255</v>
      </c>
      <c r="D9" s="65" t="s">
        <v>170</v>
      </c>
      <c r="E9" s="66" t="str">
        <f t="shared" si="0"/>
        <v>stage_bug_bonuses_13400_11.tmp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186</v>
      </c>
      <c r="B10" s="65" t="s">
        <v>199</v>
      </c>
      <c r="C10" s="60" t="s">
        <v>255</v>
      </c>
      <c r="D10" s="65" t="s">
        <v>179</v>
      </c>
      <c r="E10" s="66" t="str">
        <f t="shared" si="0"/>
        <v>stage_hints_data_c_13400_11.tmp</v>
      </c>
      <c r="F10" s="65" t="s">
        <v>207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64" t="s">
        <v>183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59" t="s">
        <v>265</v>
      </c>
      <c r="B11" s="65" t="s">
        <v>200</v>
      </c>
      <c r="C11" s="60" t="s">
        <v>255</v>
      </c>
      <c r="D11" s="65" t="s">
        <v>170</v>
      </c>
      <c r="E11" s="66" t="str">
        <f t="shared" ref="E11:E13" si="1">B11&amp;C11&amp;D11</f>
        <v>stage_hints_data_f_13400_11.tmp</v>
      </c>
      <c r="F11" s="65" t="s">
        <v>208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64" t="s">
        <v>183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59" t="s">
        <v>265</v>
      </c>
      <c r="B12" s="65" t="s">
        <v>201</v>
      </c>
      <c r="C12" s="60" t="s">
        <v>255</v>
      </c>
      <c r="D12" s="65" t="s">
        <v>170</v>
      </c>
      <c r="E12" s="66" t="str">
        <f t="shared" si="1"/>
        <v>stage_hints_i18n_13400_11.tmp</v>
      </c>
      <c r="F12" s="65" t="s">
        <v>209</v>
      </c>
      <c r="G12" s="71" t="s">
        <v>202</v>
      </c>
      <c r="H12" s="90" t="s">
        <v>203</v>
      </c>
      <c r="I12" s="70" t="s">
        <v>204</v>
      </c>
      <c r="J12" s="98" t="s">
        <v>205</v>
      </c>
      <c r="K12" s="64" t="s">
        <v>206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59" t="s">
        <v>265</v>
      </c>
      <c r="B13" s="65" t="s">
        <v>247</v>
      </c>
      <c r="C13" s="60" t="s">
        <v>255</v>
      </c>
      <c r="D13" s="65" t="s">
        <v>228</v>
      </c>
      <c r="E13" s="66" t="str">
        <f t="shared" si="1"/>
        <v>stage_bonuses_13400_11.tmp</v>
      </c>
      <c r="F13" s="65" t="s">
        <v>227</v>
      </c>
      <c r="G13" s="70" t="s">
        <v>229</v>
      </c>
      <c r="H13" s="70" t="s">
        <v>230</v>
      </c>
      <c r="I13" s="70" t="s">
        <v>231</v>
      </c>
      <c r="J13" s="70" t="s">
        <v>232</v>
      </c>
      <c r="K13" s="70" t="s">
        <v>233</v>
      </c>
      <c r="L13" s="70" t="s">
        <v>234</v>
      </c>
      <c r="M13" s="70" t="s">
        <v>235</v>
      </c>
      <c r="N13" s="70" t="s">
        <v>236</v>
      </c>
      <c r="O13" s="70" t="s">
        <v>237</v>
      </c>
      <c r="P13" s="70" t="s">
        <v>238</v>
      </c>
      <c r="Q13" s="70" t="s">
        <v>239</v>
      </c>
      <c r="R13" s="70" t="s">
        <v>240</v>
      </c>
      <c r="S13" s="70" t="s">
        <v>241</v>
      </c>
      <c r="T13" s="70" t="s">
        <v>242</v>
      </c>
      <c r="U13" s="70" t="s">
        <v>243</v>
      </c>
      <c r="V13" s="70" t="s">
        <v>244</v>
      </c>
      <c r="W13" s="70" t="s">
        <v>245</v>
      </c>
      <c r="X13" s="70" t="s">
        <v>246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J3" sqref="J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13400_11-1</v>
      </c>
      <c r="B2" s="15" t="str">
        <f>IF(COUNTIF(enemy_habitats!$H:$H,A2),"OK","NG")</f>
        <v>OK</v>
      </c>
      <c r="C2" s="107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11</v>
      </c>
      <c r="G2" s="21" t="str">
        <f>C2&amp;"_"&amp;F2</f>
        <v>13400_11</v>
      </c>
      <c r="H2" s="14" t="str">
        <f ca="1">VLOOKUP($G2,OFFSET([2]stages!$A$1,0,0,COUNTA([2]stages!$A:$A),MATCH(H$1,[2]stages!$2:$2,0)-MATCH($G$1,[2]stages!$2:$2,0)+1),MATCH(H$1,[2]stages!$2:$2,0)-MATCH($G$1,[2]stages!$2:$2,0)+1,FALSE)</f>
        <v>11階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13400_11-2</v>
      </c>
      <c r="B3" s="15" t="str">
        <f>IF(COUNTIF(enemy_habitats!$H:$H,A3),"OK","NG")</f>
        <v>OK</v>
      </c>
      <c r="C3" s="107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11</v>
      </c>
      <c r="G3" s="21" t="str">
        <f>C3&amp;"_"&amp;F3</f>
        <v>13400_11</v>
      </c>
      <c r="H3" s="14" t="str">
        <f ca="1">VLOOKUP($G3,OFFSET([2]stages!$A$1,0,0,COUNTA([2]stages!$A:$A),MATCH(H$1,[2]stages!$2:$2,0)-MATCH($G$1,[2]stages!$2:$2,0)+1),MATCH(H$1,[2]stages!$2:$2,0)-MATCH($G$1,[2]stages!$2:$2,0)+1,FALSE)</f>
        <v>11階 コスト制限なし</v>
      </c>
      <c r="I3" s="19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9" sqref="L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1" width="6.83203125" style="3" customWidth="1"/>
    <col min="22" max="22" width="8.5" style="3" bestFit="1" customWidth="1"/>
    <col min="23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5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248</v>
      </c>
      <c r="U1" s="24" t="s">
        <v>50</v>
      </c>
      <c r="V1" s="99" t="s">
        <v>249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178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13400_11-1/1268&lt;lv80&gt;s1</v>
      </c>
      <c r="B2" s="20">
        <v>13400</v>
      </c>
      <c r="C2" s="19">
        <v>11</v>
      </c>
      <c r="D2" s="2" t="str">
        <f>B2&amp;"_"&amp;C2</f>
        <v>13400_11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11階 コスト制限なし</v>
      </c>
      <c r="G2" s="19">
        <v>1</v>
      </c>
      <c r="H2" s="14" t="str">
        <f>B2&amp;"_"&amp;C2&amp;"-"&amp;G2</f>
        <v>13400_11-1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4">
        <v>1268</v>
      </c>
      <c r="M2" s="103" t="str">
        <f ca="1">VLOOKUP($L2,OFFSET([3]enemies!$A$1,0,0,COUNTA([3]enemies!$A:$A),MATCH(M$1,[3]enemies!$1:$1,0)-MATCH($L$1,[3]enemies!$1:$1,0)+1),MATCH(M$1,[3]enemies!$1:$1,0)-MATCH($L$1,[3]enemies!$1:$1,0)+1,FALSE)</f>
        <v>ローズ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DropWizSSS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queen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3">
        <v>6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831300</v>
      </c>
      <c r="U2" s="23">
        <v>1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12073</v>
      </c>
      <c r="W2" s="5">
        <v>999999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108">
        <v>13400500</v>
      </c>
      <c r="Z2" s="6">
        <v>1</v>
      </c>
      <c r="AA2" s="6">
        <v>100</v>
      </c>
      <c r="AB2" s="6">
        <v>1</v>
      </c>
      <c r="AC2" s="102">
        <v>1</v>
      </c>
      <c r="AD2" s="22">
        <f t="shared" ref="AD2" si="1">L2</f>
        <v>1268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ローズ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2" s="7">
        <v>1</v>
      </c>
      <c r="AI2" s="22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5" si="2">B3&amp;"_"&amp;C3&amp;"-"&amp;G3&amp;"/"&amp;L3&amp;"&lt;lv"&amp;R3&amp;"&gt;s"&amp;AC3</f>
        <v>13400_11-2/36&lt;lv78&gt;s1</v>
      </c>
      <c r="B3" s="20">
        <v>13400</v>
      </c>
      <c r="C3" s="19">
        <v>11</v>
      </c>
      <c r="D3" s="2" t="str">
        <f t="shared" ref="D3:D5" si="3">B3&amp;"_"&amp;C3</f>
        <v>13400_11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11階 コスト制限なし</v>
      </c>
      <c r="G3" s="19">
        <v>2</v>
      </c>
      <c r="H3" s="14" t="str">
        <f t="shared" ref="H3:H5" si="4">B3&amp;"_"&amp;C3&amp;"-"&amp;G3</f>
        <v>13400_11-2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4">
        <v>36</v>
      </c>
      <c r="M3" s="103" t="str">
        <f ca="1">VLOOKUP($L3,OFFSET([3]enemies!$A$1,0,0,COUNTA([3]enemies!$A:$A),MATCH(M$1,[3]enemies!$1:$1,0)-MATCH($L$1,[3]enemies!$1:$1,0)+1),MATCH(M$1,[3]enemies!$1:$1,0)-MATCH($L$1,[3]enemies!$1:$1,0)+1,FALSE)</f>
        <v>オフィス追尾型移動地雷F3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78</v>
      </c>
      <c r="S3" s="23">
        <v>13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626171</v>
      </c>
      <c r="U3" s="23">
        <v>0.3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2120.4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3" s="108">
        <v>13400501</v>
      </c>
      <c r="Z3" s="6">
        <v>1</v>
      </c>
      <c r="AA3" s="6">
        <v>100</v>
      </c>
      <c r="AB3" s="6">
        <v>0</v>
      </c>
      <c r="AC3" s="102">
        <v>1</v>
      </c>
      <c r="AD3" s="22">
        <f t="shared" ref="AD3:AD5" si="5">L3</f>
        <v>36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オフィス追尾型移動地雷F3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2">
        <f t="shared" ref="AI3:AI5" ca="1" si="6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2"/>
        <v>13400_11-2/36&lt;lv79&gt;s1</v>
      </c>
      <c r="B4" s="20">
        <v>13400</v>
      </c>
      <c r="C4" s="19">
        <v>11</v>
      </c>
      <c r="D4" s="2" t="str">
        <f t="shared" si="3"/>
        <v>13400_11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11階 コスト制限なし</v>
      </c>
      <c r="G4" s="19">
        <v>2</v>
      </c>
      <c r="H4" s="14" t="str">
        <f t="shared" si="4"/>
        <v>13400_11-2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4">
        <v>36</v>
      </c>
      <c r="M4" s="103" t="str">
        <f ca="1">VLOOKUP($L4,OFFSET([3]enemies!$A$1,0,0,COUNTA([3]enemies!$A:$A),MATCH(M$1,[3]enemies!$1:$1,0)-MATCH($L$1,[3]enemies!$1:$1,0)+1),MATCH(M$1,[3]enemies!$1:$1,0)-MATCH($L$1,[3]enemies!$1:$1,0)+1,FALSE)</f>
        <v>オフィス追尾型移動地雷F3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79</v>
      </c>
      <c r="S4" s="23">
        <v>13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634049</v>
      </c>
      <c r="U4" s="23">
        <v>0.3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2147.1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108">
        <v>13400501</v>
      </c>
      <c r="Z4" s="6">
        <v>1</v>
      </c>
      <c r="AA4" s="6">
        <v>100</v>
      </c>
      <c r="AB4" s="6">
        <v>0</v>
      </c>
      <c r="AC4" s="102">
        <v>1</v>
      </c>
      <c r="AD4" s="22">
        <f t="shared" si="5"/>
        <v>36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オフィス追尾型移動地雷F3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2">
        <f t="shared" ca="1" si="6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2"/>
        <v>13400_11-2/36&lt;lv80&gt;s1</v>
      </c>
      <c r="B5" s="20">
        <v>13400</v>
      </c>
      <c r="C5" s="19">
        <v>11</v>
      </c>
      <c r="D5" s="2" t="str">
        <f t="shared" si="3"/>
        <v>13400_11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11階 コスト制限なし</v>
      </c>
      <c r="G5" s="19">
        <v>2</v>
      </c>
      <c r="H5" s="14" t="str">
        <f t="shared" si="4"/>
        <v>13400_11-2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4">
        <v>36</v>
      </c>
      <c r="M5" s="103" t="str">
        <f ca="1">VLOOKUP($L5,OFFSET([3]enemies!$A$1,0,0,COUNTA([3]enemies!$A:$A),MATCH(M$1,[3]enemies!$1:$1,0)-MATCH($L$1,[3]enemies!$1:$1,0)+1),MATCH(M$1,[3]enemies!$1:$1,0)-MATCH($L$1,[3]enemies!$1:$1,0)+1,FALSE)</f>
        <v>オフィス追尾型移動地雷F3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6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3">
        <v>11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543169</v>
      </c>
      <c r="U5" s="23">
        <v>1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7246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状態異常耐性+防御力UP</v>
      </c>
      <c r="Y5" s="108">
        <v>13400502</v>
      </c>
      <c r="Z5" s="6">
        <v>1</v>
      </c>
      <c r="AA5" s="6">
        <v>100</v>
      </c>
      <c r="AB5" s="6">
        <v>1</v>
      </c>
      <c r="AC5" s="102">
        <v>1</v>
      </c>
      <c r="AD5" s="22">
        <f t="shared" si="5"/>
        <v>36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オフィス追尾型移動地雷F3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2">
        <f t="shared" ca="1" si="6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7" sqref="N7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248</v>
      </c>
      <c r="V1" s="24" t="s">
        <v>50</v>
      </c>
      <c r="W1" s="99" t="s">
        <v>249</v>
      </c>
      <c r="X1" s="24" t="s">
        <v>52</v>
      </c>
      <c r="Y1" s="26" t="s">
        <v>128</v>
      </c>
      <c r="Z1" s="27" t="s">
        <v>127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13400_1-1/2&lt;lv1&gt;sq1st2</v>
      </c>
      <c r="B2" s="20">
        <v>13400</v>
      </c>
      <c r="C2" s="109">
        <v>1</v>
      </c>
      <c r="D2" s="14" t="str">
        <f>B2&amp;"_"&amp;C2</f>
        <v>13400_1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1階 コスト制限なし</v>
      </c>
      <c r="G2" s="109">
        <v>1</v>
      </c>
      <c r="H2" s="14" t="str">
        <f>B2&amp;"_"&amp;C2&amp;"-"&amp;G2</f>
        <v>13400_1-1</v>
      </c>
      <c r="I2" s="4" t="e">
        <f ca="1">VLOOKUP($H2,OFFSET([5]floors!$A$1,0,0,COUNTA([5]floors!$A:$A),MATCH(I$1,[5]floors!$1:$1,0)-MATCH($H$1,[5]floors!$1:$1,0)+1),MATCH(I$1,[5]floors!$1:$1,0)-MATCH($H$1,[5]floors!$1:$1,0)+1,FALSE)</f>
        <v>#VALUE!</v>
      </c>
      <c r="J2" s="4" t="e">
        <f ca="1">VLOOKUP($H2,OFFSET([5]floors!$A$1,0,0,COUNTA([5]floors!$A:$A),MATCH(J$1,[5]floors!$1:$1,0)-MATCH($H$1,[5]floors!$1:$1,0)+1),MATCH(J$1,[5]floors!$1:$1,0)-MATCH($H$1,[5]floors!$1:$1,0)+1,FALSE)</f>
        <v>#VALUE!</v>
      </c>
      <c r="K2" s="36">
        <v>1</v>
      </c>
      <c r="L2" s="36">
        <v>2</v>
      </c>
      <c r="M2" s="104">
        <v>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3">
        <v>1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3">
        <v>1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108">
        <v>13400000</v>
      </c>
      <c r="AA2" s="110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3" sqref="E13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13400500_13400500</v>
      </c>
      <c r="B2" s="45">
        <v>13400500</v>
      </c>
      <c r="C2" s="45">
        <v>13400500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よく来たねぇ♪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5">
        <v>13400500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9" si="1">B3&amp;"_"&amp;C3</f>
        <v>13400500_13400501</v>
      </c>
      <c r="B3" s="45">
        <v>13400500</v>
      </c>
      <c r="C3" s="45">
        <v>13400501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たくさん歓迎してあげる！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 xml:space="preserve">確率で時限式ダメージパネルをドロップ </v>
      </c>
      <c r="F3" s="45">
        <v>13400501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13400500_13400502</v>
      </c>
      <c r="B4" s="45">
        <v>13400500</v>
      </c>
      <c r="C4" s="45">
        <v>13400502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アハハッ、後はオモチャに遊んでもらってよ！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うまく遊ばないと壊れちゃうよ？</v>
      </c>
      <c r="F4" s="45">
        <v>13400502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13400501_13400503</v>
      </c>
      <c r="B5" s="45">
        <v>13400501</v>
      </c>
      <c r="C5" s="45">
        <v>13400503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コンニチワ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" s="45">
        <v>13400503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13400501_13400504</v>
      </c>
      <c r="B6" s="45">
        <v>13400501</v>
      </c>
      <c r="C6" s="45">
        <v>13400504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オクリモノデス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ランダムでダメージパネルに最大5個変換</v>
      </c>
      <c r="F6" s="45">
        <v>13400504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" s="45"/>
      <c r="Q6" s="45"/>
      <c r="R6" s="45"/>
    </row>
    <row r="7" spans="1:18" ht="21" customHeight="1" x14ac:dyDescent="0.15">
      <c r="A7" s="37" t="str">
        <f t="shared" si="1"/>
        <v>13400501_13400505</v>
      </c>
      <c r="B7" s="45">
        <v>13400501</v>
      </c>
      <c r="C7" s="45">
        <v>13400505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ハンゲキシマス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3ターン全ユニットの攻撃をカウンター</v>
      </c>
      <c r="F7" s="45">
        <v>13400505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1"/>
        <v>13400501_13400506</v>
      </c>
      <c r="B8" s="45">
        <v>13400501</v>
      </c>
      <c r="C8" s="45">
        <v>13400506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ボウエイシマス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8" s="45">
        <v>13400506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13400501_13400507</v>
      </c>
      <c r="B9" s="45">
        <v>13400501</v>
      </c>
      <c r="C9" s="45">
        <v>13400507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カイフクシマス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自己回復</v>
      </c>
      <c r="F9" s="45">
        <v>13400507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ref="A10:A17" si="2">B10&amp;"_"&amp;C10</f>
        <v>13400502_13400510</v>
      </c>
      <c r="B10" s="45">
        <v>13400502</v>
      </c>
      <c r="C10" s="45">
        <v>13400510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…コンニチワ…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状態異常耐性+防御力UP</v>
      </c>
      <c r="F10" s="45">
        <v>13400510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2"/>
        <v>13400502_13400511</v>
      </c>
      <c r="B11" s="45">
        <v>13400502</v>
      </c>
      <c r="C11" s="45">
        <v>13400511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コン…ニチワ…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防御力UP</v>
      </c>
      <c r="F11" s="45">
        <v>13400511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2"/>
        <v>13400502_13400512</v>
      </c>
      <c r="B12" s="45">
        <v>13400502</v>
      </c>
      <c r="C12" s="45">
        <v>13400512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コこコこ…コンにチワ…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12" s="45">
        <v>13400512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36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2"/>
        <v>13400502_13400513</v>
      </c>
      <c r="B13" s="45">
        <v>13400502</v>
      </c>
      <c r="C13" s="45">
        <v>13400513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コン…ニチワ…チワ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残りHPの20%消費</v>
      </c>
      <c r="F13" s="45">
        <v>13400513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36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2"/>
        <v>13400502_13400514</v>
      </c>
      <c r="B14" s="45">
        <v>13400502</v>
      </c>
      <c r="C14" s="45">
        <v>13400514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ピッ…カウント3…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ランダムで時限式ダメージパネルに最大10個変換</v>
      </c>
      <c r="F14" s="45">
        <v>13400514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2"/>
        <v>13400502_13400515</v>
      </c>
      <c r="B15" s="45">
        <v>13400502</v>
      </c>
      <c r="C15" s="45">
        <v>13400515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ピッ…カウント2…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ランダムでボムパネルに最大10個変換</v>
      </c>
      <c r="F15" s="45">
        <v>13400515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2"/>
        <v>13400502_13400516</v>
      </c>
      <c r="B16" s="45">
        <v>13400502</v>
      </c>
      <c r="C16" s="45">
        <v>13400516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ピッ…カウント1…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攻撃力UP</v>
      </c>
      <c r="F16" s="45">
        <v>13400516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2"/>
        <v>13400502_13400517</v>
      </c>
      <c r="B17" s="45">
        <v>13400502</v>
      </c>
      <c r="C17" s="45">
        <v>13400517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大爆発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自爆攻撃</v>
      </c>
      <c r="F17" s="45">
        <v>13400517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ref="A18:A19" si="3">B18&amp;"_"&amp;C18</f>
        <v>13400502_13400518</v>
      </c>
      <c r="B18" s="45">
        <v>13400502</v>
      </c>
      <c r="C18" s="45">
        <v>13400518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ピッ…カウント5…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ランダムで時限式ダメージパネルに最大10個変換</v>
      </c>
      <c r="F18" s="45">
        <v>13400518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3"/>
        <v>13400502_13400519</v>
      </c>
      <c r="B19" s="45">
        <v>13400502</v>
      </c>
      <c r="C19" s="45">
        <v>13400519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ピッ…カウント4…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ランダムでボムパネルに最大10個変換</v>
      </c>
      <c r="F19" s="45">
        <v>13400519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21"/>
  <sheetViews>
    <sheetView showGridLines="0" workbookViewId="0">
      <pane ySplit="1" topLeftCell="A2" activePane="bottomLeft" state="frozenSplit"/>
      <selection pane="bottomLeft" activeCell="E3" sqref="E3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91.1640625" style="47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customWidth="1"/>
    <col min="28" max="28" width="29.83203125" style="47" customWidth="1"/>
    <col min="29" max="29" width="116.6640625" style="47" customWidth="1"/>
    <col min="30" max="30" width="52.1640625" style="47" customWidth="1"/>
    <col min="31" max="16384" width="12.83203125" style="47"/>
  </cols>
  <sheetData>
    <row r="1" spans="1:29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253</v>
      </c>
    </row>
    <row r="2" spans="1:29" ht="21" customHeight="1" x14ac:dyDescent="0.15">
      <c r="A2" s="45">
        <v>13400500</v>
      </c>
      <c r="B2" s="46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>[effect:enemy_message, val1:1.2, val2:1.2],[effect:fix_speed, target:myself, turn:1],[effect:tolerance, target:myself, turn:-1, count:-1, tolerance_effect:all, animation:enemy_tolerance]</v>
      </c>
      <c r="C2" s="48">
        <v>3</v>
      </c>
      <c r="D2" s="48" t="s">
        <v>252</v>
      </c>
      <c r="E2" s="49" t="s">
        <v>309</v>
      </c>
      <c r="F2" s="49" t="s">
        <v>274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IFERROR(VLOOKUP(MID(G2,J2,K2-J2),[7]skilldef!$C:$D,2,FALSE),"-") &amp; " / " &amp; IFERROR(VLOOKUP(MID(G2,H2,I2-H2),[7]skilldef!$A:$B,2,FALSE),"-")</f>
        <v>- / -</v>
      </c>
      <c r="M2" s="61" t="str">
        <f>IFERROR(RIGHT(B2,LEN(B2)-FIND("],",B2)-1),"none")</f>
        <v>[effect:fix_speed, target:myself, turn:1],[effect:tolerance, target:myself, turn:-1, count:-1, tolerance_effect:all, animation:enemy_tolerance]</v>
      </c>
      <c r="N2" s="46" t="str">
        <f>IFERROR(LEFT(M2,FIND("],",M2)+S7),M2)</f>
        <v>[effect:fix_speed, target:myself, turn:1],[effect:tolerance, target:myself, turn:-1, count:-1, tolerance_effect:all, animation:enemy_tolerance]</v>
      </c>
      <c r="O2" s="61">
        <f>FIND("effect:",N2)+7</f>
        <v>9</v>
      </c>
      <c r="P2" s="61">
        <f>IFERROR(FIND(",",N2),LEN(N2))</f>
        <v>18</v>
      </c>
      <c r="Q2" s="61">
        <f>FIND("target:",N2)+7</f>
        <v>27</v>
      </c>
      <c r="R2" s="61">
        <f>FIND(",",N2,P2+1)</f>
        <v>33</v>
      </c>
      <c r="S2" s="61" t="str">
        <f>IFERROR(VLOOKUP(MID(N2,Q2,R2-Q2),[7]skilldef!$C:$D,2,FALSE),"-") &amp; " / " &amp; IFERROR(VLOOKUP(MID(N2,O2,P2-O2),[7]skilldef!$A:$B,2,FALSE),"-")</f>
        <v>自分自身に / 行動値設定</v>
      </c>
      <c r="T2" s="46" t="str">
        <f>IFERROR(RIGHT(M2,LEN(M2)-FIND("],",M2)-1),"none")</f>
        <v>[effect:tolerance, target:myself, turn:-1, count:-1, tolerance_effect:all, animation:enemy_tolerance]</v>
      </c>
      <c r="U2" s="61">
        <f>FIND("effect:",T2)+7</f>
        <v>9</v>
      </c>
      <c r="V2" s="61">
        <f>IFERROR(FIND(",",T2),LEN(T2))</f>
        <v>18</v>
      </c>
      <c r="W2" s="61">
        <f>FIND("target:",T2)+7</f>
        <v>27</v>
      </c>
      <c r="X2" s="61">
        <f>FIND(",",T2,V2+1)</f>
        <v>33</v>
      </c>
      <c r="Y2" s="61" t="str">
        <f>IFERROR(VLOOKUP(MID(T2,W2,X2-W2),[7]skilldef!$C:$D,2,FALSE),"-") &amp; " / " &amp; IFERROR(VLOOKUP(MID(T2,U2,V2-U2),[7]skilldef!$A:$B,2,FALSE),"-")</f>
        <v>自分自身に / 状態異常耐性</v>
      </c>
      <c r="Z2" s="48"/>
      <c r="AA2" s="50"/>
      <c r="AB2" s="48"/>
      <c r="AC2" s="101" t="s">
        <v>273</v>
      </c>
    </row>
    <row r="3" spans="1:29" ht="21" customHeight="1" x14ac:dyDescent="0.15">
      <c r="A3" s="45">
        <v>13400501</v>
      </c>
      <c r="B3" s="46" t="str">
        <f t="shared" ref="B3:B21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LEN(F3)*0.1)),"0.0")&amp;"]"&amp;IF(LEN(AC3)&gt;0, ","&amp;AC3,AC3)</f>
        <v>[effect:enemy_message, val1:1.2, val2:1.9],[effect:drop_block, block_type:time_bomb, color:block_all, val:0.3, rate:0.3, turn:-1, animation:time_bomb_influence04]</v>
      </c>
      <c r="C3" s="48">
        <v>3</v>
      </c>
      <c r="D3" s="48" t="s">
        <v>252</v>
      </c>
      <c r="E3" s="49" t="s">
        <v>310</v>
      </c>
      <c r="F3" s="49" t="s">
        <v>275</v>
      </c>
      <c r="G3" s="61" t="str">
        <f t="shared" ref="G3:G21" si="1">IFERROR(LEFT(B3,FIND("],",B3)),B3)</f>
        <v>[effect:enemy_message, val1:1.2, val2:1.9]</v>
      </c>
      <c r="H3" s="61">
        <f t="shared" ref="H3:H21" si="2">FIND("effect:",G3)+7</f>
        <v>9</v>
      </c>
      <c r="I3" s="61">
        <f t="shared" ref="I3:I21" si="3">IFERROR(FIND(",",G3),LEN(G3))</f>
        <v>22</v>
      </c>
      <c r="J3" s="61" t="e">
        <f t="shared" ref="J3:J21" si="4">FIND("target:",G3)+7</f>
        <v>#VALUE!</v>
      </c>
      <c r="K3" s="61">
        <f t="shared" ref="K3:K21" si="5">FIND(",",G3,I3+1)</f>
        <v>32</v>
      </c>
      <c r="L3" s="61" t="str">
        <f>IFERROR(VLOOKUP(MID(G3,J3,K3-J3),[7]skilldef!$C:$D,2,FALSE),"-") &amp; " / " &amp; IFERROR(VLOOKUP(MID(G3,H3,I3-H3),[7]skilldef!$A:$B,2,FALSE),"-")</f>
        <v>- / -</v>
      </c>
      <c r="M3" s="61" t="str">
        <f t="shared" ref="M3:M21" si="6">IFERROR(RIGHT(B3,LEN(B3)-FIND("],",B3)-1),"none")</f>
        <v>[effect:drop_block, block_type:time_bomb, color:block_all, val:0.3, rate:0.3, turn:-1, animation:time_bomb_influence04]</v>
      </c>
      <c r="N3" s="46" t="str">
        <f t="shared" ref="N3:N16" si="7">IFERROR(LEFT(M3,FIND("],",M3)+S8),M3)</f>
        <v>[effect:drop_block, block_type:time_bomb, color:block_all, val:0.3, rate:0.3, turn:-1, animation:time_bomb_influence04]</v>
      </c>
      <c r="O3" s="61">
        <f t="shared" ref="O3:O21" si="8">FIND("effect:",N3)+7</f>
        <v>9</v>
      </c>
      <c r="P3" s="61">
        <f t="shared" ref="P3:P21" si="9">IFERROR(FIND(",",N3),LEN(N3))</f>
        <v>19</v>
      </c>
      <c r="Q3" s="61" t="e">
        <f t="shared" ref="Q3:Q21" si="10">FIND("target:",N3)+7</f>
        <v>#VALUE!</v>
      </c>
      <c r="R3" s="61">
        <f t="shared" ref="R3:R21" si="11">FIND(",",N3,P3+1)</f>
        <v>41</v>
      </c>
      <c r="S3" s="61" t="str">
        <f>IFERROR(VLOOKUP(MID(N3,Q3,R3-Q3),[7]skilldef!$C:$D,2,FALSE),"-") &amp; " / " &amp; IFERROR(VLOOKUP(MID(N3,O3,P3-O3),[7]skilldef!$A:$B,2,FALSE),"-")</f>
        <v>- / 特定ブロックの割合ドロップ</v>
      </c>
      <c r="T3" s="46" t="str">
        <f t="shared" ref="T3:T21" si="12">IFERROR(RIGHT(M3,LEN(M3)-FIND("],",M3)-1),"none")</f>
        <v>none</v>
      </c>
      <c r="U3" s="61" t="e">
        <f t="shared" ref="U3:U21" si="13">FIND("effect:",T3)+7</f>
        <v>#VALUE!</v>
      </c>
      <c r="V3" s="61">
        <f t="shared" ref="V3:V21" si="14">IFERROR(FIND(",",T3),LEN(T3))</f>
        <v>4</v>
      </c>
      <c r="W3" s="61" t="e">
        <f t="shared" ref="W3:W21" si="15">FIND("target:",T3)+7</f>
        <v>#VALUE!</v>
      </c>
      <c r="X3" s="61" t="e">
        <f t="shared" ref="X3:X21" si="16">FIND(",",T3,V3+1)</f>
        <v>#VALUE!</v>
      </c>
      <c r="Y3" s="61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  <c r="AC3" s="101" t="s">
        <v>272</v>
      </c>
    </row>
    <row r="4" spans="1:29" ht="21" customHeight="1" x14ac:dyDescent="0.15">
      <c r="A4" s="45">
        <v>13400502</v>
      </c>
      <c r="B4" s="46" t="str">
        <f t="shared" si="0"/>
        <v>[effect:enemy_message, val1:2.1, val2:1.5],[effect:suicide, target:myself, val:1, dead_type:escape]</v>
      </c>
      <c r="C4" s="48">
        <v>3</v>
      </c>
      <c r="D4" s="48" t="s">
        <v>252</v>
      </c>
      <c r="E4" s="49" t="s">
        <v>311</v>
      </c>
      <c r="F4" s="49" t="s">
        <v>286</v>
      </c>
      <c r="G4" s="61" t="str">
        <f t="shared" si="1"/>
        <v>[effect:enemy_message, val1:2.1, val2:1.5]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IFERROR(VLOOKUP(MID(G4,J4,K4-J4),[7]skilldef!$C:$D,2,FALSE),"-") &amp; " / " &amp; IFERROR(VLOOKUP(MID(G4,H4,I4-H4),[7]skilldef!$A:$B,2,FALSE),"-")</f>
        <v>- / -</v>
      </c>
      <c r="M4" s="61" t="str">
        <f t="shared" si="6"/>
        <v>[effect:suicide, target:myself, val:1, dead_type:escape]</v>
      </c>
      <c r="N4" s="46" t="str">
        <f t="shared" si="7"/>
        <v>[effect:suicide, target:myself, val:1, dead_type:escape]</v>
      </c>
      <c r="O4" s="61">
        <f t="shared" si="8"/>
        <v>9</v>
      </c>
      <c r="P4" s="61">
        <f t="shared" si="9"/>
        <v>16</v>
      </c>
      <c r="Q4" s="61">
        <f t="shared" si="10"/>
        <v>25</v>
      </c>
      <c r="R4" s="61">
        <f t="shared" si="11"/>
        <v>31</v>
      </c>
      <c r="S4" s="61" t="str">
        <f>IFERROR(VLOOKUP(MID(N4,Q4,R4-Q4),[7]skilldef!$C:$D,2,FALSE),"-") &amp; " / " &amp; IFERROR(VLOOKUP(MID(N4,O4,P4-O4),[7]skilldef!$A:$B,2,FALSE),"-")</f>
        <v>自分自身に / -</v>
      </c>
      <c r="T4" s="46" t="str">
        <f t="shared" si="12"/>
        <v>none</v>
      </c>
      <c r="U4" s="61" t="e">
        <f t="shared" si="13"/>
        <v>#VALUE!</v>
      </c>
      <c r="V4" s="61">
        <f t="shared" si="14"/>
        <v>4</v>
      </c>
      <c r="W4" s="61" t="e">
        <f t="shared" si="15"/>
        <v>#VALUE!</v>
      </c>
      <c r="X4" s="61" t="e">
        <f t="shared" si="16"/>
        <v>#VALUE!</v>
      </c>
      <c r="Y4" s="61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  <c r="AC4" s="101" t="s">
        <v>259</v>
      </c>
    </row>
    <row r="5" spans="1:29" ht="21" customHeight="1" x14ac:dyDescent="0.15">
      <c r="A5" s="45">
        <v>13400503</v>
      </c>
      <c r="B5" s="46" t="str">
        <f t="shared" si="0"/>
        <v>[effect:enemy_message, val1:1.2, val2:1.2],[effect:fix_speed, target:myself, turn:1],[effect:tolerance, target:myself, turn:-1, count:-1, tolerance_effect:all, animation:enemy_tolerance]</v>
      </c>
      <c r="C5" s="48">
        <v>3</v>
      </c>
      <c r="D5" s="48" t="s">
        <v>252</v>
      </c>
      <c r="E5" s="49" t="s">
        <v>288</v>
      </c>
      <c r="F5" s="49" t="s">
        <v>274</v>
      </c>
      <c r="G5" s="61" t="str">
        <f t="shared" si="1"/>
        <v>[effect:enemy_message, val1:1.2, val2:1.2]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IFERROR(VLOOKUP(MID(G5,J5,K5-J5),[7]skilldef!$C:$D,2,FALSE),"-") &amp; " / " &amp; IFERROR(VLOOKUP(MID(G5,H5,I5-H5),[7]skilldef!$A:$B,2,FALSE),"-")</f>
        <v>- / -</v>
      </c>
      <c r="M5" s="61" t="str">
        <f t="shared" si="6"/>
        <v>[effect:fix_speed, target:myself, turn:1],[effect:tolerance, target:myself, turn:-1, count:-1, tolerance_effect:all, animation:enemy_tolerance]</v>
      </c>
      <c r="N5" s="46" t="str">
        <f t="shared" si="7"/>
        <v>[effect:fix_speed, target:myself, turn:1],[effect:tolerance, target:myself, turn:-1, count:-1, tolerance_effect:all, animation:enemy_tolerance]</v>
      </c>
      <c r="O5" s="61">
        <f t="shared" si="8"/>
        <v>9</v>
      </c>
      <c r="P5" s="61">
        <f t="shared" si="9"/>
        <v>18</v>
      </c>
      <c r="Q5" s="61">
        <f t="shared" si="10"/>
        <v>27</v>
      </c>
      <c r="R5" s="61">
        <f t="shared" si="11"/>
        <v>33</v>
      </c>
      <c r="S5" s="61" t="str">
        <f>IFERROR(VLOOKUP(MID(N5,Q5,R5-Q5),[7]skilldef!$C:$D,2,FALSE),"-") &amp; " / " &amp; IFERROR(VLOOKUP(MID(N5,O5,P5-O5),[7]skilldef!$A:$B,2,FALSE),"-")</f>
        <v>自分自身に / 行動値設定</v>
      </c>
      <c r="T5" s="46" t="str">
        <f t="shared" si="12"/>
        <v>[effect:tolerance, target:myself, turn:-1, count:-1, tolerance_effect:all, animation:enemy_tolerance]</v>
      </c>
      <c r="U5" s="61">
        <f t="shared" si="13"/>
        <v>9</v>
      </c>
      <c r="V5" s="61">
        <f t="shared" si="14"/>
        <v>18</v>
      </c>
      <c r="W5" s="61">
        <f t="shared" si="15"/>
        <v>27</v>
      </c>
      <c r="X5" s="61">
        <f t="shared" si="16"/>
        <v>33</v>
      </c>
      <c r="Y5" s="61" t="str">
        <f>IFERROR(VLOOKUP(MID(T5,W5,X5-W5),[7]skilldef!$C:$D,2,FALSE),"-") &amp; " / " &amp; IFERROR(VLOOKUP(MID(T5,U5,V5-U5),[7]skilldef!$A:$B,2,FALSE),"-")</f>
        <v>自分自身に / 状態異常耐性</v>
      </c>
      <c r="Z5" s="48"/>
      <c r="AA5" s="50"/>
      <c r="AB5" s="48"/>
      <c r="AC5" s="101" t="s">
        <v>266</v>
      </c>
    </row>
    <row r="6" spans="1:29" ht="21" customHeight="1" x14ac:dyDescent="0.15">
      <c r="A6" s="45">
        <v>13400504</v>
      </c>
      <c r="B6" s="46" t="str">
        <f t="shared" si="0"/>
        <v>[effect:enemy_message, val1:1.2, val2:1.9],[effect:force_change_block, new_block:damage, target:block_all, ignore01:crash, ignore02:crack_bomb, ignore03:time_bomb, ignore04:jammer, ignore05:color_break, ignore06:magnet, count:5, val:0.1, animation:change_block]</v>
      </c>
      <c r="C6" s="48">
        <v>3</v>
      </c>
      <c r="D6" s="48" t="s">
        <v>252</v>
      </c>
      <c r="E6" s="49" t="s">
        <v>289</v>
      </c>
      <c r="F6" s="49" t="s">
        <v>314</v>
      </c>
      <c r="G6" s="61" t="str">
        <f t="shared" si="1"/>
        <v>[effect:enemy_message, val1:1.2, val2:1.9]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IFERROR(VLOOKUP(MID(G6,J6,K6-J6),[7]skilldef!$C:$D,2,FALSE),"-") &amp; " / " &amp; IFERROR(VLOOKUP(MID(G6,H6,I6-H6),[7]skilldef!$A:$B,2,FALSE),"-")</f>
        <v>- / -</v>
      </c>
      <c r="M6" s="61" t="str">
        <f t="shared" si="6"/>
        <v>[effect:force_change_block, new_block:damage, target:block_all, ignore01:crash, ignore02:crack_bomb, ignore03:time_bomb, ignore04:jammer, ignore05:color_break, ignore06:magnet, count:5, val:0.1, animation:change_block]</v>
      </c>
      <c r="N6" s="46" t="str">
        <f t="shared" si="7"/>
        <v>[effect:force_change_block, new_block:damage, target:block_all, ignore01:crash, ignore02:crack_bomb, ignore03:time_bomb, ignore04:jammer, ignore05:color_break, ignore06:magnet, count:5, val:0.1, animation:change_block]</v>
      </c>
      <c r="O6" s="61">
        <f t="shared" si="8"/>
        <v>9</v>
      </c>
      <c r="P6" s="61">
        <f t="shared" si="9"/>
        <v>27</v>
      </c>
      <c r="Q6" s="61">
        <f t="shared" si="10"/>
        <v>54</v>
      </c>
      <c r="R6" s="61">
        <f t="shared" si="11"/>
        <v>45</v>
      </c>
      <c r="S6" s="61" t="str">
        <f>IFERROR(VLOOKUP(MID(N6,Q6,R6-Q6),[7]skilldef!$C:$D,2,FALSE),"-") &amp; " / " &amp; IFERROR(VLOOKUP(MID(N6,O6,P6-O6),[7]skilldef!$A:$B,2,FALSE),"-")</f>
        <v>- / -</v>
      </c>
      <c r="T6" s="46" t="str">
        <f t="shared" si="12"/>
        <v>none</v>
      </c>
      <c r="U6" s="61" t="e">
        <f t="shared" si="13"/>
        <v>#VALUE!</v>
      </c>
      <c r="V6" s="61">
        <f t="shared" si="14"/>
        <v>4</v>
      </c>
      <c r="W6" s="61" t="e">
        <f t="shared" si="15"/>
        <v>#VALUE!</v>
      </c>
      <c r="X6" s="61" t="e">
        <f t="shared" si="16"/>
        <v>#VALUE!</v>
      </c>
      <c r="Y6" s="61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/>
      <c r="AC6" s="101" t="s">
        <v>264</v>
      </c>
    </row>
    <row r="7" spans="1:29" ht="21" customHeight="1" x14ac:dyDescent="0.15">
      <c r="A7" s="45">
        <v>13400505</v>
      </c>
      <c r="B7" s="46" t="str">
        <f t="shared" si="0"/>
        <v>[effect:enemy_message, val1:1.2, val2:1.8],[effect:enemy_counter, target:myself, invoke_condition:unit_all, counter_target:attacker, turn:3, val:1, animation:enemy_counter]</v>
      </c>
      <c r="C7" s="48">
        <v>3</v>
      </c>
      <c r="D7" s="48" t="s">
        <v>252</v>
      </c>
      <c r="E7" s="49" t="s">
        <v>301</v>
      </c>
      <c r="F7" s="49" t="s">
        <v>276</v>
      </c>
      <c r="G7" s="61" t="str">
        <f t="shared" si="1"/>
        <v>[effect:enemy_message, val1:1.2, val2:1.8]</v>
      </c>
      <c r="H7" s="61">
        <f t="shared" si="2"/>
        <v>9</v>
      </c>
      <c r="I7" s="61">
        <f t="shared" si="3"/>
        <v>22</v>
      </c>
      <c r="J7" s="61" t="e">
        <f t="shared" si="4"/>
        <v>#VALUE!</v>
      </c>
      <c r="K7" s="61">
        <f t="shared" si="5"/>
        <v>32</v>
      </c>
      <c r="L7" s="61" t="str">
        <f>IFERROR(VLOOKUP(MID(G7,J7,K7-J7),[7]skilldef!$C:$D,2,FALSE),"-") &amp; " / " &amp; IFERROR(VLOOKUP(MID(G7,H7,I7-H7),[7]skilldef!$A:$B,2,FALSE),"-")</f>
        <v>- / -</v>
      </c>
      <c r="M7" s="61" t="str">
        <f t="shared" si="6"/>
        <v>[effect:enemy_counter, target:myself, invoke_condition:unit_all, counter_target:attacker, turn:3, val:1, animation:enemy_counter]</v>
      </c>
      <c r="N7" s="46" t="str">
        <f t="shared" si="7"/>
        <v>[effect:enemy_counter, target:myself, invoke_condition:unit_all, counter_target:attacker, turn:3, val:1, animation:enemy_counter]</v>
      </c>
      <c r="O7" s="61">
        <f t="shared" si="8"/>
        <v>9</v>
      </c>
      <c r="P7" s="61">
        <f t="shared" si="9"/>
        <v>22</v>
      </c>
      <c r="Q7" s="61">
        <f t="shared" si="10"/>
        <v>31</v>
      </c>
      <c r="R7" s="61">
        <f t="shared" si="11"/>
        <v>37</v>
      </c>
      <c r="S7" s="61" t="str">
        <f>IFERROR(VLOOKUP(MID(N7,Q7,R7-Q7),[7]skilldef!$C:$D,2,FALSE),"-") &amp; " / " &amp; IFERROR(VLOOKUP(MID(N7,O7,P7-O7),[7]skilldef!$A:$B,2,FALSE),"-")</f>
        <v>自分自身に / カウンター</v>
      </c>
      <c r="T7" s="46" t="str">
        <f t="shared" si="12"/>
        <v>none</v>
      </c>
      <c r="U7" s="61" t="e">
        <f t="shared" si="13"/>
        <v>#VALUE!</v>
      </c>
      <c r="V7" s="61">
        <f t="shared" si="14"/>
        <v>4</v>
      </c>
      <c r="W7" s="61" t="e">
        <f t="shared" si="15"/>
        <v>#VALUE!</v>
      </c>
      <c r="X7" s="61" t="e">
        <f t="shared" si="16"/>
        <v>#VALUE!</v>
      </c>
      <c r="Y7" s="61" t="str">
        <f>IFERROR(VLOOKUP(MID(T7,W7,X7-W7),[7]skilldef!$C:$D,2,FALSE),"-") &amp; " / " &amp; IFERROR(VLOOKUP(MID(T7,U7,V7-U7),[7]skilldef!$A:$B,2,FALSE),"-")</f>
        <v>- / -</v>
      </c>
      <c r="Z7" s="48"/>
      <c r="AA7" s="50"/>
      <c r="AB7" s="48"/>
      <c r="AC7" s="101" t="s">
        <v>271</v>
      </c>
    </row>
    <row r="8" spans="1:29" ht="21" customHeight="1" x14ac:dyDescent="0.15">
      <c r="A8" s="45">
        <v>13400506</v>
      </c>
      <c r="B8" s="46" t="str">
        <f t="shared" si="0"/>
        <v>[effect:enemy_message, val1:1.2, val2:1.2],[effect:enhance_enemy, target:myself, turn:3, status:defense, val:5000, calc:add, animation:enemy_enhance_defense]</v>
      </c>
      <c r="C8" s="48">
        <v>3</v>
      </c>
      <c r="D8" s="48" t="s">
        <v>252</v>
      </c>
      <c r="E8" s="49" t="s">
        <v>295</v>
      </c>
      <c r="F8" s="49" t="s">
        <v>277</v>
      </c>
      <c r="G8" s="61" t="str">
        <f t="shared" si="1"/>
        <v>[effect:enemy_message, val1:1.2, val2:1.2]</v>
      </c>
      <c r="H8" s="61">
        <f t="shared" si="2"/>
        <v>9</v>
      </c>
      <c r="I8" s="61">
        <f t="shared" si="3"/>
        <v>22</v>
      </c>
      <c r="J8" s="61" t="e">
        <f t="shared" si="4"/>
        <v>#VALUE!</v>
      </c>
      <c r="K8" s="61">
        <f t="shared" si="5"/>
        <v>32</v>
      </c>
      <c r="L8" s="61" t="str">
        <f>IFERROR(VLOOKUP(MID(G8,J8,K8-J8),[7]skilldef!$C:$D,2,FALSE),"-") &amp; " / " &amp; IFERROR(VLOOKUP(MID(G8,H8,I8-H8),[7]skilldef!$A:$B,2,FALSE),"-")</f>
        <v>- / -</v>
      </c>
      <c r="M8" s="61" t="str">
        <f t="shared" si="6"/>
        <v>[effect:enhance_enemy, target:myself, turn:3, status:defense, val:5000, calc:add, animation:enemy_enhance_defense]</v>
      </c>
      <c r="N8" s="46" t="str">
        <f t="shared" si="7"/>
        <v>[effect:enhance_enemy, target:myself, turn:3, status:defense, val:5000, calc:add, animation:enemy_enhance_defense]</v>
      </c>
      <c r="O8" s="61">
        <f t="shared" si="8"/>
        <v>9</v>
      </c>
      <c r="P8" s="61">
        <f t="shared" si="9"/>
        <v>22</v>
      </c>
      <c r="Q8" s="61">
        <f t="shared" si="10"/>
        <v>31</v>
      </c>
      <c r="R8" s="61">
        <f t="shared" si="11"/>
        <v>37</v>
      </c>
      <c r="S8" s="61" t="str">
        <f>IFERROR(VLOOKUP(MID(N8,Q8,R8-Q8),[7]skilldef!$C:$D,2,FALSE),"-") &amp; " / " &amp; IFERROR(VLOOKUP(MID(N8,O8,P8-O8),[7]skilldef!$A:$B,2,FALSE),"-")</f>
        <v>自分自身に / ステータス強化</v>
      </c>
      <c r="T8" s="46" t="str">
        <f t="shared" si="12"/>
        <v>none</v>
      </c>
      <c r="U8" s="61" t="e">
        <f t="shared" si="13"/>
        <v>#VALUE!</v>
      </c>
      <c r="V8" s="61">
        <f t="shared" si="14"/>
        <v>4</v>
      </c>
      <c r="W8" s="61" t="e">
        <f t="shared" si="15"/>
        <v>#VALUE!</v>
      </c>
      <c r="X8" s="61" t="e">
        <f t="shared" si="16"/>
        <v>#VALUE!</v>
      </c>
      <c r="Y8" s="61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/>
      <c r="AC8" s="101" t="s">
        <v>258</v>
      </c>
    </row>
    <row r="9" spans="1:29" ht="21" customHeight="1" x14ac:dyDescent="0.15">
      <c r="A9" s="45">
        <v>13400507</v>
      </c>
      <c r="B9" s="46" t="str">
        <f t="shared" si="0"/>
        <v>[effect:enemy_message, val1:1.2, val2:1.2],[effect:heal, target:myself, val:0.1, animation:enemy_heal]</v>
      </c>
      <c r="C9" s="48">
        <v>3</v>
      </c>
      <c r="D9" s="48" t="s">
        <v>252</v>
      </c>
      <c r="E9" s="49" t="s">
        <v>290</v>
      </c>
      <c r="F9" s="49" t="s">
        <v>278</v>
      </c>
      <c r="G9" s="61" t="str">
        <f t="shared" si="1"/>
        <v>[effect:enemy_message, val1:1.2, val2:1.2]</v>
      </c>
      <c r="H9" s="61">
        <f t="shared" si="2"/>
        <v>9</v>
      </c>
      <c r="I9" s="61">
        <f t="shared" si="3"/>
        <v>22</v>
      </c>
      <c r="J9" s="61" t="e">
        <f t="shared" si="4"/>
        <v>#VALUE!</v>
      </c>
      <c r="K9" s="61">
        <f t="shared" si="5"/>
        <v>32</v>
      </c>
      <c r="L9" s="61" t="str">
        <f>IFERROR(VLOOKUP(MID(G9,J9,K9-J9),[7]skilldef!$C:$D,2,FALSE),"-") &amp; " / " &amp; IFERROR(VLOOKUP(MID(G9,H9,I9-H9),[7]skilldef!$A:$B,2,FALSE),"-")</f>
        <v>- / -</v>
      </c>
      <c r="M9" s="61" t="str">
        <f t="shared" si="6"/>
        <v>[effect:heal, target:myself, val:0.1, animation:enemy_heal]</v>
      </c>
      <c r="N9" s="46" t="str">
        <f t="shared" si="7"/>
        <v>[effect:heal, target:myself, val:0.1, animation:enemy_heal]</v>
      </c>
      <c r="O9" s="61">
        <f t="shared" si="8"/>
        <v>9</v>
      </c>
      <c r="P9" s="61">
        <f t="shared" si="9"/>
        <v>13</v>
      </c>
      <c r="Q9" s="61">
        <f t="shared" si="10"/>
        <v>22</v>
      </c>
      <c r="R9" s="61">
        <f t="shared" si="11"/>
        <v>28</v>
      </c>
      <c r="S9" s="61" t="str">
        <f>IFERROR(VLOOKUP(MID(N9,Q9,R9-Q9),[7]skilldef!$C:$D,2,FALSE),"-") &amp; " / " &amp; IFERROR(VLOOKUP(MID(N9,O9,P9-O9),[7]skilldef!$A:$B,2,FALSE),"-")</f>
        <v>自分自身に / 回復</v>
      </c>
      <c r="T9" s="46" t="str">
        <f t="shared" si="12"/>
        <v>none</v>
      </c>
      <c r="U9" s="61" t="e">
        <f t="shared" si="13"/>
        <v>#VALUE!</v>
      </c>
      <c r="V9" s="61">
        <f t="shared" si="14"/>
        <v>4</v>
      </c>
      <c r="W9" s="61" t="e">
        <f t="shared" si="15"/>
        <v>#VALUE!</v>
      </c>
      <c r="X9" s="61" t="e">
        <f t="shared" si="16"/>
        <v>#VALUE!</v>
      </c>
      <c r="Y9" s="61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/>
      <c r="AC9" s="101" t="s">
        <v>270</v>
      </c>
    </row>
    <row r="10" spans="1:29" ht="21" customHeight="1" x14ac:dyDescent="0.15">
      <c r="A10" s="45">
        <v>13400508</v>
      </c>
      <c r="B10" s="46" t="str">
        <f t="shared" si="0"/>
        <v>[effect:enemy_message, val1:1.2, val2:1.2],[effect:nothing]</v>
      </c>
      <c r="C10" s="48">
        <v>1</v>
      </c>
      <c r="D10" s="48" t="s">
        <v>252</v>
      </c>
      <c r="E10" s="49" t="s">
        <v>256</v>
      </c>
      <c r="F10" s="49" t="s">
        <v>257</v>
      </c>
      <c r="G10" s="61" t="str">
        <f t="shared" si="1"/>
        <v>[effect:enemy_message, val1:1.2, val2:1.2]</v>
      </c>
      <c r="H10" s="61">
        <f t="shared" si="2"/>
        <v>9</v>
      </c>
      <c r="I10" s="61">
        <f t="shared" si="3"/>
        <v>22</v>
      </c>
      <c r="J10" s="61" t="e">
        <f t="shared" si="4"/>
        <v>#VALUE!</v>
      </c>
      <c r="K10" s="61">
        <f t="shared" si="5"/>
        <v>32</v>
      </c>
      <c r="L10" s="61" t="str">
        <f>IFERROR(VLOOKUP(MID(G10,J10,K10-J10),[7]skilldef!$C:$D,2,FALSE),"-") &amp; " / " &amp; IFERROR(VLOOKUP(MID(G10,H10,I10-H10),[7]skilldef!$A:$B,2,FALSE),"-")</f>
        <v>- / -</v>
      </c>
      <c r="M10" s="61" t="str">
        <f t="shared" si="6"/>
        <v>[effect:nothing]</v>
      </c>
      <c r="N10" s="46" t="str">
        <f t="shared" si="7"/>
        <v>[effect:nothing]</v>
      </c>
      <c r="O10" s="61">
        <f t="shared" si="8"/>
        <v>9</v>
      </c>
      <c r="P10" s="61">
        <f t="shared" si="9"/>
        <v>16</v>
      </c>
      <c r="Q10" s="61" t="e">
        <f t="shared" si="10"/>
        <v>#VALUE!</v>
      </c>
      <c r="R10" s="61" t="e">
        <f t="shared" si="11"/>
        <v>#VALUE!</v>
      </c>
      <c r="S10" s="61" t="str">
        <f>IFERROR(VLOOKUP(MID(N10,Q10,R10-Q10),[7]skilldef!$C:$D,2,FALSE),"-") &amp; " / " &amp; IFERROR(VLOOKUP(MID(N10,O10,P10-O10),[7]skilldef!$A:$B,2,FALSE),"-")</f>
        <v>- / 何もしない</v>
      </c>
      <c r="T10" s="46" t="str">
        <f t="shared" si="12"/>
        <v>none</v>
      </c>
      <c r="U10" s="61" t="e">
        <f t="shared" si="13"/>
        <v>#VALUE!</v>
      </c>
      <c r="V10" s="61">
        <f t="shared" si="14"/>
        <v>4</v>
      </c>
      <c r="W10" s="61" t="e">
        <f t="shared" si="15"/>
        <v>#VALUE!</v>
      </c>
      <c r="X10" s="61" t="e">
        <f t="shared" si="16"/>
        <v>#VALUE!</v>
      </c>
      <c r="Y10" s="61" t="str">
        <f>IFERROR(VLOOKUP(MID(T10,W10,X10-W10),[7]skilldef!$C:$D,2,FALSE),"-") &amp; " / " &amp; IFERROR(VLOOKUP(MID(T10,U10,V10-U10),[7]skilldef!$A:$B,2,FALSE),"-")</f>
        <v>- / -</v>
      </c>
      <c r="Z10" s="48"/>
      <c r="AA10" s="50"/>
      <c r="AB10" s="48"/>
      <c r="AC10" s="101" t="s">
        <v>263</v>
      </c>
    </row>
    <row r="11" spans="1:29" ht="21" customHeight="1" x14ac:dyDescent="0.15">
      <c r="A11" s="45">
        <v>13400509</v>
      </c>
      <c r="B11" s="46" t="str">
        <f t="shared" si="0"/>
        <v>[effect:enemy_message, val1:1.2, val2:1.2],[effect:nothing]</v>
      </c>
      <c r="C11" s="48">
        <v>1</v>
      </c>
      <c r="D11" s="48" t="s">
        <v>252</v>
      </c>
      <c r="E11" s="49" t="s">
        <v>256</v>
      </c>
      <c r="F11" s="49" t="s">
        <v>257</v>
      </c>
      <c r="G11" s="61" t="str">
        <f t="shared" si="1"/>
        <v>[effect:enemy_message, val1:1.2, val2:1.2]</v>
      </c>
      <c r="H11" s="61">
        <f t="shared" si="2"/>
        <v>9</v>
      </c>
      <c r="I11" s="61">
        <f t="shared" si="3"/>
        <v>22</v>
      </c>
      <c r="J11" s="61" t="e">
        <f t="shared" si="4"/>
        <v>#VALUE!</v>
      </c>
      <c r="K11" s="61">
        <f t="shared" si="5"/>
        <v>32</v>
      </c>
      <c r="L11" s="61" t="str">
        <f>IFERROR(VLOOKUP(MID(G11,J11,K11-J11),[7]skilldef!$C:$D,2,FALSE),"-") &amp; " / " &amp; IFERROR(VLOOKUP(MID(G11,H11,I11-H11),[7]skilldef!$A:$B,2,FALSE),"-")</f>
        <v>- / -</v>
      </c>
      <c r="M11" s="61" t="str">
        <f t="shared" si="6"/>
        <v>[effect:nothing]</v>
      </c>
      <c r="N11" s="46" t="str">
        <f t="shared" si="7"/>
        <v>[effect:nothing]</v>
      </c>
      <c r="O11" s="61">
        <f t="shared" si="8"/>
        <v>9</v>
      </c>
      <c r="P11" s="61">
        <f t="shared" si="9"/>
        <v>16</v>
      </c>
      <c r="Q11" s="61" t="e">
        <f t="shared" si="10"/>
        <v>#VALUE!</v>
      </c>
      <c r="R11" s="61" t="e">
        <f t="shared" si="11"/>
        <v>#VALUE!</v>
      </c>
      <c r="S11" s="61" t="str">
        <f>IFERROR(VLOOKUP(MID(N11,Q11,R11-Q11),[7]skilldef!$C:$D,2,FALSE),"-") &amp; " / " &amp; IFERROR(VLOOKUP(MID(N11,O11,P11-O11),[7]skilldef!$A:$B,2,FALSE),"-")</f>
        <v>- / 何もしない</v>
      </c>
      <c r="T11" s="46" t="str">
        <f t="shared" si="12"/>
        <v>none</v>
      </c>
      <c r="U11" s="61" t="e">
        <f t="shared" si="13"/>
        <v>#VALUE!</v>
      </c>
      <c r="V11" s="61">
        <f t="shared" si="14"/>
        <v>4</v>
      </c>
      <c r="W11" s="61" t="e">
        <f t="shared" si="15"/>
        <v>#VALUE!</v>
      </c>
      <c r="X11" s="61" t="e">
        <f t="shared" si="16"/>
        <v>#VALUE!</v>
      </c>
      <c r="Y11" s="61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/>
      <c r="AC11" s="101" t="s">
        <v>263</v>
      </c>
    </row>
    <row r="12" spans="1:29" ht="21" customHeight="1" x14ac:dyDescent="0.15">
      <c r="A12" s="45">
        <v>13400510</v>
      </c>
      <c r="B12" s="46" t="str">
        <f t="shared" si="0"/>
        <v>[effect:enemy_message, val1:1.2, val2:1.2],[effect:fix_speed, target:myself, turn:1],[effect:tolerance, target:myself, turn:-1, count:-1, tolerance_effect:all, animation:enemy_tolerance],[effect:enhance_enemy, target:myself, turn:-1, status:defense, val:999999, calc:add, animation:enemy_enhance_defense]</v>
      </c>
      <c r="C12" s="48">
        <v>3</v>
      </c>
      <c r="D12" s="48" t="s">
        <v>252</v>
      </c>
      <c r="E12" s="49" t="s">
        <v>294</v>
      </c>
      <c r="F12" s="49" t="s">
        <v>287</v>
      </c>
      <c r="G12" s="61" t="str">
        <f t="shared" si="1"/>
        <v>[effect:enemy_message, val1:1.2, val2:1.2]</v>
      </c>
      <c r="H12" s="61">
        <f t="shared" si="2"/>
        <v>9</v>
      </c>
      <c r="I12" s="61">
        <f t="shared" si="3"/>
        <v>22</v>
      </c>
      <c r="J12" s="61" t="e">
        <f t="shared" si="4"/>
        <v>#VALUE!</v>
      </c>
      <c r="K12" s="61">
        <f t="shared" si="5"/>
        <v>32</v>
      </c>
      <c r="L12" s="61" t="str">
        <f>IFERROR(VLOOKUP(MID(G12,J12,K12-J12),[7]skilldef!$C:$D,2,FALSE),"-") &amp; " / " &amp; IFERROR(VLOOKUP(MID(G12,H12,I12-H12),[7]skilldef!$A:$B,2,FALSE),"-")</f>
        <v>- / -</v>
      </c>
      <c r="M12" s="61" t="str">
        <f t="shared" si="6"/>
        <v>[effect:fix_speed, target:myself, turn:1],[effect:tolerance, target:myself, turn:-1, count:-1, tolerance_effect:all, animation:enemy_tolerance],[effect:enhance_enemy, target:myself, turn:-1, status:defense, val:999999, calc:add, animation:enemy_enhance_defense]</v>
      </c>
      <c r="N12" s="46" t="str">
        <f t="shared" si="7"/>
        <v>[effect:fix_speed, target:myself, turn:1],[effect:tolerance, target:myself, turn:-1, count:-1, tolerance_effect:all, animation:enemy_tolerance],[effect:enhance_enemy, target:myself, turn:-1, status:defense, val:999999, calc:add, animation:enemy_enhance_defense]</v>
      </c>
      <c r="O12" s="61">
        <f t="shared" si="8"/>
        <v>9</v>
      </c>
      <c r="P12" s="61">
        <f t="shared" si="9"/>
        <v>18</v>
      </c>
      <c r="Q12" s="61">
        <f t="shared" si="10"/>
        <v>27</v>
      </c>
      <c r="R12" s="61">
        <f t="shared" si="11"/>
        <v>33</v>
      </c>
      <c r="S12" s="61" t="str">
        <f>IFERROR(VLOOKUP(MID(N12,Q12,R12-Q12),[7]skilldef!$C:$D,2,FALSE),"-") &amp; " / " &amp; IFERROR(VLOOKUP(MID(N12,O12,P12-O12),[7]skilldef!$A:$B,2,FALSE),"-")</f>
        <v>自分自身に / 行動値設定</v>
      </c>
      <c r="T12" s="46" t="str">
        <f t="shared" si="12"/>
        <v>[effect:tolerance, target:myself, turn:-1, count:-1, tolerance_effect:all, animation:enemy_tolerance],[effect:enhance_enemy, target:myself, turn:-1, status:defense, val:999999, calc:add, animation:enemy_enhance_defense]</v>
      </c>
      <c r="U12" s="61">
        <f t="shared" si="13"/>
        <v>9</v>
      </c>
      <c r="V12" s="61">
        <f t="shared" si="14"/>
        <v>18</v>
      </c>
      <c r="W12" s="61">
        <f t="shared" si="15"/>
        <v>27</v>
      </c>
      <c r="X12" s="61">
        <f t="shared" si="16"/>
        <v>33</v>
      </c>
      <c r="Y12" s="61" t="str">
        <f>IFERROR(VLOOKUP(MID(T12,W12,X12-W12),[7]skilldef!$C:$D,2,FALSE),"-") &amp; " / " &amp; IFERROR(VLOOKUP(MID(T12,U12,V12-U12),[7]skilldef!$A:$B,2,FALSE),"-")</f>
        <v>自分自身に / 状態異常耐性</v>
      </c>
      <c r="Z12" s="48"/>
      <c r="AA12" s="50"/>
      <c r="AB12" s="48"/>
      <c r="AC12" s="101" t="s">
        <v>267</v>
      </c>
    </row>
    <row r="13" spans="1:29" ht="21" customHeight="1" x14ac:dyDescent="0.15">
      <c r="A13" s="45">
        <v>13400511</v>
      </c>
      <c r="B13" s="46" t="str">
        <f t="shared" si="0"/>
        <v>[effect:enemy_message, val1:1.2, val2:1.2],[effect:enhance_enemy, target:myself, turn:-1, status:defense, val:999999, calc:add, animation:enemy_enhance_defense]</v>
      </c>
      <c r="C13" s="48">
        <v>3</v>
      </c>
      <c r="D13" s="48" t="s">
        <v>252</v>
      </c>
      <c r="E13" s="49" t="s">
        <v>291</v>
      </c>
      <c r="F13" s="49" t="s">
        <v>279</v>
      </c>
      <c r="G13" s="61" t="str">
        <f t="shared" si="1"/>
        <v>[effect:enemy_message, val1:1.2, val2:1.2]</v>
      </c>
      <c r="H13" s="61">
        <f t="shared" si="2"/>
        <v>9</v>
      </c>
      <c r="I13" s="61">
        <f t="shared" si="3"/>
        <v>22</v>
      </c>
      <c r="J13" s="61" t="e">
        <f t="shared" si="4"/>
        <v>#VALUE!</v>
      </c>
      <c r="K13" s="61">
        <f t="shared" si="5"/>
        <v>32</v>
      </c>
      <c r="L13" s="61" t="str">
        <f>IFERROR(VLOOKUP(MID(G13,J13,K13-J13),[7]skilldef!$C:$D,2,FALSE),"-") &amp; " / " &amp; IFERROR(VLOOKUP(MID(G13,H13,I13-H13),[7]skilldef!$A:$B,2,FALSE),"-")</f>
        <v>- / -</v>
      </c>
      <c r="M13" s="61" t="str">
        <f t="shared" si="6"/>
        <v>[effect:enhance_enemy, target:myself, turn:-1, status:defense, val:999999, calc:add, animation:enemy_enhance_defense]</v>
      </c>
      <c r="N13" s="46" t="str">
        <f t="shared" si="7"/>
        <v>[effect:enhance_enemy, target:myself, turn:-1, status:defense, val:999999, calc:add, animation:enemy_enhance_defense]</v>
      </c>
      <c r="O13" s="61">
        <f t="shared" si="8"/>
        <v>9</v>
      </c>
      <c r="P13" s="61">
        <f t="shared" si="9"/>
        <v>22</v>
      </c>
      <c r="Q13" s="61">
        <f t="shared" si="10"/>
        <v>31</v>
      </c>
      <c r="R13" s="61">
        <f t="shared" si="11"/>
        <v>37</v>
      </c>
      <c r="S13" s="61" t="str">
        <f>IFERROR(VLOOKUP(MID(N13,Q13,R13-Q13),[7]skilldef!$C:$D,2,FALSE),"-") &amp; " / " &amp; IFERROR(VLOOKUP(MID(N13,O13,P13-O13),[7]skilldef!$A:$B,2,FALSE),"-")</f>
        <v>自分自身に / ステータス強化</v>
      </c>
      <c r="T13" s="46" t="str">
        <f t="shared" si="12"/>
        <v>none</v>
      </c>
      <c r="U13" s="61" t="e">
        <f t="shared" si="13"/>
        <v>#VALUE!</v>
      </c>
      <c r="V13" s="61">
        <f t="shared" si="14"/>
        <v>4</v>
      </c>
      <c r="W13" s="61" t="e">
        <f t="shared" si="15"/>
        <v>#VALUE!</v>
      </c>
      <c r="X13" s="61" t="e">
        <f t="shared" si="16"/>
        <v>#VALUE!</v>
      </c>
      <c r="Y13" s="61" t="str">
        <f>IFERROR(VLOOKUP(MID(T13,W13,X13-W13),[7]skilldef!$C:$D,2,FALSE),"-") &amp; " / " &amp; IFERROR(VLOOKUP(MID(T13,U13,V13-U13),[7]skilldef!$A:$B,2,FALSE),"-")</f>
        <v>- / -</v>
      </c>
      <c r="Z13" s="48"/>
      <c r="AA13" s="50"/>
      <c r="AB13" s="48"/>
      <c r="AC13" s="101" t="s">
        <v>268</v>
      </c>
    </row>
    <row r="14" spans="1:29" ht="21" customHeight="1" x14ac:dyDescent="0.15">
      <c r="A14" s="45">
        <v>13400512</v>
      </c>
      <c r="B14" s="46" t="str">
        <f t="shared" si="0"/>
        <v>[effect:enemy_message, val1:1.2, val2:1.2],[effect:guard_break, target:myself, turn:-1, val:999999, calc:add, animation:guard_break01]</v>
      </c>
      <c r="C14" s="48">
        <v>3</v>
      </c>
      <c r="D14" s="48" t="s">
        <v>252</v>
      </c>
      <c r="E14" s="49" t="s">
        <v>292</v>
      </c>
      <c r="F14" s="49" t="s">
        <v>280</v>
      </c>
      <c r="G14" s="61" t="str">
        <f t="shared" si="1"/>
        <v>[effect:enemy_message, val1:1.2, val2:1.2]</v>
      </c>
      <c r="H14" s="61">
        <f t="shared" si="2"/>
        <v>9</v>
      </c>
      <c r="I14" s="61">
        <f t="shared" si="3"/>
        <v>22</v>
      </c>
      <c r="J14" s="61" t="e">
        <f t="shared" si="4"/>
        <v>#VALUE!</v>
      </c>
      <c r="K14" s="61">
        <f t="shared" si="5"/>
        <v>32</v>
      </c>
      <c r="L14" s="61" t="str">
        <f>IFERROR(VLOOKUP(MID(G14,J14,K14-J14),[7]skilldef!$C:$D,2,FALSE),"-") &amp; " / " &amp; IFERROR(VLOOKUP(MID(G14,H14,I14-H14),[7]skilldef!$A:$B,2,FALSE),"-")</f>
        <v>- / -</v>
      </c>
      <c r="M14" s="61" t="str">
        <f t="shared" si="6"/>
        <v>[effect:guard_break, target:myself, turn:-1, val:999999, calc:add, animation:guard_break01]</v>
      </c>
      <c r="N14" s="46" t="str">
        <f t="shared" si="7"/>
        <v>[effect:guard_break, target:myself, turn:-1, val:999999, calc:add, animation:guard_break01]</v>
      </c>
      <c r="O14" s="61">
        <f t="shared" si="8"/>
        <v>9</v>
      </c>
      <c r="P14" s="61">
        <f t="shared" si="9"/>
        <v>20</v>
      </c>
      <c r="Q14" s="61">
        <f t="shared" si="10"/>
        <v>29</v>
      </c>
      <c r="R14" s="61">
        <f t="shared" si="11"/>
        <v>35</v>
      </c>
      <c r="S14" s="61" t="str">
        <f>IFERROR(VLOOKUP(MID(N14,Q14,R14-Q14),[7]skilldef!$C:$D,2,FALSE),"-") &amp; " / " &amp; IFERROR(VLOOKUP(MID(N14,O14,P14-O14),[7]skilldef!$A:$B,2,FALSE),"-")</f>
        <v>自分自身に / -</v>
      </c>
      <c r="T14" s="46" t="str">
        <f t="shared" si="12"/>
        <v>none</v>
      </c>
      <c r="U14" s="61" t="e">
        <f t="shared" si="13"/>
        <v>#VALUE!</v>
      </c>
      <c r="V14" s="61">
        <f t="shared" si="14"/>
        <v>4</v>
      </c>
      <c r="W14" s="61" t="e">
        <f t="shared" si="15"/>
        <v>#VALUE!</v>
      </c>
      <c r="X14" s="61" t="e">
        <f t="shared" si="16"/>
        <v>#VALUE!</v>
      </c>
      <c r="Y14" s="61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/>
      <c r="AC14" s="101" t="s">
        <v>269</v>
      </c>
    </row>
    <row r="15" spans="1:29" ht="21" customHeight="1" x14ac:dyDescent="0.15">
      <c r="A15" s="45">
        <v>13400513</v>
      </c>
      <c r="B15" s="46" t="str">
        <f t="shared" si="0"/>
        <v>[effect:enemy_message, val1:1.2, val2:1.2],[effect:suicide, target:myself, val:0.2]</v>
      </c>
      <c r="C15" s="48">
        <v>3</v>
      </c>
      <c r="D15" s="48" t="s">
        <v>252</v>
      </c>
      <c r="E15" s="49" t="s">
        <v>293</v>
      </c>
      <c r="F15" s="49" t="s">
        <v>315</v>
      </c>
      <c r="G15" s="61" t="str">
        <f t="shared" si="1"/>
        <v>[effect:enemy_message, val1:1.2, val2:1.2]</v>
      </c>
      <c r="H15" s="61">
        <f t="shared" si="2"/>
        <v>9</v>
      </c>
      <c r="I15" s="61">
        <f t="shared" si="3"/>
        <v>22</v>
      </c>
      <c r="J15" s="61" t="e">
        <f t="shared" si="4"/>
        <v>#VALUE!</v>
      </c>
      <c r="K15" s="61">
        <f t="shared" si="5"/>
        <v>32</v>
      </c>
      <c r="L15" s="61" t="str">
        <f>IFERROR(VLOOKUP(MID(G15,J15,K15-J15),[7]skilldef!$C:$D,2,FALSE),"-") &amp; " / " &amp; IFERROR(VLOOKUP(MID(G15,H15,I15-H15),[7]skilldef!$A:$B,2,FALSE),"-")</f>
        <v>- / -</v>
      </c>
      <c r="M15" s="61" t="str">
        <f t="shared" si="6"/>
        <v>[effect:suicide, target:myself, val:0.2]</v>
      </c>
      <c r="N15" s="46" t="str">
        <f t="shared" si="7"/>
        <v>[effect:suicide, target:myself, val:0.2]</v>
      </c>
      <c r="O15" s="61">
        <f t="shared" si="8"/>
        <v>9</v>
      </c>
      <c r="P15" s="61">
        <f t="shared" si="9"/>
        <v>16</v>
      </c>
      <c r="Q15" s="61">
        <f t="shared" si="10"/>
        <v>25</v>
      </c>
      <c r="R15" s="61">
        <f t="shared" si="11"/>
        <v>31</v>
      </c>
      <c r="S15" s="61" t="str">
        <f>IFERROR(VLOOKUP(MID(N15,Q15,R15-Q15),[7]skilldef!$C:$D,2,FALSE),"-") &amp; " / " &amp; IFERROR(VLOOKUP(MID(N15,O15,P15-O15),[7]skilldef!$A:$B,2,FALSE),"-")</f>
        <v>自分自身に / -</v>
      </c>
      <c r="T15" s="46" t="str">
        <f t="shared" si="12"/>
        <v>none</v>
      </c>
      <c r="U15" s="61" t="e">
        <f t="shared" si="13"/>
        <v>#VALUE!</v>
      </c>
      <c r="V15" s="61">
        <f t="shared" si="14"/>
        <v>4</v>
      </c>
      <c r="W15" s="61" t="e">
        <f t="shared" si="15"/>
        <v>#VALUE!</v>
      </c>
      <c r="X15" s="61" t="e">
        <f t="shared" si="16"/>
        <v>#VALUE!</v>
      </c>
      <c r="Y15" s="61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/>
      <c r="AC15" s="101" t="s">
        <v>260</v>
      </c>
    </row>
    <row r="16" spans="1:29" ht="21" customHeight="1" x14ac:dyDescent="0.15">
      <c r="A16" s="45">
        <v>13400514</v>
      </c>
      <c r="B16" s="46" t="str">
        <f t="shared" si="0"/>
        <v>[effect:enemy_message, val1:1.2, val2:2.3],[effect:force_change_block,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v>
      </c>
      <c r="C16" s="48">
        <v>3</v>
      </c>
      <c r="D16" s="48" t="s">
        <v>252</v>
      </c>
      <c r="E16" s="49" t="s">
        <v>296</v>
      </c>
      <c r="F16" s="49" t="s">
        <v>312</v>
      </c>
      <c r="G16" s="61" t="str">
        <f t="shared" si="1"/>
        <v>[effect:enemy_message, val1:1.2, val2:2.3]</v>
      </c>
      <c r="H16" s="61">
        <f t="shared" si="2"/>
        <v>9</v>
      </c>
      <c r="I16" s="61">
        <f t="shared" si="3"/>
        <v>22</v>
      </c>
      <c r="J16" s="61" t="e">
        <f t="shared" si="4"/>
        <v>#VALUE!</v>
      </c>
      <c r="K16" s="61">
        <f t="shared" si="5"/>
        <v>32</v>
      </c>
      <c r="L16" s="61" t="str">
        <f>IFERROR(VLOOKUP(MID(G16,J16,K16-J16),[7]skilldef!$C:$D,2,FALSE),"-") &amp; " / " &amp; IFERROR(VLOOKUP(MID(G16,H16,I16-H16),[7]skilldef!$A:$B,2,FALSE),"-")</f>
        <v>- / -</v>
      </c>
      <c r="M16" s="61" t="str">
        <f t="shared" si="6"/>
        <v>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v>
      </c>
      <c r="N16" s="46" t="str">
        <f t="shared" si="7"/>
        <v>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v>
      </c>
      <c r="O16" s="61">
        <f t="shared" si="8"/>
        <v>9</v>
      </c>
      <c r="P16" s="61">
        <f t="shared" si="9"/>
        <v>27</v>
      </c>
      <c r="Q16" s="61">
        <f t="shared" si="10"/>
        <v>57</v>
      </c>
      <c r="R16" s="61">
        <f t="shared" si="11"/>
        <v>48</v>
      </c>
      <c r="S16" s="61" t="str">
        <f>IFERROR(VLOOKUP(MID(N16,Q16,R16-Q16),[7]skilldef!$C:$D,2,FALSE),"-") &amp; " / " &amp; IFERROR(VLOOKUP(MID(N16,O16,P16-O16),[7]skilldef!$A:$B,2,FALSE),"-")</f>
        <v>- / -</v>
      </c>
      <c r="T16" s="46" t="str">
        <f t="shared" si="12"/>
        <v>none</v>
      </c>
      <c r="U16" s="61" t="e">
        <f t="shared" si="13"/>
        <v>#VALUE!</v>
      </c>
      <c r="V16" s="61">
        <f t="shared" si="14"/>
        <v>4</v>
      </c>
      <c r="W16" s="61" t="e">
        <f t="shared" si="15"/>
        <v>#VALUE!</v>
      </c>
      <c r="X16" s="61" t="e">
        <f t="shared" si="16"/>
        <v>#VALUE!</v>
      </c>
      <c r="Y16" s="61" t="str">
        <f>IFERROR(VLOOKUP(MID(T16,W16,X16-W16),[7]skilldef!$C:$D,2,FALSE),"-") &amp; " / " &amp; IFERROR(VLOOKUP(MID(T16,U16,V16-U16),[7]skilldef!$A:$B,2,FALSE),"-")</f>
        <v>- / -</v>
      </c>
      <c r="Z16" s="48"/>
      <c r="AA16" s="50"/>
      <c r="AB16" s="48"/>
      <c r="AC16" s="101" t="s">
        <v>283</v>
      </c>
    </row>
    <row r="17" spans="1:29" ht="21" customHeight="1" x14ac:dyDescent="0.15">
      <c r="A17" s="45">
        <v>13400515</v>
      </c>
      <c r="B17" s="46" t="str">
        <f t="shared" si="0"/>
        <v>[effect:enemy_message, val1:1.2, val2:1.8],[effect:force_change_block, new_block:crack_bomb, target:block_all, ignore01:crash, ignore02:crack_bomb, ignore03:time_bomb, ignore04:jammer, ignore05:color_break, ignore06:damage, ignore07:magnet, color:block_random, count:10, val:12, animation:change_block]</v>
      </c>
      <c r="C17" s="48">
        <v>3</v>
      </c>
      <c r="D17" s="48" t="s">
        <v>252</v>
      </c>
      <c r="E17" s="49" t="s">
        <v>297</v>
      </c>
      <c r="F17" s="49" t="s">
        <v>313</v>
      </c>
      <c r="G17" s="61" t="str">
        <f t="shared" si="1"/>
        <v>[effect:enemy_message, val1:1.2, val2:1.8]</v>
      </c>
      <c r="H17" s="61">
        <f t="shared" si="2"/>
        <v>9</v>
      </c>
      <c r="I17" s="61">
        <f t="shared" si="3"/>
        <v>22</v>
      </c>
      <c r="J17" s="61" t="e">
        <f t="shared" si="4"/>
        <v>#VALUE!</v>
      </c>
      <c r="K17" s="61">
        <f t="shared" si="5"/>
        <v>32</v>
      </c>
      <c r="L17" s="61" t="str">
        <f>IFERROR(VLOOKUP(MID(G17,J17,K17-J17),[7]skilldef!$C:$D,2,FALSE),"-") &amp; " / " &amp; IFERROR(VLOOKUP(MID(G17,H17,I17-H17),[7]skilldef!$A:$B,2,FALSE),"-")</f>
        <v>- / -</v>
      </c>
      <c r="M17" s="61" t="str">
        <f t="shared" si="6"/>
        <v>[effect:force_change_block, new_block:crack_bomb, target:block_all, ignore01:crash, ignore02:crack_bomb, ignore03:time_bomb, ignore04:jammer, ignore05:color_break, ignore06:damage, ignore07:magnet, color:block_random, count:10, val:12, animation:change_block]</v>
      </c>
      <c r="N17" s="46" t="str">
        <f>IFERROR(LEFT(M17,FIND("],",M17)+#REF!),M17)</f>
        <v>[effect:force_change_block, new_block:crack_bomb, target:block_all, ignore01:crash, ignore02:crack_bomb, ignore03:time_bomb, ignore04:jammer, ignore05:color_break, ignore06:damage, ignore07:magnet, color:block_random, count:10, val:12, animation:change_block]</v>
      </c>
      <c r="O17" s="61">
        <f t="shared" si="8"/>
        <v>9</v>
      </c>
      <c r="P17" s="61">
        <f t="shared" si="9"/>
        <v>27</v>
      </c>
      <c r="Q17" s="61">
        <f t="shared" si="10"/>
        <v>58</v>
      </c>
      <c r="R17" s="61">
        <f t="shared" si="11"/>
        <v>49</v>
      </c>
      <c r="S17" s="61" t="str">
        <f>IFERROR(VLOOKUP(MID(N17,Q17,R17-Q17),[7]skilldef!$C:$D,2,FALSE),"-") &amp; " / " &amp; IFERROR(VLOOKUP(MID(N17,O17,P17-O17),[7]skilldef!$A:$B,2,FALSE),"-")</f>
        <v>- / -</v>
      </c>
      <c r="T17" s="46" t="str">
        <f t="shared" si="12"/>
        <v>none</v>
      </c>
      <c r="U17" s="61" t="e">
        <f t="shared" si="13"/>
        <v>#VALUE!</v>
      </c>
      <c r="V17" s="61">
        <f t="shared" si="14"/>
        <v>4</v>
      </c>
      <c r="W17" s="61" t="e">
        <f t="shared" si="15"/>
        <v>#VALUE!</v>
      </c>
      <c r="X17" s="61" t="e">
        <f t="shared" si="16"/>
        <v>#VALUE!</v>
      </c>
      <c r="Y17" s="61" t="str">
        <f>IFERROR(VLOOKUP(MID(T17,W17,X17-W17),[7]skilldef!$C:$D,2,FALSE),"-") &amp; " / " &amp; IFERROR(VLOOKUP(MID(T17,U17,V17-U17),[7]skilldef!$A:$B,2,FALSE),"-")</f>
        <v>- / -</v>
      </c>
      <c r="Z17" s="48"/>
      <c r="AA17" s="50"/>
      <c r="AB17" s="48"/>
      <c r="AC17" s="101" t="s">
        <v>284</v>
      </c>
    </row>
    <row r="18" spans="1:29" ht="21" customHeight="1" x14ac:dyDescent="0.15">
      <c r="A18" s="45">
        <v>13400516</v>
      </c>
      <c r="B18" s="46" t="str">
        <f t="shared" si="0"/>
        <v>[effect:enemy_message, val1:1.2, val2:1.2],[effect:enhance_enemy, target:myself, turn:-1, status:attack, val:1.2, calc:mul, animation:enemy_enhance_attack]</v>
      </c>
      <c r="C18" s="48">
        <v>3</v>
      </c>
      <c r="D18" s="48" t="s">
        <v>252</v>
      </c>
      <c r="E18" s="49" t="s">
        <v>298</v>
      </c>
      <c r="F18" s="49" t="s">
        <v>281</v>
      </c>
      <c r="G18" s="61" t="str">
        <f t="shared" si="1"/>
        <v>[effect:enemy_message, val1:1.2, val2:1.2]</v>
      </c>
      <c r="H18" s="61">
        <f t="shared" si="2"/>
        <v>9</v>
      </c>
      <c r="I18" s="61">
        <f t="shared" si="3"/>
        <v>22</v>
      </c>
      <c r="J18" s="61" t="e">
        <f t="shared" si="4"/>
        <v>#VALUE!</v>
      </c>
      <c r="K18" s="61">
        <f t="shared" si="5"/>
        <v>32</v>
      </c>
      <c r="L18" s="61" t="str">
        <f>IFERROR(VLOOKUP(MID(G18,J18,K18-J18),[7]skilldef!$C:$D,2,FALSE),"-") &amp; " / " &amp; IFERROR(VLOOKUP(MID(G18,H18,I18-H18),[7]skilldef!$A:$B,2,FALSE),"-")</f>
        <v>- / -</v>
      </c>
      <c r="M18" s="61" t="str">
        <f t="shared" si="6"/>
        <v>[effect:enhance_enemy, target:myself, turn:-1, status:attack, val:1.2, calc:mul, animation:enemy_enhance_attack]</v>
      </c>
      <c r="N18" s="46" t="str">
        <f>IFERROR(LEFT(M18,FIND("],",M18)+#REF!),M18)</f>
        <v>[effect:enhance_enemy, target:myself, turn:-1, status:attack, val:1.2, calc:mul, animation:enemy_enhance_attack]</v>
      </c>
      <c r="O18" s="61">
        <f t="shared" si="8"/>
        <v>9</v>
      </c>
      <c r="P18" s="61">
        <f t="shared" si="9"/>
        <v>22</v>
      </c>
      <c r="Q18" s="61">
        <f t="shared" si="10"/>
        <v>31</v>
      </c>
      <c r="R18" s="61">
        <f t="shared" si="11"/>
        <v>37</v>
      </c>
      <c r="S18" s="61" t="str">
        <f>IFERROR(VLOOKUP(MID(N18,Q18,R18-Q18),[7]skilldef!$C:$D,2,FALSE),"-") &amp; " / " &amp; IFERROR(VLOOKUP(MID(N18,O18,P18-O18),[7]skilldef!$A:$B,2,FALSE),"-")</f>
        <v>自分自身に / ステータス強化</v>
      </c>
      <c r="T18" s="46" t="str">
        <f t="shared" si="12"/>
        <v>none</v>
      </c>
      <c r="U18" s="61" t="e">
        <f t="shared" si="13"/>
        <v>#VALUE!</v>
      </c>
      <c r="V18" s="61">
        <f t="shared" si="14"/>
        <v>4</v>
      </c>
      <c r="W18" s="61" t="e">
        <f t="shared" si="15"/>
        <v>#VALUE!</v>
      </c>
      <c r="X18" s="61" t="e">
        <f t="shared" si="16"/>
        <v>#VALUE!</v>
      </c>
      <c r="Y18" s="61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/>
      <c r="AC18" s="101" t="s">
        <v>261</v>
      </c>
    </row>
    <row r="19" spans="1:29" ht="21" customHeight="1" x14ac:dyDescent="0.15">
      <c r="A19" s="45">
        <v>13400517</v>
      </c>
      <c r="B19" s="46" t="str">
        <f t="shared" si="0"/>
        <v>[effect:enemy_message, val1:1.2, val2:1.2],[effect:kamikaze, val:10]</v>
      </c>
      <c r="C19" s="48">
        <v>3</v>
      </c>
      <c r="D19" s="48" t="s">
        <v>252</v>
      </c>
      <c r="E19" s="49" t="s">
        <v>285</v>
      </c>
      <c r="F19" s="49" t="s">
        <v>282</v>
      </c>
      <c r="G19" s="61" t="str">
        <f t="shared" si="1"/>
        <v>[effect:enemy_message, val1:1.2, val2:1.2]</v>
      </c>
      <c r="H19" s="61">
        <f t="shared" si="2"/>
        <v>9</v>
      </c>
      <c r="I19" s="61">
        <f t="shared" si="3"/>
        <v>22</v>
      </c>
      <c r="J19" s="61" t="e">
        <f t="shared" si="4"/>
        <v>#VALUE!</v>
      </c>
      <c r="K19" s="61">
        <f t="shared" si="5"/>
        <v>32</v>
      </c>
      <c r="L19" s="61" t="str">
        <f>IFERROR(VLOOKUP(MID(G19,J19,K19-J19),[7]skilldef!$C:$D,2,FALSE),"-") &amp; " / " &amp; IFERROR(VLOOKUP(MID(G19,H19,I19-H19),[7]skilldef!$A:$B,2,FALSE),"-")</f>
        <v>- / -</v>
      </c>
      <c r="M19" s="61" t="str">
        <f t="shared" si="6"/>
        <v>[effect:kamikaze, val:10]</v>
      </c>
      <c r="N19" s="46" t="str">
        <f>IFERROR(LEFT(M19,FIND("],",M19)+#REF!),M19)</f>
        <v>[effect:kamikaze, val:10]</v>
      </c>
      <c r="O19" s="61">
        <f t="shared" si="8"/>
        <v>9</v>
      </c>
      <c r="P19" s="61">
        <f t="shared" si="9"/>
        <v>17</v>
      </c>
      <c r="Q19" s="61" t="e">
        <f t="shared" si="10"/>
        <v>#VALUE!</v>
      </c>
      <c r="R19" s="61" t="e">
        <f t="shared" si="11"/>
        <v>#VALUE!</v>
      </c>
      <c r="S19" s="61" t="str">
        <f>IFERROR(VLOOKUP(MID(N19,Q19,R19-Q19),[7]skilldef!$C:$D,2,FALSE),"-") &amp; " / " &amp; IFERROR(VLOOKUP(MID(N19,O19,P19-O19),[7]skilldef!$A:$B,2,FALSE),"-")</f>
        <v>- / 自爆</v>
      </c>
      <c r="T19" s="46" t="str">
        <f t="shared" si="12"/>
        <v>none</v>
      </c>
      <c r="U19" s="61" t="e">
        <f t="shared" si="13"/>
        <v>#VALUE!</v>
      </c>
      <c r="V19" s="61">
        <f t="shared" si="14"/>
        <v>4</v>
      </c>
      <c r="W19" s="61" t="e">
        <f t="shared" si="15"/>
        <v>#VALUE!</v>
      </c>
      <c r="X19" s="61" t="e">
        <f t="shared" si="16"/>
        <v>#VALUE!</v>
      </c>
      <c r="Y19" s="61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/>
      <c r="AC19" s="101" t="s">
        <v>262</v>
      </c>
    </row>
    <row r="20" spans="1:29" ht="21" customHeight="1" x14ac:dyDescent="0.15">
      <c r="A20" s="45">
        <v>13400518</v>
      </c>
      <c r="B20" s="46" t="str">
        <f t="shared" si="0"/>
        <v>[effect:enemy_message, val1:1.2, val2:2.3],[effect:force_change_block,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v>
      </c>
      <c r="C20" s="48">
        <v>3</v>
      </c>
      <c r="D20" s="48" t="s">
        <v>252</v>
      </c>
      <c r="E20" s="49" t="s">
        <v>299</v>
      </c>
      <c r="F20" s="49" t="s">
        <v>312</v>
      </c>
      <c r="G20" s="61" t="str">
        <f t="shared" si="1"/>
        <v>[effect:enemy_message, val1:1.2, val2:2.3]</v>
      </c>
      <c r="H20" s="61">
        <f t="shared" si="2"/>
        <v>9</v>
      </c>
      <c r="I20" s="61">
        <f t="shared" si="3"/>
        <v>22</v>
      </c>
      <c r="J20" s="61" t="e">
        <f t="shared" si="4"/>
        <v>#VALUE!</v>
      </c>
      <c r="K20" s="61">
        <f t="shared" si="5"/>
        <v>32</v>
      </c>
      <c r="L20" s="61" t="str">
        <f>IFERROR(VLOOKUP(MID(G20,J20,K20-J20),[7]skilldef!$C:$D,2,FALSE),"-") &amp; " / " &amp; IFERROR(VLOOKUP(MID(G20,H20,I20-H20),[7]skilldef!$A:$B,2,FALSE),"-")</f>
        <v>- / -</v>
      </c>
      <c r="M20" s="61" t="str">
        <f t="shared" si="6"/>
        <v>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v>
      </c>
      <c r="N20" s="46" t="str">
        <f>IFERROR(LEFT(M20,FIND("],",M20)+#REF!),M20)</f>
        <v>[effect:force_change_block, new_block:time_bomb, target:block_all, ignore01:crash, ignore02:crack_bomb, ignore03:time_bomb, ignore04:jammer, ignore05:color_break, ignore06:damage, ignore07:magnet, color:block_random, count:10, val:0.3, min_time_count:2, max_time_count:2, animation:change_block]</v>
      </c>
      <c r="O20" s="61">
        <f t="shared" si="8"/>
        <v>9</v>
      </c>
      <c r="P20" s="61">
        <f t="shared" si="9"/>
        <v>27</v>
      </c>
      <c r="Q20" s="61">
        <f t="shared" si="10"/>
        <v>57</v>
      </c>
      <c r="R20" s="61">
        <f t="shared" si="11"/>
        <v>48</v>
      </c>
      <c r="S20" s="61" t="str">
        <f>IFERROR(VLOOKUP(MID(N20,Q20,R20-Q20),[7]skilldef!$C:$D,2,FALSE),"-") &amp; " / " &amp; IFERROR(VLOOKUP(MID(N20,O20,P20-O20),[7]skilldef!$A:$B,2,FALSE),"-")</f>
        <v>- / -</v>
      </c>
      <c r="T20" s="46" t="str">
        <f t="shared" si="12"/>
        <v>none</v>
      </c>
      <c r="U20" s="61" t="e">
        <f t="shared" si="13"/>
        <v>#VALUE!</v>
      </c>
      <c r="V20" s="61">
        <f t="shared" si="14"/>
        <v>4</v>
      </c>
      <c r="W20" s="61" t="e">
        <f t="shared" si="15"/>
        <v>#VALUE!</v>
      </c>
      <c r="X20" s="61" t="e">
        <f t="shared" si="16"/>
        <v>#VALUE!</v>
      </c>
      <c r="Y20" s="61" t="str">
        <f>IFERROR(VLOOKUP(MID(T20,W20,X20-W20),[7]skilldef!$C:$D,2,FALSE),"-") &amp; " / " &amp; IFERROR(VLOOKUP(MID(T20,U20,V20-U20),[7]skilldef!$A:$B,2,FALSE),"-")</f>
        <v>- / -</v>
      </c>
      <c r="Z20" s="48"/>
      <c r="AA20" s="50"/>
      <c r="AB20" s="48"/>
      <c r="AC20" s="101" t="s">
        <v>283</v>
      </c>
    </row>
    <row r="21" spans="1:29" ht="21" customHeight="1" x14ac:dyDescent="0.15">
      <c r="A21" s="45">
        <v>13400519</v>
      </c>
      <c r="B21" s="46" t="str">
        <f t="shared" si="0"/>
        <v>[effect:enemy_message, val1:1.2, val2:1.8],[effect:force_change_block, new_block:crack_bomb, target:block_all, ignore01:crash, ignore02:crack_bomb, ignore03:time_bomb, ignore04:jammer, ignore05:color_break, ignore06:damage, ignore07:magnet, color:block_random, count:10, val:12, animation:change_block]</v>
      </c>
      <c r="C21" s="48">
        <v>3</v>
      </c>
      <c r="D21" s="48" t="s">
        <v>252</v>
      </c>
      <c r="E21" s="49" t="s">
        <v>300</v>
      </c>
      <c r="F21" s="49" t="s">
        <v>313</v>
      </c>
      <c r="G21" s="61" t="str">
        <f t="shared" si="1"/>
        <v>[effect:enemy_message, val1:1.2, val2:1.8]</v>
      </c>
      <c r="H21" s="61">
        <f t="shared" si="2"/>
        <v>9</v>
      </c>
      <c r="I21" s="61">
        <f t="shared" si="3"/>
        <v>22</v>
      </c>
      <c r="J21" s="61" t="e">
        <f t="shared" si="4"/>
        <v>#VALUE!</v>
      </c>
      <c r="K21" s="61">
        <f t="shared" si="5"/>
        <v>32</v>
      </c>
      <c r="L21" s="61" t="str">
        <f>IFERROR(VLOOKUP(MID(G21,J21,K21-J21),[7]skilldef!$C:$D,2,FALSE),"-") &amp; " / " &amp; IFERROR(VLOOKUP(MID(G21,H21,I21-H21),[7]skilldef!$A:$B,2,FALSE),"-")</f>
        <v>- / -</v>
      </c>
      <c r="M21" s="61" t="str">
        <f t="shared" si="6"/>
        <v>[effect:force_change_block, new_block:crack_bomb, target:block_all, ignore01:crash, ignore02:crack_bomb, ignore03:time_bomb, ignore04:jammer, ignore05:color_break, ignore06:damage, ignore07:magnet, color:block_random, count:10, val:12, animation:change_block]</v>
      </c>
      <c r="N21" s="46" t="str">
        <f>IFERROR(LEFT(M21,FIND("],",M21)+#REF!),M21)</f>
        <v>[effect:force_change_block, new_block:crack_bomb, target:block_all, ignore01:crash, ignore02:crack_bomb, ignore03:time_bomb, ignore04:jammer, ignore05:color_break, ignore06:damage, ignore07:magnet, color:block_random, count:10, val:12, animation:change_block]</v>
      </c>
      <c r="O21" s="61">
        <f t="shared" si="8"/>
        <v>9</v>
      </c>
      <c r="P21" s="61">
        <f t="shared" si="9"/>
        <v>27</v>
      </c>
      <c r="Q21" s="61">
        <f t="shared" si="10"/>
        <v>58</v>
      </c>
      <c r="R21" s="61">
        <f t="shared" si="11"/>
        <v>49</v>
      </c>
      <c r="S21" s="61" t="str">
        <f>IFERROR(VLOOKUP(MID(N21,Q21,R21-Q21),[7]skilldef!$C:$D,2,FALSE),"-") &amp; " / " &amp; IFERROR(VLOOKUP(MID(N21,O21,P21-O21),[7]skilldef!$A:$B,2,FALSE),"-")</f>
        <v>- / -</v>
      </c>
      <c r="T21" s="46" t="str">
        <f t="shared" si="12"/>
        <v>none</v>
      </c>
      <c r="U21" s="61" t="e">
        <f t="shared" si="13"/>
        <v>#VALUE!</v>
      </c>
      <c r="V21" s="61">
        <f t="shared" si="14"/>
        <v>4</v>
      </c>
      <c r="W21" s="61" t="e">
        <f t="shared" si="15"/>
        <v>#VALUE!</v>
      </c>
      <c r="X21" s="61" t="e">
        <f t="shared" si="16"/>
        <v>#VALUE!</v>
      </c>
      <c r="Y21" s="61" t="str">
        <f>IFERROR(VLOOKUP(MID(T21,W21,X21-W21),[7]skilldef!$C:$D,2,FALSE),"-") &amp; " / " &amp; IFERROR(VLOOKUP(MID(T21,U21,V21-U21),[7]skilldef!$A:$B,2,FALSE),"-")</f>
        <v>- / -</v>
      </c>
      <c r="Z21" s="48"/>
      <c r="AA21" s="50"/>
      <c r="AB21" s="48"/>
      <c r="AC21" s="101" t="s">
        <v>284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1"/>
  <sheetViews>
    <sheetView showGridLines="0" workbookViewId="0">
      <pane ySplit="1" topLeftCell="A2" activePane="bottomLeft" state="frozenSplit"/>
      <selection pane="bottomLeft" activeCell="D22" sqref="D2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13400500</v>
      </c>
      <c r="B2" s="45">
        <v>1</v>
      </c>
      <c r="C2" s="45">
        <v>100</v>
      </c>
      <c r="D2" s="45">
        <v>100</v>
      </c>
      <c r="E2" s="45" t="s">
        <v>251</v>
      </c>
      <c r="F2" s="45" t="s">
        <v>89</v>
      </c>
      <c r="G2" s="45">
        <v>1</v>
      </c>
      <c r="H2" s="45" t="s">
        <v>89</v>
      </c>
      <c r="I2" s="45" t="s">
        <v>89</v>
      </c>
      <c r="J2" s="46">
        <f t="shared" ref="J2" si="0">D2</f>
        <v>100</v>
      </c>
    </row>
    <row r="3" spans="1:11" ht="21" customHeight="1" x14ac:dyDescent="0.15">
      <c r="A3" s="45">
        <v>13400501</v>
      </c>
      <c r="B3" s="45">
        <v>0</v>
      </c>
      <c r="C3" s="45">
        <v>90</v>
      </c>
      <c r="D3" s="45">
        <v>100</v>
      </c>
      <c r="E3" s="45" t="s">
        <v>251</v>
      </c>
      <c r="F3" s="45" t="s">
        <v>89</v>
      </c>
      <c r="G3" s="45">
        <v>1</v>
      </c>
      <c r="H3" s="45" t="s">
        <v>89</v>
      </c>
      <c r="I3" s="45" t="s">
        <v>89</v>
      </c>
      <c r="J3" s="46">
        <f t="shared" ref="J3:J21" si="1">D3</f>
        <v>100</v>
      </c>
    </row>
    <row r="4" spans="1:11" ht="21" customHeight="1" x14ac:dyDescent="0.15">
      <c r="A4" s="45">
        <v>13400502</v>
      </c>
      <c r="B4" s="45">
        <v>0</v>
      </c>
      <c r="C4" s="45">
        <v>80</v>
      </c>
      <c r="D4" s="45">
        <v>100</v>
      </c>
      <c r="E4" s="45" t="s">
        <v>251</v>
      </c>
      <c r="F4" s="45" t="s">
        <v>89</v>
      </c>
      <c r="G4" s="45">
        <v>1</v>
      </c>
      <c r="H4" s="45" t="s">
        <v>89</v>
      </c>
      <c r="I4" s="45" t="s">
        <v>89</v>
      </c>
      <c r="J4" s="46">
        <f t="shared" si="1"/>
        <v>100</v>
      </c>
    </row>
    <row r="5" spans="1:11" ht="21" customHeight="1" x14ac:dyDescent="0.15">
      <c r="A5" s="45">
        <v>13400503</v>
      </c>
      <c r="B5" s="45">
        <v>1</v>
      </c>
      <c r="C5" s="45">
        <v>0</v>
      </c>
      <c r="D5" s="45">
        <v>100</v>
      </c>
      <c r="E5" s="45" t="s">
        <v>251</v>
      </c>
      <c r="F5" s="45" t="s">
        <v>89</v>
      </c>
      <c r="G5" s="45">
        <v>1</v>
      </c>
      <c r="H5" s="45" t="s">
        <v>89</v>
      </c>
      <c r="I5" s="45" t="s">
        <v>89</v>
      </c>
      <c r="J5" s="46">
        <f t="shared" si="1"/>
        <v>100</v>
      </c>
    </row>
    <row r="6" spans="1:11" ht="21" customHeight="1" x14ac:dyDescent="0.15">
      <c r="A6" s="45">
        <v>13400504</v>
      </c>
      <c r="B6" s="45">
        <v>0</v>
      </c>
      <c r="C6" s="45">
        <v>0</v>
      </c>
      <c r="D6" s="45">
        <v>80</v>
      </c>
      <c r="E6" s="45" t="s">
        <v>251</v>
      </c>
      <c r="F6" s="45" t="s">
        <v>89</v>
      </c>
      <c r="G6" s="45" t="s">
        <v>251</v>
      </c>
      <c r="H6" s="45" t="s">
        <v>89</v>
      </c>
      <c r="I6" s="45" t="s">
        <v>89</v>
      </c>
      <c r="J6" s="46">
        <f t="shared" si="1"/>
        <v>80</v>
      </c>
    </row>
    <row r="7" spans="1:11" ht="21" customHeight="1" x14ac:dyDescent="0.15">
      <c r="A7" s="45">
        <v>13400505</v>
      </c>
      <c r="B7" s="45">
        <v>0</v>
      </c>
      <c r="C7" s="45">
        <v>70</v>
      </c>
      <c r="D7" s="45">
        <v>100</v>
      </c>
      <c r="E7" s="45">
        <v>75</v>
      </c>
      <c r="F7" s="45" t="s">
        <v>89</v>
      </c>
      <c r="G7" s="45">
        <v>1</v>
      </c>
      <c r="H7" s="45" t="s">
        <v>89</v>
      </c>
      <c r="I7" s="45" t="s">
        <v>89</v>
      </c>
      <c r="J7" s="46">
        <f t="shared" si="1"/>
        <v>100</v>
      </c>
    </row>
    <row r="8" spans="1:11" ht="21" customHeight="1" x14ac:dyDescent="0.15">
      <c r="A8" s="45">
        <v>13400506</v>
      </c>
      <c r="B8" s="45">
        <v>0</v>
      </c>
      <c r="C8" s="45">
        <v>60</v>
      </c>
      <c r="D8" s="45">
        <v>100</v>
      </c>
      <c r="E8" s="45">
        <v>50</v>
      </c>
      <c r="F8" s="45" t="s">
        <v>89</v>
      </c>
      <c r="G8" s="45">
        <v>1</v>
      </c>
      <c r="H8" s="45" t="s">
        <v>89</v>
      </c>
      <c r="I8" s="45" t="s">
        <v>89</v>
      </c>
      <c r="J8" s="46">
        <f t="shared" si="1"/>
        <v>100</v>
      </c>
    </row>
    <row r="9" spans="1:11" ht="21" customHeight="1" x14ac:dyDescent="0.15">
      <c r="A9" s="45">
        <v>13400507</v>
      </c>
      <c r="B9" s="45">
        <v>0</v>
      </c>
      <c r="C9" s="45">
        <v>50</v>
      </c>
      <c r="D9" s="45">
        <v>100</v>
      </c>
      <c r="E9" s="45">
        <v>25</v>
      </c>
      <c r="F9" s="45" t="s">
        <v>89</v>
      </c>
      <c r="G9" s="45">
        <v>1</v>
      </c>
      <c r="H9" s="45" t="s">
        <v>89</v>
      </c>
      <c r="I9" s="45" t="s">
        <v>89</v>
      </c>
      <c r="J9" s="46">
        <f t="shared" si="1"/>
        <v>100</v>
      </c>
    </row>
    <row r="10" spans="1:11" ht="21" customHeight="1" x14ac:dyDescent="0.15">
      <c r="A10" s="45">
        <v>13400508</v>
      </c>
      <c r="B10" s="45">
        <v>0</v>
      </c>
      <c r="C10" s="45">
        <v>0</v>
      </c>
      <c r="D10" s="45">
        <v>100</v>
      </c>
      <c r="E10" s="45" t="s">
        <v>251</v>
      </c>
      <c r="F10" s="45" t="s">
        <v>89</v>
      </c>
      <c r="G10" s="45" t="s">
        <v>251</v>
      </c>
      <c r="H10" s="45" t="s">
        <v>89</v>
      </c>
      <c r="I10" s="45" t="s">
        <v>89</v>
      </c>
      <c r="J10" s="46">
        <f t="shared" si="1"/>
        <v>100</v>
      </c>
    </row>
    <row r="11" spans="1:11" ht="21" customHeight="1" x14ac:dyDescent="0.15">
      <c r="A11" s="45">
        <v>13400509</v>
      </c>
      <c r="B11" s="45">
        <v>0</v>
      </c>
      <c r="C11" s="45">
        <v>0</v>
      </c>
      <c r="D11" s="45">
        <v>100</v>
      </c>
      <c r="E11" s="45" t="s">
        <v>251</v>
      </c>
      <c r="F11" s="45" t="s">
        <v>89</v>
      </c>
      <c r="G11" s="45" t="s">
        <v>251</v>
      </c>
      <c r="H11" s="45" t="s">
        <v>89</v>
      </c>
      <c r="I11" s="45" t="s">
        <v>89</v>
      </c>
      <c r="J11" s="46">
        <f t="shared" si="1"/>
        <v>100</v>
      </c>
    </row>
    <row r="12" spans="1:11" ht="21" customHeight="1" x14ac:dyDescent="0.15">
      <c r="A12" s="45">
        <v>13400510</v>
      </c>
      <c r="B12" s="45">
        <v>1</v>
      </c>
      <c r="C12" s="45">
        <v>100</v>
      </c>
      <c r="D12" s="45">
        <v>100</v>
      </c>
      <c r="E12" s="45" t="s">
        <v>251</v>
      </c>
      <c r="F12" s="45" t="s">
        <v>89</v>
      </c>
      <c r="G12" s="45">
        <v>1</v>
      </c>
      <c r="H12" s="45" t="s">
        <v>89</v>
      </c>
      <c r="I12" s="45" t="s">
        <v>89</v>
      </c>
      <c r="J12" s="46">
        <f t="shared" si="1"/>
        <v>100</v>
      </c>
    </row>
    <row r="13" spans="1:11" ht="21" customHeight="1" x14ac:dyDescent="0.15">
      <c r="A13" s="45">
        <v>13400511</v>
      </c>
      <c r="B13" s="45">
        <v>0</v>
      </c>
      <c r="C13" s="45">
        <v>90</v>
      </c>
      <c r="D13" s="45">
        <v>100</v>
      </c>
      <c r="E13" s="45" t="s">
        <v>251</v>
      </c>
      <c r="F13" s="45">
        <v>81</v>
      </c>
      <c r="G13" s="45" t="s">
        <v>251</v>
      </c>
      <c r="H13" s="45" t="s">
        <v>89</v>
      </c>
      <c r="I13" s="45" t="s">
        <v>89</v>
      </c>
      <c r="J13" s="46">
        <f t="shared" si="1"/>
        <v>100</v>
      </c>
    </row>
    <row r="14" spans="1:11" ht="21" customHeight="1" x14ac:dyDescent="0.15">
      <c r="A14" s="45">
        <v>13400512</v>
      </c>
      <c r="B14" s="45">
        <v>0</v>
      </c>
      <c r="C14" s="45">
        <v>70</v>
      </c>
      <c r="D14" s="45">
        <v>100</v>
      </c>
      <c r="E14" s="45" t="s">
        <v>251</v>
      </c>
      <c r="F14" s="45" t="s">
        <v>89</v>
      </c>
      <c r="G14" s="45">
        <v>1</v>
      </c>
      <c r="H14" s="45" t="s">
        <v>89</v>
      </c>
      <c r="I14" s="45">
        <v>36</v>
      </c>
      <c r="J14" s="46">
        <f t="shared" si="1"/>
        <v>100</v>
      </c>
    </row>
    <row r="15" spans="1:11" ht="21" customHeight="1" x14ac:dyDescent="0.15">
      <c r="A15" s="45">
        <v>13400513</v>
      </c>
      <c r="B15" s="45">
        <v>0</v>
      </c>
      <c r="C15" s="45">
        <v>80</v>
      </c>
      <c r="D15" s="45">
        <v>100</v>
      </c>
      <c r="E15" s="45" t="s">
        <v>251</v>
      </c>
      <c r="F15" s="45" t="s">
        <v>89</v>
      </c>
      <c r="G15" s="45">
        <v>1</v>
      </c>
      <c r="H15" s="45" t="s">
        <v>89</v>
      </c>
      <c r="I15" s="45">
        <v>36</v>
      </c>
      <c r="J15" s="46">
        <f t="shared" si="1"/>
        <v>100</v>
      </c>
    </row>
    <row r="16" spans="1:11" ht="21" customHeight="1" x14ac:dyDescent="0.15">
      <c r="A16" s="45">
        <v>13400514</v>
      </c>
      <c r="B16" s="45">
        <v>0</v>
      </c>
      <c r="C16" s="45">
        <v>60</v>
      </c>
      <c r="D16" s="45">
        <v>100</v>
      </c>
      <c r="E16" s="45">
        <v>80</v>
      </c>
      <c r="F16" s="45" t="s">
        <v>89</v>
      </c>
      <c r="G16" s="45">
        <v>1</v>
      </c>
      <c r="H16" s="45" t="s">
        <v>89</v>
      </c>
      <c r="I16" s="45" t="s">
        <v>89</v>
      </c>
      <c r="J16" s="46">
        <f t="shared" si="1"/>
        <v>100</v>
      </c>
    </row>
    <row r="17" spans="1:10" ht="21" customHeight="1" x14ac:dyDescent="0.15">
      <c r="A17" s="45">
        <v>13400515</v>
      </c>
      <c r="B17" s="45">
        <v>0</v>
      </c>
      <c r="C17" s="45">
        <v>50</v>
      </c>
      <c r="D17" s="45">
        <v>100</v>
      </c>
      <c r="E17" s="45">
        <v>80</v>
      </c>
      <c r="F17" s="45" t="s">
        <v>89</v>
      </c>
      <c r="G17" s="45">
        <v>1</v>
      </c>
      <c r="H17" s="45" t="s">
        <v>89</v>
      </c>
      <c r="I17" s="45" t="s">
        <v>89</v>
      </c>
      <c r="J17" s="46">
        <f t="shared" si="1"/>
        <v>100</v>
      </c>
    </row>
    <row r="18" spans="1:10" ht="21" customHeight="1" x14ac:dyDescent="0.15">
      <c r="A18" s="45">
        <v>13400516</v>
      </c>
      <c r="B18" s="45">
        <v>0</v>
      </c>
      <c r="C18" s="45">
        <v>40</v>
      </c>
      <c r="D18" s="45">
        <v>100</v>
      </c>
      <c r="E18" s="45">
        <v>80</v>
      </c>
      <c r="F18" s="45" t="s">
        <v>89</v>
      </c>
      <c r="G18" s="45">
        <v>1</v>
      </c>
      <c r="H18" s="45" t="s">
        <v>89</v>
      </c>
      <c r="I18" s="45" t="s">
        <v>89</v>
      </c>
      <c r="J18" s="46">
        <f t="shared" si="1"/>
        <v>100</v>
      </c>
    </row>
    <row r="19" spans="1:10" ht="21" customHeight="1" x14ac:dyDescent="0.15">
      <c r="A19" s="45">
        <v>13400517</v>
      </c>
      <c r="B19" s="45">
        <v>0</v>
      </c>
      <c r="C19" s="45">
        <v>30</v>
      </c>
      <c r="D19" s="45">
        <v>100</v>
      </c>
      <c r="E19" s="45" t="s">
        <v>251</v>
      </c>
      <c r="F19" s="45" t="s">
        <v>89</v>
      </c>
      <c r="G19" s="45">
        <v>1</v>
      </c>
      <c r="H19" s="45" t="s">
        <v>89</v>
      </c>
      <c r="I19" s="45" t="s">
        <v>89</v>
      </c>
      <c r="J19" s="46">
        <f t="shared" si="1"/>
        <v>100</v>
      </c>
    </row>
    <row r="20" spans="1:10" ht="21" customHeight="1" x14ac:dyDescent="0.15">
      <c r="A20" s="45">
        <v>13400518</v>
      </c>
      <c r="B20" s="45">
        <v>0</v>
      </c>
      <c r="C20" s="45">
        <v>62</v>
      </c>
      <c r="D20" s="45">
        <v>100</v>
      </c>
      <c r="E20" s="45">
        <v>80</v>
      </c>
      <c r="F20" s="45" t="s">
        <v>89</v>
      </c>
      <c r="G20" s="45">
        <v>1</v>
      </c>
      <c r="H20" s="45" t="s">
        <v>89</v>
      </c>
      <c r="I20" s="45" t="s">
        <v>89</v>
      </c>
      <c r="J20" s="46">
        <f t="shared" si="1"/>
        <v>100</v>
      </c>
    </row>
    <row r="21" spans="1:10" ht="21" customHeight="1" x14ac:dyDescent="0.15">
      <c r="A21" s="45">
        <v>13400519</v>
      </c>
      <c r="B21" s="45">
        <v>0</v>
      </c>
      <c r="C21" s="45">
        <v>61</v>
      </c>
      <c r="D21" s="45">
        <v>100</v>
      </c>
      <c r="E21" s="45">
        <v>80</v>
      </c>
      <c r="F21" s="45" t="s">
        <v>89</v>
      </c>
      <c r="G21" s="45">
        <v>1</v>
      </c>
      <c r="H21" s="45" t="s">
        <v>89</v>
      </c>
      <c r="I21" s="45" t="s">
        <v>89</v>
      </c>
      <c r="J21" s="46">
        <f t="shared" si="1"/>
        <v>100</v>
      </c>
    </row>
  </sheetData>
  <autoFilter ref="A1:G1"/>
  <phoneticPr fontId="5"/>
  <conditionalFormatting sqref="K1:K2 K33:K1048576">
    <cfRule type="duplicateValues" dxfId="2" priority="3"/>
  </conditionalFormatting>
  <conditionalFormatting sqref="K3:K21">
    <cfRule type="duplicateValues" dxfId="1" priority="2"/>
  </conditionalFormatting>
  <conditionalFormatting sqref="K22:K3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3"/>
  <sheetViews>
    <sheetView workbookViewId="0">
      <selection activeCell="I18" sqref="I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11</v>
      </c>
      <c r="C2" s="68" t="str">
        <f>A2&amp; "_"&amp;B2</f>
        <v>13400_11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304</v>
      </c>
      <c r="G2" s="55">
        <v>123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</v>
      </c>
      <c r="Q2" s="55" t="s">
        <v>168</v>
      </c>
      <c r="R2" s="55" t="s">
        <v>169</v>
      </c>
    </row>
    <row r="3" spans="1:18" x14ac:dyDescent="0.15">
      <c r="A3" s="55">
        <v>13400</v>
      </c>
      <c r="B3" s="55">
        <v>11</v>
      </c>
      <c r="C3" s="68" t="str">
        <f t="shared" ref="C3:C10" si="0">A3&amp; "_"&amp;B3</f>
        <v>13400_11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304</v>
      </c>
      <c r="G3" s="55">
        <v>609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70</v>
      </c>
      <c r="Q3" s="55" t="s">
        <v>168</v>
      </c>
      <c r="R3" s="55" t="s">
        <v>169</v>
      </c>
    </row>
    <row r="4" spans="1:18" x14ac:dyDescent="0.15">
      <c r="A4" s="55">
        <v>13400</v>
      </c>
      <c r="B4" s="55">
        <v>11</v>
      </c>
      <c r="C4" s="68" t="str">
        <f t="shared" si="0"/>
        <v>13400_11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304</v>
      </c>
      <c r="G4" s="55">
        <v>613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190</v>
      </c>
      <c r="Q4" s="55" t="s">
        <v>168</v>
      </c>
      <c r="R4" s="55" t="s">
        <v>169</v>
      </c>
    </row>
    <row r="5" spans="1:18" x14ac:dyDescent="0.15">
      <c r="A5" s="55">
        <v>13400</v>
      </c>
      <c r="B5" s="55">
        <v>11</v>
      </c>
      <c r="C5" s="68" t="str">
        <f t="shared" si="0"/>
        <v>13400_11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304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10</v>
      </c>
      <c r="Q5" s="55" t="s">
        <v>168</v>
      </c>
      <c r="R5" s="55" t="s">
        <v>169</v>
      </c>
    </row>
    <row r="6" spans="1:18" x14ac:dyDescent="0.15">
      <c r="A6" s="55">
        <v>13400</v>
      </c>
      <c r="B6" s="55">
        <v>11</v>
      </c>
      <c r="C6" s="68" t="str">
        <f t="shared" si="0"/>
        <v>13400_11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304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40</v>
      </c>
      <c r="Q6" s="55" t="s">
        <v>168</v>
      </c>
      <c r="R6" s="55" t="s">
        <v>169</v>
      </c>
    </row>
    <row r="7" spans="1:18" x14ac:dyDescent="0.15">
      <c r="A7" s="55">
        <v>13400</v>
      </c>
      <c r="B7" s="55">
        <v>11</v>
      </c>
      <c r="C7" s="68" t="str">
        <f t="shared" si="0"/>
        <v>13400_11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305</v>
      </c>
      <c r="G7" s="55">
        <v>500</v>
      </c>
      <c r="H7" s="55" t="s">
        <v>167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490</v>
      </c>
      <c r="Q7" s="55" t="s">
        <v>168</v>
      </c>
      <c r="R7" s="55" t="s">
        <v>169</v>
      </c>
    </row>
    <row r="8" spans="1:18" x14ac:dyDescent="0.15">
      <c r="A8" s="55">
        <v>13400</v>
      </c>
      <c r="B8" s="55">
        <v>11</v>
      </c>
      <c r="C8" s="68" t="str">
        <f t="shared" si="0"/>
        <v>13400_11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304</v>
      </c>
      <c r="G8" s="55">
        <v>342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20</v>
      </c>
      <c r="Q8" s="55" t="s">
        <v>168</v>
      </c>
      <c r="R8" s="55" t="s">
        <v>169</v>
      </c>
    </row>
    <row r="9" spans="1:18" x14ac:dyDescent="0.15">
      <c r="A9" s="55">
        <v>13400</v>
      </c>
      <c r="B9" s="55">
        <v>11</v>
      </c>
      <c r="C9" s="68" t="str">
        <f t="shared" si="0"/>
        <v>13400_11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304</v>
      </c>
      <c r="G9" s="55">
        <v>343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110</v>
      </c>
      <c r="Q9" s="55" t="s">
        <v>168</v>
      </c>
      <c r="R9" s="55" t="s">
        <v>169</v>
      </c>
    </row>
    <row r="10" spans="1:18" x14ac:dyDescent="0.15">
      <c r="A10" s="55">
        <v>13400</v>
      </c>
      <c r="B10" s="55">
        <v>11</v>
      </c>
      <c r="C10" s="68" t="str">
        <f t="shared" si="0"/>
        <v>13400_11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5">
        <v>9</v>
      </c>
      <c r="F10" s="55" t="s">
        <v>304</v>
      </c>
      <c r="G10" s="55">
        <v>837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5" t="s">
        <v>168</v>
      </c>
      <c r="R10" s="55" t="s">
        <v>169</v>
      </c>
    </row>
    <row r="11" spans="1:18" x14ac:dyDescent="0.15">
      <c r="A11" s="55"/>
      <c r="B11" s="55"/>
      <c r="C11" s="68"/>
      <c r="D11" s="11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18" x14ac:dyDescent="0.15">
      <c r="A12" s="55"/>
      <c r="B12" s="55"/>
      <c r="C12" s="68"/>
      <c r="D12" s="11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15">
      <c r="A13" s="55"/>
      <c r="B13" s="55"/>
      <c r="C13" s="68"/>
      <c r="D13" s="11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</sheetData>
  <phoneticPr fontId="5"/>
  <dataValidations count="1">
    <dataValidation type="list" allowBlank="1" showInputMessage="1" showErrorMessage="1" sqref="F2:F1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N21" sqref="N21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187</v>
      </c>
      <c r="B1" s="70" t="s">
        <v>188</v>
      </c>
      <c r="C1" s="74" t="s">
        <v>189</v>
      </c>
      <c r="D1" s="74" t="s">
        <v>33</v>
      </c>
      <c r="E1" s="70" t="s">
        <v>190</v>
      </c>
      <c r="F1" s="74" t="s">
        <v>191</v>
      </c>
      <c r="G1" s="74" t="s">
        <v>33</v>
      </c>
      <c r="H1" s="70" t="s">
        <v>192</v>
      </c>
      <c r="I1" s="88" t="s">
        <v>194</v>
      </c>
      <c r="J1" s="76" t="s">
        <v>126</v>
      </c>
      <c r="K1" s="75" t="s">
        <v>185</v>
      </c>
      <c r="L1" s="89" t="s">
        <v>184</v>
      </c>
      <c r="M1" s="77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3"/>
  <sheetViews>
    <sheetView showGridLines="0" workbookViewId="0">
      <pane ySplit="1" topLeftCell="A2" activePane="bottomLeft" state="frozen"/>
      <selection pane="bottomLeft" activeCell="N21" sqref="N21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187</v>
      </c>
      <c r="B1" s="70" t="s">
        <v>149</v>
      </c>
      <c r="C1" s="74" t="s">
        <v>189</v>
      </c>
      <c r="D1" s="74" t="s">
        <v>33</v>
      </c>
      <c r="E1" s="70" t="s">
        <v>190</v>
      </c>
      <c r="F1" s="74" t="s">
        <v>18</v>
      </c>
      <c r="G1" s="74" t="s">
        <v>33</v>
      </c>
      <c r="H1" s="70" t="s">
        <v>192</v>
      </c>
      <c r="I1" s="86" t="s">
        <v>193</v>
      </c>
      <c r="J1" s="88" t="s">
        <v>194</v>
      </c>
      <c r="K1" s="76" t="s">
        <v>126</v>
      </c>
      <c r="L1" s="75" t="s">
        <v>185</v>
      </c>
      <c r="M1" s="89" t="s">
        <v>184</v>
      </c>
      <c r="N1" s="77" t="s">
        <v>195</v>
      </c>
      <c r="O1" s="89" t="s">
        <v>254</v>
      </c>
    </row>
    <row r="2" spans="1:15" ht="61" customHeight="1" x14ac:dyDescent="0.15">
      <c r="A2" s="78" t="s">
        <v>196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11階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2</v>
      </c>
      <c r="I2" s="87">
        <f>ROW()-1</f>
        <v>1</v>
      </c>
      <c r="J2" s="83" t="str">
        <f>B2&amp;TEXT(I2,"00")</f>
        <v>1340001</v>
      </c>
      <c r="K2" s="81" t="s">
        <v>197</v>
      </c>
      <c r="L2" s="84" t="s">
        <v>250</v>
      </c>
      <c r="M2" s="111" t="s">
        <v>302</v>
      </c>
      <c r="N2" s="55" t="s">
        <v>198</v>
      </c>
      <c r="O2" s="106" t="str">
        <f>"１２３４５６７８９０１２３４５６７８９０"&amp;M2</f>
        <v>１２３４５６７８９０１２３４５６７８９０3体いるF3は両脇から倒さないと_x000D_中央のF3ダメージが通りません_x000D_ターゲット指定をして倒しましょう</v>
      </c>
    </row>
    <row r="3" spans="1:15" ht="60" x14ac:dyDescent="0.15">
      <c r="A3" s="78" t="s">
        <v>196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11階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7">
        <f>ROW()-1</f>
        <v>2</v>
      </c>
      <c r="J3" s="83" t="str">
        <f>B3&amp;TEXT(I3,"00")</f>
        <v>1340002</v>
      </c>
      <c r="K3" s="81" t="s">
        <v>197</v>
      </c>
      <c r="L3" s="84" t="s">
        <v>250</v>
      </c>
      <c r="M3" s="111" t="s">
        <v>303</v>
      </c>
      <c r="N3" s="55" t="s">
        <v>198</v>
      </c>
      <c r="O3" s="106" t="str">
        <f>"１２３４５６７８９０１２３４５６７８９０"&amp;M3</f>
        <v>１２３４５６７８９０１２３４５６７８９０中央のF3は両側のF3どちらか1体が_x000D_倒されるとカウントが始まります_x000D_強力なので自爆する前に倒しましょう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3" sqref="A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210</v>
      </c>
      <c r="B1" s="92" t="s">
        <v>211</v>
      </c>
      <c r="C1" s="74" t="s">
        <v>212</v>
      </c>
      <c r="D1" s="74" t="s">
        <v>33</v>
      </c>
      <c r="E1" s="92" t="s">
        <v>213</v>
      </c>
      <c r="F1" s="74" t="s">
        <v>214</v>
      </c>
      <c r="G1" s="74" t="s">
        <v>33</v>
      </c>
      <c r="H1" s="92" t="s">
        <v>215</v>
      </c>
      <c r="I1" s="92" t="s">
        <v>216</v>
      </c>
      <c r="J1" s="92" t="s">
        <v>217</v>
      </c>
      <c r="K1" s="70" t="s">
        <v>218</v>
      </c>
      <c r="L1" s="70" t="s">
        <v>219</v>
      </c>
      <c r="M1" s="70" t="s">
        <v>155</v>
      </c>
      <c r="N1" s="74" t="s">
        <v>16</v>
      </c>
      <c r="O1" s="70" t="s">
        <v>220</v>
      </c>
      <c r="P1" s="70" t="s">
        <v>57</v>
      </c>
      <c r="Q1" s="70" t="s">
        <v>221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222</v>
      </c>
      <c r="X1" s="70" t="s">
        <v>223</v>
      </c>
    </row>
    <row r="2" spans="1:24" x14ac:dyDescent="0.15">
      <c r="A2" s="93" t="str">
        <f>B2&amp;"_"&amp;E2&amp;"_"&amp;H2&amp;"_"&amp;I2&amp;"_"&amp;J2</f>
        <v>13400_11_singleonly_clear_1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11階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306</v>
      </c>
      <c r="I2" s="81" t="s">
        <v>224</v>
      </c>
      <c r="J2" s="81">
        <v>1</v>
      </c>
      <c r="K2" s="81">
        <v>510</v>
      </c>
      <c r="L2" s="81" t="s">
        <v>307</v>
      </c>
      <c r="M2" s="81">
        <v>23000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225</v>
      </c>
      <c r="X2" s="96" t="s">
        <v>226</v>
      </c>
    </row>
    <row r="3" spans="1:24" x14ac:dyDescent="0.15">
      <c r="A3" s="93" t="str">
        <f>B3&amp;"_"&amp;E3&amp;"_"&amp;H3&amp;"_"&amp;I3&amp;"_"&amp;J3</f>
        <v>13400_11_singleonly_clear_2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11階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306</v>
      </c>
      <c r="I3" s="81" t="s">
        <v>224</v>
      </c>
      <c r="J3" s="81">
        <v>2</v>
      </c>
      <c r="K3" s="81">
        <v>490</v>
      </c>
      <c r="L3" s="81" t="s">
        <v>308</v>
      </c>
      <c r="M3" s="81">
        <v>58000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5" t="s">
        <v>225</v>
      </c>
      <c r="X3" s="96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2017-03-22T12:50:50Z</dcterms:modified>
</cp:coreProperties>
</file>