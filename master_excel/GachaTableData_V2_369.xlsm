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69010" sheetId="106" r:id="rId4"/>
    <sheet name="tables_369010" sheetId="82" r:id="rId5"/>
    <sheet name="input_369100" sheetId="140" r:id="rId6"/>
    <sheet name="tables_369100" sheetId="141" r:id="rId7"/>
    <sheet name="tables_settle_369100" sheetId="14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tables_369010!$A$1:$V$283</definedName>
    <definedName name="_xlnm._FilterDatabase" localSheetId="6" hidden="1">tables_369100!$A$1:$V$271</definedName>
    <definedName name="_xlnm._FilterDatabase" localSheetId="7" hidden="1">tables_settle_369100!$A$1:$V$2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46" l="1"/>
  <c r="A4" i="146"/>
  <c r="A5" i="146"/>
  <c r="A2" i="14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F6" i="106"/>
  <c r="E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9" i="106"/>
  <c r="B19" i="106"/>
  <c r="F5" i="106"/>
  <c r="E5" i="106"/>
  <c r="E24" i="106"/>
  <c r="B24" i="106"/>
  <c r="B17" i="106"/>
  <c r="E18" i="106"/>
  <c r="B18" i="106"/>
  <c r="A2" i="106"/>
  <c r="A36" i="106"/>
  <c r="E28" i="106"/>
  <c r="B28" i="106"/>
  <c r="G28" i="106"/>
  <c r="H28" i="106"/>
  <c r="O139" i="82"/>
  <c r="O141" i="82"/>
  <c r="O143" i="82"/>
  <c r="O145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R4" i="106"/>
  <c r="O43" i="82"/>
  <c r="R5" i="106"/>
  <c r="O44" i="82"/>
  <c r="R6" i="106"/>
  <c r="O45" i="82"/>
  <c r="R7" i="106"/>
  <c r="O46" i="82"/>
  <c r="R8" i="106"/>
  <c r="O47" i="82"/>
  <c r="R9" i="106"/>
  <c r="O48" i="82"/>
  <c r="R10" i="106"/>
  <c r="O49" i="82"/>
  <c r="R11" i="106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R12" i="106"/>
  <c r="O111" i="82"/>
  <c r="R13" i="106"/>
  <c r="O112" i="82"/>
  <c r="R14" i="106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O140" i="82"/>
  <c r="O142" i="82"/>
  <c r="O144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E26" i="106"/>
  <c r="B26" i="106"/>
  <c r="E29" i="106"/>
  <c r="B29" i="106"/>
  <c r="B23" i="106"/>
  <c r="B22" i="106"/>
  <c r="G22" i="106"/>
  <c r="H22" i="106"/>
  <c r="O256" i="82"/>
  <c r="G23" i="106"/>
  <c r="E23" i="106"/>
  <c r="H23" i="106"/>
  <c r="O257" i="82"/>
  <c r="O258" i="82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B45" i="106"/>
  <c r="B10" i="106"/>
  <c r="E25" i="106"/>
  <c r="B25" i="106"/>
  <c r="B32" i="106"/>
  <c r="B11" i="106"/>
  <c r="I44" i="141"/>
  <c r="D44" i="141"/>
  <c r="J44" i="141"/>
  <c r="E44" i="141"/>
  <c r="C44" i="141"/>
  <c r="Q4" i="140"/>
  <c r="I46" i="141"/>
  <c r="D46" i="141"/>
  <c r="J46" i="141"/>
  <c r="E46" i="141"/>
  <c r="C46" i="141"/>
  <c r="Q5" i="140"/>
  <c r="I47" i="141"/>
  <c r="D47" i="141"/>
  <c r="J47" i="141"/>
  <c r="E47" i="141"/>
  <c r="C47" i="141"/>
  <c r="Q6" i="140"/>
  <c r="I49" i="141"/>
  <c r="D49" i="141"/>
  <c r="J49" i="141"/>
  <c r="E49" i="141"/>
  <c r="C49" i="141"/>
  <c r="Q7" i="140"/>
  <c r="I50" i="141"/>
  <c r="D50" i="141"/>
  <c r="J50" i="141"/>
  <c r="E50" i="141"/>
  <c r="C50" i="141"/>
  <c r="Q8" i="140"/>
  <c r="I112" i="141"/>
  <c r="D112" i="141"/>
  <c r="J112" i="141"/>
  <c r="E112" i="141"/>
  <c r="C112" i="141"/>
  <c r="Q9" i="140"/>
  <c r="I113" i="141"/>
  <c r="D113" i="141"/>
  <c r="J113" i="141"/>
  <c r="E113" i="141"/>
  <c r="C113" i="141"/>
  <c r="Q10" i="140"/>
  <c r="Q11" i="140"/>
  <c r="Q12" i="140"/>
  <c r="Q13" i="140"/>
  <c r="Q14" i="140"/>
  <c r="Q15" i="140"/>
  <c r="Q16" i="140"/>
  <c r="Q17" i="140"/>
  <c r="Q18" i="140"/>
  <c r="Q19" i="140"/>
  <c r="Q20" i="140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5" i="141"/>
  <c r="D45" i="141"/>
  <c r="J45" i="141"/>
  <c r="E45" i="141"/>
  <c r="C45" i="141"/>
  <c r="I48" i="141"/>
  <c r="D48" i="141"/>
  <c r="J48" i="141"/>
  <c r="E48" i="141"/>
  <c r="C48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I284" i="141"/>
  <c r="D284" i="141"/>
  <c r="J284" i="141"/>
  <c r="E284" i="141"/>
  <c r="C284" i="141"/>
  <c r="I285" i="141"/>
  <c r="D285" i="141"/>
  <c r="J285" i="141"/>
  <c r="E285" i="141"/>
  <c r="C285" i="141"/>
  <c r="I286" i="141"/>
  <c r="D286" i="141"/>
  <c r="J286" i="141"/>
  <c r="E286" i="141"/>
  <c r="C286" i="141"/>
  <c r="I287" i="141"/>
  <c r="D287" i="141"/>
  <c r="J287" i="141"/>
  <c r="E287" i="141"/>
  <c r="C287" i="141"/>
  <c r="I288" i="141"/>
  <c r="D288" i="141"/>
  <c r="J288" i="141"/>
  <c r="E288" i="141"/>
  <c r="C288" i="141"/>
  <c r="I289" i="141"/>
  <c r="D289" i="141"/>
  <c r="J289" i="141"/>
  <c r="E289" i="141"/>
  <c r="C289" i="141"/>
  <c r="I290" i="141"/>
  <c r="D290" i="141"/>
  <c r="J290" i="141"/>
  <c r="E290" i="141"/>
  <c r="C290" i="141"/>
  <c r="I291" i="141"/>
  <c r="D291" i="141"/>
  <c r="J291" i="141"/>
  <c r="E291" i="141"/>
  <c r="C291" i="141"/>
  <c r="I292" i="141"/>
  <c r="D292" i="141"/>
  <c r="J292" i="141"/>
  <c r="E292" i="141"/>
  <c r="C292" i="141"/>
  <c r="I293" i="141"/>
  <c r="D293" i="141"/>
  <c r="J293" i="141"/>
  <c r="E293" i="141"/>
  <c r="C293" i="141"/>
  <c r="I294" i="141"/>
  <c r="D294" i="141"/>
  <c r="J294" i="141"/>
  <c r="E294" i="141"/>
  <c r="C294" i="141"/>
  <c r="Q3" i="140"/>
  <c r="E25" i="140"/>
  <c r="F5" i="140"/>
  <c r="E5" i="140"/>
  <c r="B25" i="140"/>
  <c r="B26" i="140"/>
  <c r="E24" i="140"/>
  <c r="B24" i="140"/>
  <c r="E29" i="140"/>
  <c r="B29" i="140"/>
  <c r="E27" i="140"/>
  <c r="B27" i="140"/>
  <c r="E28" i="140"/>
  <c r="B28" i="140"/>
  <c r="B11" i="140"/>
  <c r="A2" i="140"/>
  <c r="A284" i="141"/>
  <c r="F284" i="141"/>
  <c r="H284" i="141"/>
  <c r="K284" i="141"/>
  <c r="L284" i="141"/>
  <c r="M284" i="141"/>
  <c r="N284" i="141"/>
  <c r="F285" i="141"/>
  <c r="F286" i="141"/>
  <c r="F287" i="141"/>
  <c r="F288" i="141"/>
  <c r="F289" i="141"/>
  <c r="F290" i="141"/>
  <c r="F291" i="141"/>
  <c r="F292" i="141"/>
  <c r="F293" i="141"/>
  <c r="F294" i="141"/>
  <c r="F6" i="140"/>
  <c r="A36" i="140"/>
  <c r="G29" i="140"/>
  <c r="H29" i="140"/>
  <c r="O284" i="141"/>
  <c r="B10" i="140"/>
  <c r="E6" i="140"/>
  <c r="E19" i="140"/>
  <c r="B19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G25" i="140"/>
  <c r="H25" i="140"/>
  <c r="R3" i="140"/>
  <c r="O43" i="141"/>
  <c r="E26" i="140"/>
  <c r="G26" i="140"/>
  <c r="H26" i="140"/>
  <c r="R4" i="140"/>
  <c r="O44" i="141"/>
  <c r="O45" i="141"/>
  <c r="R5" i="140"/>
  <c r="O46" i="141"/>
  <c r="R6" i="140"/>
  <c r="O47" i="141"/>
  <c r="O48" i="141"/>
  <c r="R7" i="140"/>
  <c r="O49" i="141"/>
  <c r="R8" i="140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R9" i="140"/>
  <c r="O112" i="141"/>
  <c r="R10" i="140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G27" i="140"/>
  <c r="H27" i="140"/>
  <c r="O138" i="141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B23" i="140"/>
  <c r="B22" i="140"/>
  <c r="G22" i="140"/>
  <c r="H22" i="140"/>
  <c r="O256" i="141"/>
  <c r="G23" i="140"/>
  <c r="E23" i="140"/>
  <c r="H23" i="140"/>
  <c r="O257" i="141"/>
  <c r="O258" i="141"/>
  <c r="O259" i="141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O285" i="141"/>
  <c r="O286" i="141"/>
  <c r="O287" i="141"/>
  <c r="O288" i="141"/>
  <c r="O289" i="141"/>
  <c r="O290" i="141"/>
  <c r="O291" i="141"/>
  <c r="O292" i="141"/>
  <c r="O293" i="141"/>
  <c r="O294" i="141"/>
  <c r="P284" i="141"/>
  <c r="A285" i="141"/>
  <c r="H285" i="141"/>
  <c r="K285" i="141"/>
  <c r="L285" i="141"/>
  <c r="M285" i="141"/>
  <c r="N285" i="141"/>
  <c r="P285" i="141"/>
  <c r="A286" i="141"/>
  <c r="H286" i="141"/>
  <c r="K286" i="141"/>
  <c r="L286" i="141"/>
  <c r="M286" i="141"/>
  <c r="N286" i="141"/>
  <c r="P286" i="141"/>
  <c r="A287" i="141"/>
  <c r="H287" i="141"/>
  <c r="K287" i="141"/>
  <c r="L287" i="141"/>
  <c r="M287" i="141"/>
  <c r="N287" i="141"/>
  <c r="P287" i="141"/>
  <c r="A288" i="141"/>
  <c r="H288" i="141"/>
  <c r="K288" i="141"/>
  <c r="L288" i="141"/>
  <c r="M288" i="141"/>
  <c r="N288" i="141"/>
  <c r="P288" i="141"/>
  <c r="A289" i="141"/>
  <c r="H289" i="141"/>
  <c r="K289" i="141"/>
  <c r="L289" i="141"/>
  <c r="M289" i="141"/>
  <c r="N289" i="141"/>
  <c r="P289" i="141"/>
  <c r="A290" i="141"/>
  <c r="H290" i="141"/>
  <c r="K290" i="141"/>
  <c r="L290" i="141"/>
  <c r="M290" i="141"/>
  <c r="N290" i="141"/>
  <c r="P290" i="141"/>
  <c r="A291" i="141"/>
  <c r="H291" i="141"/>
  <c r="K291" i="141"/>
  <c r="L291" i="141"/>
  <c r="M291" i="141"/>
  <c r="N291" i="141"/>
  <c r="P291" i="141"/>
  <c r="A292" i="141"/>
  <c r="H292" i="141"/>
  <c r="K292" i="141"/>
  <c r="L292" i="141"/>
  <c r="M292" i="141"/>
  <c r="N292" i="141"/>
  <c r="P292" i="141"/>
  <c r="A293" i="141"/>
  <c r="H293" i="141"/>
  <c r="K293" i="141"/>
  <c r="L293" i="141"/>
  <c r="M293" i="141"/>
  <c r="N293" i="141"/>
  <c r="P293" i="141"/>
  <c r="A294" i="141"/>
  <c r="H294" i="141"/>
  <c r="K294" i="141"/>
  <c r="L294" i="141"/>
  <c r="M294" i="141"/>
  <c r="N294" i="141"/>
  <c r="P294" i="141"/>
  <c r="A283" i="141"/>
  <c r="A290" i="82"/>
  <c r="F290" i="82"/>
  <c r="H290" i="82"/>
  <c r="K290" i="82"/>
  <c r="L290" i="82"/>
  <c r="M290" i="82"/>
  <c r="N290" i="82"/>
  <c r="F291" i="82"/>
  <c r="F292" i="82"/>
  <c r="F293" i="82"/>
  <c r="F294" i="82"/>
  <c r="G24" i="106"/>
  <c r="H24" i="106"/>
  <c r="G25" i="106"/>
  <c r="H25" i="106"/>
  <c r="G26" i="106"/>
  <c r="H26" i="106"/>
  <c r="A291" i="82"/>
  <c r="H291" i="82"/>
  <c r="K291" i="82"/>
  <c r="L291" i="82"/>
  <c r="M291" i="82"/>
  <c r="N291" i="82"/>
  <c r="A292" i="82"/>
  <c r="H292" i="82"/>
  <c r="K292" i="82"/>
  <c r="L292" i="82"/>
  <c r="M292" i="82"/>
  <c r="N292" i="82"/>
  <c r="A293" i="82"/>
  <c r="H293" i="82"/>
  <c r="K293" i="82"/>
  <c r="L293" i="82"/>
  <c r="M293" i="82"/>
  <c r="N293" i="82"/>
  <c r="A294" i="82"/>
  <c r="H294" i="82"/>
  <c r="K294" i="82"/>
  <c r="L294" i="82"/>
  <c r="M294" i="82"/>
  <c r="N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A285" i="82"/>
  <c r="H285" i="82"/>
  <c r="K285" i="82"/>
  <c r="L285" i="82"/>
  <c r="M285" i="82"/>
  <c r="N285" i="82"/>
  <c r="A286" i="82"/>
  <c r="H286" i="82"/>
  <c r="K286" i="82"/>
  <c r="L286" i="82"/>
  <c r="M286" i="82"/>
  <c r="N286" i="82"/>
  <c r="A287" i="82"/>
  <c r="H287" i="82"/>
  <c r="K287" i="82"/>
  <c r="L287" i="82"/>
  <c r="M287" i="82"/>
  <c r="N287" i="82"/>
  <c r="A288" i="82"/>
  <c r="H288" i="82"/>
  <c r="K288" i="82"/>
  <c r="L288" i="82"/>
  <c r="M288" i="82"/>
  <c r="N288" i="82"/>
  <c r="A289" i="82"/>
  <c r="H289" i="82"/>
  <c r="K289" i="82"/>
  <c r="L289" i="82"/>
  <c r="M289" i="82"/>
  <c r="N289" i="82"/>
  <c r="P3" i="146"/>
  <c r="P4" i="146"/>
  <c r="P5" i="146"/>
  <c r="P2" i="146"/>
  <c r="P263" i="141"/>
  <c r="I3" i="146"/>
  <c r="D3" i="146"/>
  <c r="J3" i="146"/>
  <c r="E3" i="146"/>
  <c r="F3" i="146"/>
  <c r="C3" i="146"/>
  <c r="H3" i="146"/>
  <c r="K3" i="146"/>
  <c r="L3" i="146"/>
  <c r="M3" i="146"/>
  <c r="N3" i="146"/>
  <c r="I4" i="146"/>
  <c r="D4" i="146"/>
  <c r="J4" i="146"/>
  <c r="E4" i="146"/>
  <c r="F4" i="146"/>
  <c r="C4" i="146"/>
  <c r="H4" i="146"/>
  <c r="K4" i="146"/>
  <c r="L4" i="146"/>
  <c r="M4" i="146"/>
  <c r="N4" i="146"/>
  <c r="I5" i="146"/>
  <c r="D5" i="146"/>
  <c r="J5" i="146"/>
  <c r="E5" i="146"/>
  <c r="F5" i="146"/>
  <c r="C5" i="146"/>
  <c r="H5" i="146"/>
  <c r="K5" i="146"/>
  <c r="L5" i="146"/>
  <c r="M5" i="146"/>
  <c r="N5" i="146"/>
  <c r="I2" i="146"/>
  <c r="D2" i="146"/>
  <c r="J2" i="146"/>
  <c r="E2" i="146"/>
  <c r="F2" i="146"/>
  <c r="C2" i="146"/>
  <c r="N2" i="146"/>
  <c r="M2" i="146"/>
  <c r="L2" i="146"/>
  <c r="K2" i="146"/>
  <c r="H2" i="146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" i="141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P10" i="140"/>
  <c r="O10" i="140"/>
  <c r="M10" i="140"/>
  <c r="V9" i="140"/>
  <c r="P9" i="140"/>
  <c r="O9" i="140"/>
  <c r="M9" i="140"/>
  <c r="V8" i="140"/>
  <c r="P8" i="140"/>
  <c r="O8" i="140"/>
  <c r="M8" i="140"/>
  <c r="V7" i="140"/>
  <c r="P7" i="140"/>
  <c r="O7" i="140"/>
  <c r="M7" i="140"/>
  <c r="V6" i="140"/>
  <c r="P6" i="140"/>
  <c r="O6" i="140"/>
  <c r="M6" i="140"/>
  <c r="V5" i="140"/>
  <c r="P5" i="140"/>
  <c r="O5" i="140"/>
  <c r="M5" i="140"/>
  <c r="V4" i="140"/>
  <c r="P4" i="140"/>
  <c r="O4" i="140"/>
  <c r="M4" i="140"/>
  <c r="V3" i="140"/>
  <c r="P3" i="140"/>
  <c r="O3" i="140"/>
  <c r="M3" i="140"/>
  <c r="V2" i="140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5" i="106"/>
  <c r="H272" i="82"/>
  <c r="K272" i="82"/>
  <c r="L272" i="82"/>
  <c r="M272" i="82"/>
  <c r="N272" i="82"/>
  <c r="H273" i="82"/>
  <c r="K273" i="82"/>
  <c r="L273" i="82"/>
  <c r="M273" i="82"/>
  <c r="N273" i="82"/>
  <c r="H274" i="82"/>
  <c r="K274" i="82"/>
  <c r="L274" i="82"/>
  <c r="M274" i="82"/>
  <c r="N274" i="82"/>
  <c r="H275" i="82"/>
  <c r="K275" i="82"/>
  <c r="L275" i="82"/>
  <c r="M275" i="82"/>
  <c r="N275" i="82"/>
  <c r="H276" i="82"/>
  <c r="K276" i="82"/>
  <c r="L276" i="82"/>
  <c r="M276" i="82"/>
  <c r="N276" i="82"/>
  <c r="H277" i="82"/>
  <c r="K277" i="82"/>
  <c r="L277" i="82"/>
  <c r="M277" i="82"/>
  <c r="N277" i="82"/>
  <c r="H278" i="82"/>
  <c r="K278" i="82"/>
  <c r="L278" i="82"/>
  <c r="M278" i="82"/>
  <c r="N278" i="82"/>
  <c r="H279" i="82"/>
  <c r="K279" i="82"/>
  <c r="L279" i="82"/>
  <c r="M279" i="82"/>
  <c r="N279" i="82"/>
  <c r="H280" i="82"/>
  <c r="K280" i="82"/>
  <c r="L280" i="82"/>
  <c r="M280" i="82"/>
  <c r="N280" i="82"/>
  <c r="H281" i="82"/>
  <c r="K281" i="82"/>
  <c r="L281" i="82"/>
  <c r="M281" i="82"/>
  <c r="N281" i="82"/>
  <c r="H282" i="82"/>
  <c r="K282" i="82"/>
  <c r="L282" i="82"/>
  <c r="M282" i="82"/>
  <c r="N282" i="82"/>
  <c r="H283" i="82"/>
  <c r="K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V6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15" i="106"/>
  <c r="R16" i="106"/>
  <c r="R17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  <c r="R3" i="106"/>
  <c r="O42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F45" i="106"/>
  <c r="F47" i="106"/>
  <c r="F46" i="106"/>
  <c r="F48" i="106"/>
  <c r="F40" i="106"/>
  <c r="G40" i="106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<sst xmlns="http://schemas.openxmlformats.org/spreadsheetml/2006/main" count="522" uniqueCount="275">
  <si>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</si>
  <si>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</si>
  <si>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</si>
  <si>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</si>
  <si>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</si>
  <si>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</si>
  <si>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</si>
  <si>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</si>
  <si>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</si>
  <si>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</si>
  <si>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</si>
  <si>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</si>
  <si>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</si>
  <si>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</si>
  <si>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</si>
  <si>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</si>
  <si>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</si>
  <si>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</si>
  <si>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</si>
  <si>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</si>
  <si>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</si>
  <si>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</si>
  <si>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</si>
  <si>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</si>
  <si>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</si>
  <si>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</si>
  <si>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</si>
  <si>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</si>
  <si>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</si>
  <si>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</si>
  <si>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</si>
  <si>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</si>
  <si>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</si>
  <si>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</si>
  <si>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</si>
  <si>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</si>
  <si>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</si>
  <si>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</si>
  <si>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</si>
  <si>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weight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</si>
  <si>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</si>
  <si>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</si>
  <si>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</si>
  <si>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</si>
  <si>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</si>
  <si>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</si>
  <si>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</si>
  <si>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</si>
  <si>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</si>
  <si>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</si>
  <si>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</si>
  <si>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</si>
  <si>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</si>
  <si>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</si>
  <si>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</si>
  <si>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</si>
  <si>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</si>
  <si>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</si>
  <si>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</si>
  <si>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</si>
  <si>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</si>
  <si>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</si>
  <si>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</si>
  <si>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</si>
  <si>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</si>
  <si>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</si>
  <si>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</si>
  <si>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</si>
  <si>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</si>
  <si>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</si>
  <si>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</si>
  <si>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</si>
  <si>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</si>
  <si>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</si>
  <si>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</si>
  <si>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</si>
  <si>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</si>
  <si>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確率</t>
    <rPh sb="0" eb="2">
      <t>カクリツ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</si>
  <si>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</si>
  <si>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</si>
  <si>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</si>
  <si>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</si>
  <si>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</si>
  <si>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</si>
  <si>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</si>
  <si>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</si>
  <si>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</si>
  <si>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</si>
  <si>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</si>
  <si>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</si>
  <si>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</si>
  <si>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</si>
  <si>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</si>
  <si>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</si>
  <si>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</si>
  <si>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</si>
  <si>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</si>
  <si>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</si>
  <si>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</si>
  <si>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</si>
  <si>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</si>
  <si>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</si>
  <si>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</si>
  <si>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</si>
  <si>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</si>
  <si>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</si>
  <si>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</si>
  <si>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</si>
  <si>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</si>
  <si>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</si>
  <si>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</si>
  <si>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</si>
  <si>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PremiumSS4</t>
    <phoneticPr fontId="20"/>
  </si>
  <si>
    <t>PremiumSSS4</t>
    <phoneticPr fontId="20"/>
  </si>
  <si>
    <t>PremiumSS5</t>
    <phoneticPr fontId="20"/>
  </si>
  <si>
    <t>PremiumSSS5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</si>
  <si>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</si>
  <si>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</si>
  <si>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</si>
  <si>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</si>
  <si>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</si>
  <si>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</si>
  <si>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</si>
  <si>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</si>
  <si>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</si>
  <si>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</si>
  <si>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</si>
  <si>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</si>
  <si>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</si>
  <si>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</si>
  <si>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</si>
  <si>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</si>
  <si>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</si>
  <si>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</si>
  <si>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</si>
  <si>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</si>
  <si>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</si>
  <si>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</si>
  <si>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</si>
  <si>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</si>
  <si>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</si>
  <si>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</si>
  <si>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</si>
  <si>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</si>
  <si>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</si>
  <si>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</si>
  <si>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</si>
  <si>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</si>
  <si>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</si>
  <si>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</si>
  <si>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</si>
  <si>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</si>
  <si>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</si>
  <si>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</si>
  <si>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</si>
  <si>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</si>
  <si>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</si>
  <si>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</si>
  <si>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</si>
  <si>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</si>
  <si>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</si>
  <si>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</si>
  <si>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</si>
  <si>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</si>
  <si>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</si>
  <si>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</si>
  <si>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</si>
  <si>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</si>
  <si>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</si>
  <si>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</si>
  <si>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</si>
  <si>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</si>
  <si>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</si>
  <si>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</si>
  <si>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</si>
  <si>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</si>
  <si>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</si>
  <si>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</si>
  <si>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</si>
  <si>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</si>
  <si>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</si>
  <si>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</si>
  <si>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</si>
  <si>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</si>
  <si>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</si>
  <si>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</si>
  <si>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</si>
  <si>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</si>
  <si>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</si>
  <si>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</si>
  <si>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</si>
  <si>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</si>
  <si>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</si>
  <si>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</si>
  <si>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</si>
  <si>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</si>
  <si>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</si>
  <si>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</si>
  <si>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</si>
  <si>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</si>
  <si>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</si>
  <si>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</si>
  <si>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</si>
  <si>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</si>
  <si>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</si>
  <si>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</si>
  <si>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</si>
  <si>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</si>
  <si>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</si>
  <si>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</si>
  <si>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</si>
  <si>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</si>
  <si>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</si>
  <si>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</si>
  <si>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weight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</si>
  <si>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</si>
  <si>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</si>
  <si>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</si>
  <si>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</si>
  <si>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</si>
  <si>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</si>
  <si>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</si>
  <si>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</si>
  <si>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</si>
  <si>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</si>
  <si>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</si>
  <si>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</si>
  <si>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</si>
  <si>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</si>
  <si>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</si>
  <si>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</si>
  <si>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</si>
  <si>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</si>
  <si>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</si>
  <si>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</si>
  <si>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</si>
  <si>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</si>
  <si>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</si>
  <si>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</si>
  <si>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</si>
  <si>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</si>
  <si>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</si>
  <si>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</si>
  <si>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</si>
  <si>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</si>
  <si>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</si>
  <si>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</si>
  <si>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</si>
  <si>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リトルハンプティx1</t>
    <phoneticPr fontId="20"/>
  </si>
  <si>
    <t>bit</t>
    <phoneticPr fontId="20"/>
  </si>
  <si>
    <t>unit</t>
    <phoneticPr fontId="20"/>
  </si>
  <si>
    <t>unit</t>
    <phoneticPr fontId="20"/>
  </si>
  <si>
    <t>100万ビット</t>
    <phoneticPr fontId="20"/>
  </si>
  <si>
    <t>item</t>
    <phoneticPr fontId="20"/>
  </si>
  <si>
    <t>STEP1特典として
100万ビットをプレゼント！</t>
    <phoneticPr fontId="20"/>
  </si>
  <si>
    <t>368101</t>
    <phoneticPr fontId="20"/>
  </si>
  <si>
    <t>3681011</t>
    <phoneticPr fontId="20"/>
  </si>
  <si>
    <t>3681021</t>
    <phoneticPr fontId="20"/>
  </si>
  <si>
    <t>3681031</t>
    <phoneticPr fontId="20"/>
  </si>
  <si>
    <t>3681041</t>
    <phoneticPr fontId="20"/>
  </si>
  <si>
    <t>マスターキーx5</t>
    <phoneticPr fontId="20"/>
  </si>
  <si>
    <t>ギガ秘術の果実x1</t>
    <phoneticPr fontId="20"/>
  </si>
  <si>
    <t>1周年記念ステップアップガチャ特典</t>
    <rPh sb="15" eb="17">
      <t>トクテン</t>
    </rPh>
    <phoneticPr fontId="20"/>
  </si>
  <si>
    <t>368102</t>
    <phoneticPr fontId="20"/>
  </si>
  <si>
    <t>368103</t>
    <phoneticPr fontId="20"/>
  </si>
  <si>
    <t>368104</t>
    <phoneticPr fontId="20"/>
  </si>
  <si>
    <t>STEP2特典として
マスターキー5個をプレゼント！</t>
    <phoneticPr fontId="20"/>
  </si>
  <si>
    <t>STEP3特典として
ギガ秘術の果実1体をプレゼント！</t>
    <phoneticPr fontId="20"/>
  </si>
  <si>
    <t>STEP4特典として
リトルハンプティ1体をプレゼント！</t>
    <phoneticPr fontId="20"/>
  </si>
  <si>
    <t>通常確率+ピックアップ確率</t>
    <phoneticPr fontId="20"/>
  </si>
  <si>
    <t>skip</t>
    <phoneticPr fontId="20"/>
  </si>
  <si>
    <t>tables_settle_369100</t>
    <phoneticPr fontId="20"/>
  </si>
  <si>
    <t>tables_369100</t>
    <phoneticPr fontId="20"/>
  </si>
  <si>
    <t>old</t>
    <phoneticPr fontId="20"/>
  </si>
  <si>
    <t>tables_369010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</si>
</sst>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6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2" fillId="4" borderId="1" xfId="0" applyFont="1" applyFill="1" applyBorder="1" applyAlignment="1">
      <alignment vertical="center"/>
    </xf>
    <xf numFmtId="0" fontId="24" fillId="25" borderId="0" xfId="0" applyFont="1" applyFill="1" applyBorder="1" applyAlignment="1">
      <alignment horizontal="right" vertical="center"/>
    </xf>
    <xf numFmtId="10" fontId="57" fillId="32" borderId="1" xfId="0" applyNumberFormat="1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未定（R５アマラ）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未定（R５ローレンス）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ユークリッドチャレンジ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ユークリッドチャレンジ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ユークリッドチャレンジ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ユークリッドチャレンジ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ユークリッドチャレンジ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ユークリッドチャレンジ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ユークリッドチャレンジ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ユークリッドチャレンジ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ユークリッドチャレンジ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ユークリッドチャレンジ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222</v>
      </c>
      <c r="K40" s="85" t="s">
        <v>196</v>
      </c>
      <c r="M40" s="85" t="s">
        <v>247</v>
      </c>
    </row>
    <row r="41" spans="1:13" x14ac:dyDescent="0.15">
      <c r="J41" s="85" t="s">
        <v>223</v>
      </c>
      <c r="K41" s="85" t="s">
        <v>224</v>
      </c>
      <c r="M41" s="66" t="s">
        <v>191</v>
      </c>
    </row>
    <row r="42" spans="1:13" x14ac:dyDescent="0.15">
      <c r="J42" s="85" t="s">
        <v>225</v>
      </c>
      <c r="K42" s="85" t="s">
        <v>226</v>
      </c>
    </row>
    <row r="43" spans="1:13" x14ac:dyDescent="0.15">
      <c r="J43" s="85" t="s">
        <v>227</v>
      </c>
      <c r="K43" s="85" t="s">
        <v>228</v>
      </c>
    </row>
    <row r="44" spans="1:13" x14ac:dyDescent="0.15">
      <c r="J44" s="85" t="s">
        <v>229</v>
      </c>
      <c r="K44" s="85" t="s">
        <v>230</v>
      </c>
    </row>
    <row r="45" spans="1:13" x14ac:dyDescent="0.15">
      <c r="J45" s="85" t="s">
        <v>231</v>
      </c>
      <c r="K45" s="85" t="s">
        <v>232</v>
      </c>
    </row>
    <row r="46" spans="1:13" x14ac:dyDescent="0.15">
      <c r="J46" s="85" t="s">
        <v>233</v>
      </c>
      <c r="K46" s="85" t="s">
        <v>234</v>
      </c>
    </row>
    <row r="47" spans="1:13" x14ac:dyDescent="0.15">
      <c r="J47" s="85" t="s">
        <v>235</v>
      </c>
      <c r="K47" s="85" t="s">
        <v>239</v>
      </c>
    </row>
    <row r="48" spans="1:13" x14ac:dyDescent="0.15">
      <c r="J48" s="85" t="s">
        <v>236</v>
      </c>
      <c r="K48" s="85" t="s">
        <v>240</v>
      </c>
    </row>
    <row r="49" spans="10:11" x14ac:dyDescent="0.15">
      <c r="J49" s="85" t="s">
        <v>237</v>
      </c>
      <c r="K49" s="85" t="s">
        <v>241</v>
      </c>
    </row>
    <row r="50" spans="10:11" x14ac:dyDescent="0.15">
      <c r="J50" s="85" t="s">
        <v>238</v>
      </c>
      <c r="K50" s="85" t="s">
        <v>242</v>
      </c>
    </row>
    <row r="51" spans="10:11" x14ac:dyDescent="0.15">
      <c r="J51" s="85" t="s">
        <v>244</v>
      </c>
      <c r="K51" s="85" t="s">
        <v>243</v>
      </c>
    </row>
    <row r="52" spans="10:11" x14ac:dyDescent="0.15">
      <c r="J52" s="85" t="s">
        <v>245</v>
      </c>
      <c r="K52" s="85" t="s">
        <v>246</v>
      </c>
    </row>
    <row r="53" spans="10:11" x14ac:dyDescent="0.15">
      <c r="J53" s="8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F27" sqref="F2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273</v>
      </c>
      <c r="B2" s="61" t="s">
        <v>116</v>
      </c>
      <c r="C2" s="50" t="str">
        <f t="shared" ref="C2:C4" si="0">RIGHT(F2,6)</f>
        <v>369010</v>
      </c>
      <c r="D2" s="19" t="s">
        <v>46</v>
      </c>
      <c r="E2" s="17" t="str">
        <f t="shared" ref="E2:E7" si="1">B2&amp;C2&amp;D2</f>
        <v>gacha_select_tables_369010.tmp</v>
      </c>
      <c r="F2" s="95" t="s">
        <v>274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273</v>
      </c>
      <c r="B3" s="79" t="s">
        <v>220</v>
      </c>
      <c r="C3" s="50" t="str">
        <f t="shared" si="0"/>
        <v>369100</v>
      </c>
      <c r="D3" s="19" t="s">
        <v>46</v>
      </c>
      <c r="E3" s="17" t="str">
        <f t="shared" ref="E3:E4" si="2">B3&amp;C3&amp;D3</f>
        <v>gacha_settle_tables_369100.tmp</v>
      </c>
      <c r="F3" s="93" t="s">
        <v>271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273</v>
      </c>
      <c r="B4" s="61" t="s">
        <v>116</v>
      </c>
      <c r="C4" s="50" t="str">
        <f t="shared" si="0"/>
        <v>369100</v>
      </c>
      <c r="D4" s="19" t="s">
        <v>46</v>
      </c>
      <c r="E4" s="17" t="str">
        <f t="shared" si="2"/>
        <v>gacha_select_tables_369100.tmp</v>
      </c>
      <c r="F4" s="93" t="s">
        <v>272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2" t="s">
        <v>270</v>
      </c>
      <c r="B5" s="27" t="s">
        <v>51</v>
      </c>
      <c r="C5" s="32">
        <v>368</v>
      </c>
      <c r="D5" s="19" t="s">
        <v>47</v>
      </c>
      <c r="E5" s="17" t="str">
        <f t="shared" si="1"/>
        <v>gacha_bonus_tables_368.tmp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2" t="s">
        <v>270</v>
      </c>
      <c r="B6" s="19" t="s">
        <v>49</v>
      </c>
      <c r="C6" s="32">
        <v>368</v>
      </c>
      <c r="D6" s="19" t="s">
        <v>47</v>
      </c>
      <c r="E6" s="17" t="str">
        <f t="shared" si="1"/>
        <v>gifts_tmp_368.tmp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2" t="s">
        <v>270</v>
      </c>
      <c r="B7" s="19" t="s">
        <v>50</v>
      </c>
      <c r="C7" s="32">
        <v>368</v>
      </c>
      <c r="D7" s="19" t="s">
        <v>47</v>
      </c>
      <c r="E7" s="17" t="str">
        <f t="shared" si="1"/>
        <v>gifts_i18n_368.tmp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L25" sqref="L2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369010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166</v>
      </c>
      <c r="M3" s="37" t="str">
        <f>VLOOKUP(L3,[1]characters!$A:$C,3,FALSE)</f>
        <v>ベリアル</v>
      </c>
      <c r="N3" s="63">
        <v>5.0000000000000001E-3</v>
      </c>
      <c r="O3" s="37">
        <f>VLOOKUP(L3,[1]characters!$A:$I,9,FALSE)</f>
        <v>3</v>
      </c>
      <c r="P3" s="37" t="str">
        <f>VLOOKUP(L3,[1]characters!$A:$J,10,FALSE)</f>
        <v>PremiumN</v>
      </c>
      <c r="Q3" s="37" t="str">
        <f>VLOOKUP(L3,tables_369010!B:C,2,FALSE)</f>
        <v>Premium3R6release</v>
      </c>
      <c r="R3" s="62">
        <f t="shared" ref="R3:R20" si="0">N3*A$36</f>
        <v>21060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167</v>
      </c>
      <c r="M4" s="37" t="str">
        <f>VLOOKUP(L4,[1]characters!$A:$C,3,FALSE)</f>
        <v>逆徒 ベリアル</v>
      </c>
      <c r="N4" s="63">
        <v>0.01</v>
      </c>
      <c r="O4" s="37">
        <f>VLOOKUP(L4,[1]characters!$A:$I,9,FALSE)</f>
        <v>4</v>
      </c>
      <c r="P4" s="37" t="str">
        <f>VLOOKUP(L4,[1]characters!$A:$J,10,FALSE)</f>
        <v>PremiumN</v>
      </c>
      <c r="Q4" s="37" t="str">
        <f>VLOOKUP(L4,tables_369010!B:C,2,FALSE)</f>
        <v>Premium4R6release</v>
      </c>
      <c r="R4" s="62">
        <f t="shared" si="0"/>
        <v>42120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7.6923076923076923E-4</v>
      </c>
      <c r="F5">
        <f>(COUNTIF(tables_369010!C:C,input_369010!A26)+COUNTIF(tables_369010!C:C,input_369010!A28)+COUNTIF(tables_369010!C:C,input_369010!A29))</f>
        <v>43</v>
      </c>
      <c r="H5" s="86">
        <v>0.1</v>
      </c>
      <c r="I5" s="31">
        <v>4</v>
      </c>
      <c r="L5" s="60">
        <v>168</v>
      </c>
      <c r="M5" s="37" t="str">
        <f>VLOOKUP(L5,[1]characters!$A:$C,3,FALSE)</f>
        <v>猛進の大逆者 ベリアル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PremiumN</v>
      </c>
      <c r="Q5" s="37" t="str">
        <f>VLOOKUP(L5,tables_369010!B:C,2,FALSE)</f>
        <v>Premium5R6release</v>
      </c>
      <c r="R5" s="62">
        <f>N5*A$36</f>
        <v>42120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1.074074074074074E-2</v>
      </c>
      <c r="F6">
        <f>(COUNTIF(tables_369010!C:C,input_369010!A18)+COUNTIF(tables_369010!C:C,input_369010!A20)+COUNTIF(tables_369010!C:C,input_369010!A22))</f>
        <v>81</v>
      </c>
      <c r="H6" s="74">
        <v>0</v>
      </c>
      <c r="I6" s="31">
        <v>0</v>
      </c>
      <c r="L6" s="90">
        <v>169</v>
      </c>
      <c r="M6" s="37" t="str">
        <f>VLOOKUP(L6,[1]characters!$A:$C,3,FALSE)</f>
        <v>オセ</v>
      </c>
      <c r="N6" s="63">
        <v>5.0000000000000001E-3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VLOOKUP(L6,tables_369010!B:C,2,FALSE)</f>
        <v>Premium3R6release</v>
      </c>
      <c r="R6" s="62">
        <f t="shared" si="0"/>
        <v>21060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L7" s="90">
        <v>170</v>
      </c>
      <c r="M7" s="37" t="str">
        <f>VLOOKUP(L7,[1]characters!$A:$C,3,FALSE)</f>
        <v>識徒 オセ</v>
      </c>
      <c r="N7" s="63">
        <v>0.01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VLOOKUP(L7,tables_369010!B:C,2,FALSE)</f>
        <v>Premium4R6release</v>
      </c>
      <c r="R7" s="62">
        <f t="shared" si="0"/>
        <v>42120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L8" s="90">
        <v>171</v>
      </c>
      <c r="M8" s="37" t="str">
        <f>VLOOKUP(L8,[1]characters!$A:$C,3,FALSE)</f>
        <v>精解の預知者 オセ</v>
      </c>
      <c r="N8" s="63">
        <v>0.01</v>
      </c>
      <c r="O8" s="37">
        <f>VLOOKUP(L8,[1]characters!$A:$I,9,FALSE)</f>
        <v>5</v>
      </c>
      <c r="P8" s="37" t="str">
        <f>VLOOKUP(L8,[1]characters!$A:$J,10,FALSE)</f>
        <v>PremiumN</v>
      </c>
      <c r="Q8" s="37" t="str">
        <f>VLOOKUP(L8,tables_369010!B:C,2,FALSE)</f>
        <v>Premium5R6release</v>
      </c>
      <c r="R8" s="62">
        <f t="shared" si="0"/>
        <v>42120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L9" s="90">
        <v>172</v>
      </c>
      <c r="M9" s="37" t="str">
        <f>VLOOKUP(L9,[1]characters!$A:$C,3,FALSE)</f>
        <v>フォルネウス</v>
      </c>
      <c r="N9" s="63">
        <v>5.0000000000000001E-3</v>
      </c>
      <c r="O9" s="37">
        <f>VLOOKUP(L9,[1]characters!$A:$I,9,FALSE)</f>
        <v>3</v>
      </c>
      <c r="P9" s="37" t="str">
        <f>VLOOKUP(L9,[1]characters!$A:$J,10,FALSE)</f>
        <v>PremiumN</v>
      </c>
      <c r="Q9" s="37" t="str">
        <f>VLOOKUP(L9,tables_369010!B:C,2,FALSE)</f>
        <v>Premium3R6release</v>
      </c>
      <c r="R9" s="62">
        <f t="shared" si="0"/>
        <v>21060</v>
      </c>
      <c r="S9">
        <v>390</v>
      </c>
      <c r="U9" s="33" t="s">
        <v>199</v>
      </c>
      <c r="V9" s="54">
        <f t="shared" si="1"/>
        <v>0.02</v>
      </c>
    </row>
    <row r="10" spans="1:22" x14ac:dyDescent="0.15">
      <c r="A10" s="33" t="s">
        <v>98</v>
      </c>
      <c r="B10" s="72">
        <f>1-B11</f>
        <v>0.87</v>
      </c>
      <c r="C10" t="s">
        <v>215</v>
      </c>
      <c r="L10" s="90">
        <v>173</v>
      </c>
      <c r="M10" s="37" t="str">
        <f>VLOOKUP(L10,[1]characters!$A:$C,3,FALSE)</f>
        <v>公爵 フォルネウス</v>
      </c>
      <c r="N10" s="63">
        <v>0.01</v>
      </c>
      <c r="O10" s="37">
        <f>VLOOKUP(L10,[1]characters!$A:$I,9,FALSE)</f>
        <v>4</v>
      </c>
      <c r="P10" s="37" t="str">
        <f>VLOOKUP(L10,[1]characters!$A:$J,10,FALSE)</f>
        <v>PremiumN</v>
      </c>
      <c r="Q10" s="37" t="str">
        <f>VLOOKUP(L10,tables_369010!B:C,2,FALSE)</f>
        <v>Premium4R6release</v>
      </c>
      <c r="R10" s="62">
        <f t="shared" si="0"/>
        <v>42120</v>
      </c>
      <c r="S10">
        <v>391</v>
      </c>
      <c r="U10" s="33" t="s">
        <v>200</v>
      </c>
      <c r="V10" s="54">
        <f t="shared" si="1"/>
        <v>0.04</v>
      </c>
    </row>
    <row r="11" spans="1:22" x14ac:dyDescent="0.15">
      <c r="A11" s="33" t="s">
        <v>57</v>
      </c>
      <c r="B11" s="91">
        <f>3%+H5</f>
        <v>0.13</v>
      </c>
      <c r="C11" t="s">
        <v>269</v>
      </c>
      <c r="L11" s="90">
        <v>174</v>
      </c>
      <c r="M11" s="37" t="str">
        <f>VLOOKUP(L11,[1]characters!$A:$C,3,FALSE)</f>
        <v>偽愛の大公爵 フォルネウス</v>
      </c>
      <c r="N11" s="63">
        <v>0.01</v>
      </c>
      <c r="O11" s="37">
        <f>VLOOKUP(L11,[1]characters!$A:$I,9,FALSE)</f>
        <v>5</v>
      </c>
      <c r="P11" s="37" t="str">
        <f>VLOOKUP(L11,[1]characters!$A:$J,10,FALSE)</f>
        <v>PremiumN</v>
      </c>
      <c r="Q11" s="37" t="str">
        <f>VLOOKUP(L11,tables_369010!B:C,2,FALSE)</f>
        <v>Premium5R6release</v>
      </c>
      <c r="R11" s="62">
        <f t="shared" si="0"/>
        <v>42120</v>
      </c>
      <c r="S11">
        <v>811</v>
      </c>
      <c r="U11" s="33" t="s">
        <v>201</v>
      </c>
      <c r="V11" s="54">
        <f t="shared" si="1"/>
        <v>0.04</v>
      </c>
    </row>
    <row r="12" spans="1:22" x14ac:dyDescent="0.15">
      <c r="A12" s="33" t="s">
        <v>56</v>
      </c>
      <c r="B12" s="72">
        <v>0</v>
      </c>
      <c r="L12" s="90">
        <v>235</v>
      </c>
      <c r="M12" s="37" t="str">
        <f>VLOOKUP(L12,[1]characters!$A:$C,3,FALSE)</f>
        <v>イザナミ</v>
      </c>
      <c r="N12" s="63">
        <v>5.0000000000000001E-3</v>
      </c>
      <c r="O12" s="37">
        <f>VLOOKUP(L12,[1]characters!$A:$I,9,FALSE)</f>
        <v>3</v>
      </c>
      <c r="P12" s="37" t="str">
        <f>VLOOKUP(L12,[1]characters!$A:$J,10,FALSE)</f>
        <v>PremiumS</v>
      </c>
      <c r="Q12" s="37" t="str">
        <f>VLOOKUP(L12,tables_369010!B:C,2,FALSE)</f>
        <v>Premium3R6release</v>
      </c>
      <c r="R12" s="62">
        <f t="shared" si="0"/>
        <v>21060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L13" s="90">
        <v>236</v>
      </c>
      <c r="M13" s="37" t="str">
        <f>VLOOKUP(L13,[1]characters!$A:$C,3,FALSE)</f>
        <v>神産 イザナミ</v>
      </c>
      <c r="N13" s="63">
        <v>0.01</v>
      </c>
      <c r="O13" s="37">
        <f>VLOOKUP(L13,[1]characters!$A:$I,9,FALSE)</f>
        <v>4</v>
      </c>
      <c r="P13" s="37" t="str">
        <f>VLOOKUP(L13,[1]characters!$A:$J,10,FALSE)</f>
        <v>PremiumS</v>
      </c>
      <c r="Q13" s="37" t="str">
        <f>VLOOKUP(L13,tables_369010!B:C,2,FALSE)</f>
        <v>Premium4R6release</v>
      </c>
      <c r="R13" s="62">
        <f t="shared" si="0"/>
        <v>42120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L14" s="90">
        <v>237</v>
      </c>
      <c r="M14" s="37" t="str">
        <f>VLOOKUP(L14,[1]characters!$A:$C,3,FALSE)</f>
        <v>森羅万象の神母 イザナミ</v>
      </c>
      <c r="N14" s="63">
        <v>0.01</v>
      </c>
      <c r="O14" s="37">
        <f>VLOOKUP(L14,[1]characters!$A:$I,9,FALSE)</f>
        <v>5</v>
      </c>
      <c r="P14" s="37" t="str">
        <f>VLOOKUP(L14,[1]characters!$A:$J,10,FALSE)</f>
        <v>PremiumS</v>
      </c>
      <c r="Q14" s="37" t="str">
        <f>VLOOKUP(L14,tables_369010!B:C,2,FALSE)</f>
        <v>Premium5R6release</v>
      </c>
      <c r="R14" s="62">
        <f t="shared" si="0"/>
        <v>42120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VLOOKUP(L15,tables_369010!B:C,2,FALSE)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VLOOKUP(L16,tables_369010!B:C,2,FALSE)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4">
        <f>B5*0.95-B19-B24</f>
        <v>0.19574074074074072</v>
      </c>
      <c r="C17" s="87">
        <f t="shared" ref="C17:C29" si="2">SUMIF(Q:Q,A17,N:N)</f>
        <v>0</v>
      </c>
      <c r="D17" s="76">
        <f t="shared" ref="D17:D26" si="3">B17-C17</f>
        <v>0.19574074074074072</v>
      </c>
      <c r="E17">
        <f>COUNTIF(tables_369010!C:C,input_369010!A17)-COUNTIF(Q:Q,A17)</f>
        <v>20</v>
      </c>
      <c r="F17" s="43">
        <f>IFERROR(B17/E17,0)</f>
        <v>9.7870370370370351E-3</v>
      </c>
      <c r="G17">
        <f>A$36*B17</f>
        <v>824459.99999999988</v>
      </c>
      <c r="H17">
        <f t="shared" ref="H17:H26" si="4">IFERROR(ROUND(G17/E17,5),0)</f>
        <v>41223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VLOOKUP(L17,tables_369010!B:C,2,FALSE)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1.9074074074074077E-2</v>
      </c>
      <c r="C18" s="87">
        <f t="shared" si="2"/>
        <v>0</v>
      </c>
      <c r="D18" s="76">
        <f t="shared" si="3"/>
        <v>1.9074074074074077E-2</v>
      </c>
      <c r="E18">
        <f>COUNTIF(tables_369010!C:C,input_369010!A18)-COUNTIF(Q:Q,A18)</f>
        <v>20</v>
      </c>
      <c r="F18" s="43">
        <f t="shared" ref="F18:F31" si="7">IFERROR(B18/E18,0)</f>
        <v>9.5370370370370379E-4</v>
      </c>
      <c r="G18">
        <f t="shared" ref="G18:G31" si="8">A$36*B18</f>
        <v>80340.000000000015</v>
      </c>
      <c r="H18">
        <f t="shared" si="4"/>
        <v>4017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VLOOKUP(L18,tables_369010!B:C,2,FALSE)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0.27925925925925926</v>
      </c>
      <c r="C19" s="87">
        <f t="shared" si="2"/>
        <v>0</v>
      </c>
      <c r="D19" s="76">
        <f t="shared" si="3"/>
        <v>0.27925925925925926</v>
      </c>
      <c r="E19">
        <f>COUNTIF(tables_369010!C:C,input_369010!A19)-COUNTIF(Q:Q,A19)</f>
        <v>52</v>
      </c>
      <c r="F19" s="43">
        <f t="shared" si="7"/>
        <v>5.3703703703703708E-3</v>
      </c>
      <c r="G19">
        <f t="shared" si="8"/>
        <v>1176240</v>
      </c>
      <c r="H19">
        <f t="shared" si="4"/>
        <v>22620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VLOOKUP(L19,tables_369010!B:C,2,FALSE)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0.25133333333333335</v>
      </c>
      <c r="C20" s="87">
        <f t="shared" si="2"/>
        <v>0</v>
      </c>
      <c r="D20" s="76">
        <f t="shared" si="3"/>
        <v>0.25133333333333335</v>
      </c>
      <c r="E20">
        <f>COUNTIF(tables_369010!C:C,input_369010!A20)-COUNTIF(Q:Q,A20)</f>
        <v>52</v>
      </c>
      <c r="F20" s="43">
        <f t="shared" si="7"/>
        <v>4.8333333333333336E-3</v>
      </c>
      <c r="G20">
        <f t="shared" si="8"/>
        <v>1058616</v>
      </c>
      <c r="H20">
        <f t="shared" si="4"/>
        <v>20358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VLOOKUP(L20,tables_369010!B:C,2,FALSE)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2.7925925925925927E-2</v>
      </c>
      <c r="C21" s="87">
        <f t="shared" si="2"/>
        <v>0</v>
      </c>
      <c r="D21" s="76">
        <f t="shared" si="3"/>
        <v>2.7925925925925927E-2</v>
      </c>
      <c r="E21">
        <f>COUNTIF(tables_369010!C:C,input_369010!A21)-COUNTIF(Q:Q,A21)</f>
        <v>52</v>
      </c>
      <c r="F21" s="43">
        <f t="shared" si="7"/>
        <v>5.3703703703703704E-4</v>
      </c>
      <c r="G21">
        <f t="shared" si="8"/>
        <v>117624</v>
      </c>
      <c r="H21">
        <f t="shared" si="4"/>
        <v>2262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8.4131054131054123E-2</v>
      </c>
      <c r="C22" s="87">
        <f t="shared" si="2"/>
        <v>0</v>
      </c>
      <c r="D22" s="76">
        <f t="shared" si="3"/>
        <v>8.4131054131054123E-2</v>
      </c>
      <c r="E22">
        <f>COUNTIF(tables_369010!C:C,input_369010!A22)-COUNTIF(Q:Q,A22)</f>
        <v>9</v>
      </c>
      <c r="F22" s="43">
        <f t="shared" si="7"/>
        <v>9.3478949034504575E-3</v>
      </c>
      <c r="G22">
        <f t="shared" si="8"/>
        <v>354359.99999999994</v>
      </c>
      <c r="H22">
        <f t="shared" si="4"/>
        <v>39373.333330000001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1.2535612535612538E-2</v>
      </c>
      <c r="C23" s="87">
        <f t="shared" si="2"/>
        <v>0</v>
      </c>
      <c r="D23" s="76">
        <f t="shared" si="3"/>
        <v>1.2535612535612538E-2</v>
      </c>
      <c r="E23">
        <f>COUNTIF(tables_369010!C:C,input_369010!A23)-COUNTIF(Q:Q,A23)</f>
        <v>9</v>
      </c>
      <c r="F23" s="43">
        <f t="shared" si="7"/>
        <v>1.392845837290282E-3</v>
      </c>
      <c r="G23">
        <f t="shared" si="8"/>
        <v>52800.000000000015</v>
      </c>
      <c r="H23">
        <f t="shared" si="4"/>
        <v>5866.6666699999996</v>
      </c>
      <c r="I23">
        <f t="shared" si="5"/>
        <v>0.66666999999961263</v>
      </c>
      <c r="J23">
        <f t="shared" si="6"/>
        <v>1.4999925000383714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87">
        <f t="shared" si="2"/>
        <v>0.02</v>
      </c>
      <c r="D24" s="76">
        <f t="shared" si="3"/>
        <v>-0.02</v>
      </c>
      <c r="E24">
        <f>COUNTIF(tables_369010!C:C,input_369010!A24)-COUNTIF(Q:Q,A24)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87">
        <f t="shared" si="2"/>
        <v>0.04</v>
      </c>
      <c r="D25" s="76">
        <f t="shared" si="3"/>
        <v>-0.04</v>
      </c>
      <c r="E25">
        <f>COUNTIF(tables_369010!C:C,input_369010!A25)-COUNTIF(Q:Q,A25)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0</v>
      </c>
      <c r="C26" s="87">
        <f t="shared" si="2"/>
        <v>0.04</v>
      </c>
      <c r="D26" s="76">
        <f t="shared" si="3"/>
        <v>-0.04</v>
      </c>
      <c r="E26">
        <f>COUNTIF(tables_369010!C:C,input_369010!A26)-COUNTIF(Q:Q,A26)</f>
        <v>0</v>
      </c>
      <c r="F26" s="43">
        <f t="shared" si="7"/>
        <v>0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2.0461538461538458E-2</v>
      </c>
      <c r="C27" s="87">
        <f t="shared" si="2"/>
        <v>0</v>
      </c>
      <c r="D27" s="76">
        <f t="shared" ref="D27:D29" si="9">B27-C27</f>
        <v>2.0461538461538458E-2</v>
      </c>
      <c r="E27">
        <f>COUNTIF(tables_369010!C:C,input_369010!A27)-COUNTIF(Q:Q,A27)</f>
        <v>28</v>
      </c>
      <c r="F27" s="43">
        <f>IFERROR(B27/E27,0)</f>
        <v>7.3076923076923069E-4</v>
      </c>
      <c r="G27">
        <f t="shared" si="8"/>
        <v>86183.999999999985</v>
      </c>
      <c r="H27">
        <f t="shared" ref="H27:H29" si="10">IFERROR(ROUND(G27/E27,5),0)</f>
        <v>3078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1.0769230769230769E-3</v>
      </c>
      <c r="C28" s="87">
        <f t="shared" si="2"/>
        <v>0</v>
      </c>
      <c r="D28" s="76">
        <f t="shared" si="9"/>
        <v>1.0769230769230769E-3</v>
      </c>
      <c r="E28">
        <f>COUNTIF(tables_369010!C:C,input_369010!A28)-COUNTIF(Q:Q,A28)</f>
        <v>28</v>
      </c>
      <c r="F28" s="43">
        <f t="shared" si="7"/>
        <v>3.8461538461538463E-5</v>
      </c>
      <c r="G28">
        <f t="shared" si="8"/>
        <v>4536</v>
      </c>
      <c r="H28">
        <f t="shared" si="10"/>
        <v>162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8.4615384615384613E-3</v>
      </c>
      <c r="C29" s="87">
        <f t="shared" si="2"/>
        <v>0</v>
      </c>
      <c r="D29" s="76">
        <f t="shared" si="9"/>
        <v>8.4615384615384613E-3</v>
      </c>
      <c r="E29">
        <f>COUNTIF(tables_369010!C:C,input_369010!A29)-COUNTIF(Q:Q,A29)</f>
        <v>11</v>
      </c>
      <c r="F29" s="43">
        <f t="shared" si="7"/>
        <v>7.6923076923076923E-4</v>
      </c>
      <c r="G29">
        <f t="shared" si="8"/>
        <v>35640</v>
      </c>
      <c r="H29">
        <f t="shared" si="10"/>
        <v>3240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7">
        <f>SUMIF(Q:Q,A30,N:N)</f>
        <v>0</v>
      </c>
      <c r="D30" s="76">
        <f t="shared" ref="D30:D31" si="12">B30-C30</f>
        <v>0</v>
      </c>
      <c r="E30">
        <f>COUNTIF(tables_369010!C:C,input_369010!A30)-COUNTIF(Q:Q,A30)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7">
        <f>SUMIF(Q:Q,A31,N:N)</f>
        <v>0</v>
      </c>
      <c r="D31" s="76">
        <f t="shared" si="12"/>
        <v>0</v>
      </c>
      <c r="E31">
        <f>COUNTIF(tables_369010!C:C,input_369010!A31)-COUNTIF(Q:Q,A31)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0.89999999999999991</v>
      </c>
      <c r="C32" s="41">
        <f>SUM(C19:C31)</f>
        <v>0.1</v>
      </c>
      <c r="D32" s="42">
        <f t="shared" ref="D32" si="15">B32-C32</f>
        <v>0.79999999999999993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4212000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SUMIF(tables_369010!C:C,input_369010!A40,tables_369010!O:O)</f>
        <v>1176240</v>
      </c>
      <c r="C40" s="54">
        <f t="shared" ref="C40:C46" ca="1" si="16">B40/B$47</f>
        <v>0.48143418467583499</v>
      </c>
      <c r="E40">
        <v>3</v>
      </c>
      <c r="F40">
        <f ca="1">SUMIF(tables_369010!J:J,input_369010!E40,tables_369010!O:O)</f>
        <v>2084940</v>
      </c>
      <c r="G40">
        <f ca="1">F40/A36</f>
        <v>0.495</v>
      </c>
    </row>
    <row r="41" spans="1:7" x14ac:dyDescent="0.15">
      <c r="A41" s="33" t="s">
        <v>107</v>
      </c>
      <c r="B41">
        <f ca="1">SUMIF(tables_369010!C:C,input_369010!A41,tables_369010!O:O)</f>
        <v>1058616</v>
      </c>
      <c r="C41" s="54">
        <f t="shared" ca="1" si="16"/>
        <v>0.43329076620825147</v>
      </c>
      <c r="E41">
        <v>4</v>
      </c>
      <c r="F41">
        <f ca="1">SUMIF(tables_369010!J:J,input_369010!E41,tables_369010!O:O)</f>
        <v>1747979.9999700005</v>
      </c>
      <c r="G41">
        <f ca="1">F41/A36</f>
        <v>0.41499999999287762</v>
      </c>
    </row>
    <row r="42" spans="1:7" x14ac:dyDescent="0.15">
      <c r="A42" s="33" t="s">
        <v>112</v>
      </c>
      <c r="B42">
        <f ca="1">SUMIF(tables_369010!C:C,input_369010!A42,tables_369010!O:O)</f>
        <v>86184</v>
      </c>
      <c r="C42" s="54">
        <f t="shared" ca="1" si="16"/>
        <v>3.5275049115913559E-2</v>
      </c>
      <c r="E42">
        <v>5</v>
      </c>
      <c r="F42">
        <f ca="1">SUMIF(tables_369010!J:J,input_369010!E42,tables_369010!O:O)</f>
        <v>379080.00003000005</v>
      </c>
      <c r="G42">
        <f ca="1">F42/A36</f>
        <v>9.0000000007122521E-2</v>
      </c>
    </row>
    <row r="43" spans="1:7" x14ac:dyDescent="0.15">
      <c r="A43" s="33" t="s">
        <v>113</v>
      </c>
      <c r="B43">
        <f>SUMIF(tables_369010!C:C,input_369010!A43,tables_369010!O:O)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SUMIF(tables_369010!C:C,input_369010!A44,tables_369010!O:O)</f>
        <v>117624</v>
      </c>
      <c r="C44" s="54">
        <f t="shared" ca="1" si="16"/>
        <v>4.81434184675835E-2</v>
      </c>
      <c r="E44" t="s">
        <v>104</v>
      </c>
      <c r="F44" s="55"/>
    </row>
    <row r="45" spans="1:7" x14ac:dyDescent="0.15">
      <c r="A45" s="33" t="s">
        <v>114</v>
      </c>
      <c r="B45">
        <f ca="1">SUMIF(tables_369010!C:C,input_369010!A45,tables_369010!O:O)</f>
        <v>4536</v>
      </c>
      <c r="C45" s="54">
        <f t="shared" ca="1" si="16"/>
        <v>1.856581532416503E-3</v>
      </c>
      <c r="E45" t="s">
        <v>210</v>
      </c>
      <c r="F45" s="55">
        <f ca="1">SUMIF(tables_369010!I:I,input_369010!E45,tables_369010!P:P)</f>
        <v>0.22158333333333338</v>
      </c>
    </row>
    <row r="46" spans="1:7" x14ac:dyDescent="0.15">
      <c r="A46" s="33" t="s">
        <v>115</v>
      </c>
      <c r="B46">
        <f>SUMIF(tables_369010!C:C,input_369010!A46,tables_369010!O:O)</f>
        <v>0</v>
      </c>
      <c r="C46" s="54">
        <f t="shared" ca="1" si="16"/>
        <v>0</v>
      </c>
      <c r="E46" t="s">
        <v>211</v>
      </c>
      <c r="F46" s="55">
        <f ca="1">SUMIF(tables_369010!I:I,input_369010!E46,tables_369010!P:P)</f>
        <v>0.25759259259259232</v>
      </c>
    </row>
    <row r="47" spans="1:7" x14ac:dyDescent="0.15">
      <c r="A47" s="39" t="s">
        <v>60</v>
      </c>
      <c r="B47">
        <f ca="1">SUM(B40:B46)</f>
        <v>2443200</v>
      </c>
      <c r="C47" s="55">
        <f ca="1">SUM(C40:C46)</f>
        <v>1</v>
      </c>
      <c r="E47" t="s">
        <v>212</v>
      </c>
      <c r="F47" s="55">
        <f ca="1">SUMIF(tables_369010!I:I,input_369010!E47,tables_369010!P:P)</f>
        <v>0.49759259259259303</v>
      </c>
    </row>
    <row r="48" spans="1:7" x14ac:dyDescent="0.15">
      <c r="E48" t="s">
        <v>213</v>
      </c>
      <c r="F48" s="55">
        <f ca="1">SUMIF(tables_369010!I:I,input_369010!E48,tables_369010!P:P)</f>
        <v>0.03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155" activePane="bottomLeft" state="frozen"/>
      <selection activeCell="E10" sqref="E10"/>
      <selection pane="bottomLeft" activeCell="F113" sqref="F1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input_369010!A$2</f>
        <v>369010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IFERROR(VLOOKUP(B2,input_369010!L:R,7,FALSE),VLOOKUP(tables_369010!C2,input_369010!A:H,8,FALSE))</f>
        <v>41223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input_369010!A$2</f>
        <v>369010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IFERROR(VLOOKUP(B3,input_369010!L:R,7,FALSE),VLOOKUP(tables_369010!C3,input_369010!A:H,8,FALSE))</f>
        <v>4017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input_369010!A$2</f>
        <v>369010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IFERROR(VLOOKUP(B4,input_369010!L:R,7,FALSE),VLOOKUP(tables_369010!C4,input_369010!A:H,8,FALSE))</f>
        <v>41223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input_369010!A$2</f>
        <v>369010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IFERROR(VLOOKUP(B5,input_369010!L:R,7,FALSE),VLOOKUP(tables_369010!C5,input_369010!A:H,8,FALSE))</f>
        <v>4017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input_369010!A$2</f>
        <v>369010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IFERROR(VLOOKUP(B6,input_369010!L:R,7,FALSE),VLOOKUP(tables_369010!C6,input_369010!A:H,8,FALSE))</f>
        <v>41223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input_369010!A$2</f>
        <v>369010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IFERROR(VLOOKUP(B7,input_369010!L:R,7,FALSE),VLOOKUP(tables_369010!C7,input_369010!A:H,8,FALSE))</f>
        <v>4017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input_369010!A$2</f>
        <v>369010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IFERROR(VLOOKUP(B8,input_369010!L:R,7,FALSE),VLOOKUP(tables_369010!C8,input_369010!A:H,8,FALSE))</f>
        <v>41223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input_369010!A$2</f>
        <v>369010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IFERROR(VLOOKUP(B9,input_369010!L:R,7,FALSE),VLOOKUP(tables_369010!C9,input_369010!A:H,8,FALSE))</f>
        <v>4017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input_369010!A$2</f>
        <v>369010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IFERROR(VLOOKUP(B10,input_369010!L:R,7,FALSE),VLOOKUP(tables_369010!C10,input_369010!A:H,8,FALSE))</f>
        <v>41223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input_369010!A$2</f>
        <v>369010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IFERROR(VLOOKUP(B11,input_369010!L:R,7,FALSE),VLOOKUP(tables_369010!C11,input_369010!A:H,8,FALSE))</f>
        <v>4017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input_369010!A$2</f>
        <v>369010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IFERROR(VLOOKUP(B12,input_369010!L:R,7,FALSE),VLOOKUP(tables_369010!C12,input_369010!A:H,8,FALSE))</f>
        <v>41223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input_369010!A$2</f>
        <v>369010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IFERROR(VLOOKUP(B13,input_369010!L:R,7,FALSE),VLOOKUP(tables_369010!C13,input_369010!A:H,8,FALSE))</f>
        <v>4017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input_369010!A$2</f>
        <v>369010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IFERROR(VLOOKUP(B14,input_369010!L:R,7,FALSE),VLOOKUP(tables_369010!C14,input_369010!A:H,8,FALSE))</f>
        <v>41223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input_369010!A$2</f>
        <v>369010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IFERROR(VLOOKUP(B15,input_369010!L:R,7,FALSE),VLOOKUP(tables_369010!C15,input_369010!A:H,8,FALSE))</f>
        <v>4017</v>
      </c>
      <c r="P15" s="46">
        <f t="shared" ref="P15:P78" ca="1" si="2">O15/SUM(O:O)</f>
        <v>9.5370370370370368E-4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input_369010!A$2</f>
        <v>369010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IFERROR(VLOOKUP(B16,input_369010!L:R,7,FALSE),VLOOKUP(tables_369010!C16,input_369010!A:H,8,FALSE))</f>
        <v>41223</v>
      </c>
      <c r="P16" s="46">
        <f t="shared" ca="1" si="2"/>
        <v>9.7870370370370368E-3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input_369010!A$2</f>
        <v>369010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IFERROR(VLOOKUP(B17,input_369010!L:R,7,FALSE),VLOOKUP(tables_369010!C17,input_369010!A:H,8,FALSE))</f>
        <v>4017</v>
      </c>
      <c r="P17" s="46">
        <f t="shared" ca="1" si="2"/>
        <v>9.5370370370370368E-4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input_369010!A$2</f>
        <v>369010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IFERROR(VLOOKUP(B18,input_369010!L:R,7,FALSE),VLOOKUP(tables_369010!C18,input_369010!A:H,8,FALSE))</f>
        <v>41223</v>
      </c>
      <c r="P18" s="46">
        <f t="shared" ca="1" si="2"/>
        <v>9.7870370370370368E-3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input_369010!A$2</f>
        <v>369010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IFERROR(VLOOKUP(B19,input_369010!L:R,7,FALSE),VLOOKUP(tables_369010!C19,input_369010!A:H,8,FALSE))</f>
        <v>4017</v>
      </c>
      <c r="P19" s="46">
        <f t="shared" ca="1" si="2"/>
        <v>9.5370370370370368E-4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input_369010!A$2</f>
        <v>369010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IFERROR(VLOOKUP(B20,input_369010!L:R,7,FALSE),VLOOKUP(tables_369010!C20,input_369010!A:H,8,FALSE))</f>
        <v>41223</v>
      </c>
      <c r="P20" s="46">
        <f t="shared" ca="1" si="2"/>
        <v>9.7870370370370368E-3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input_369010!A$2</f>
        <v>369010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IFERROR(VLOOKUP(B21,input_369010!L:R,7,FALSE),VLOOKUP(tables_369010!C21,input_369010!A:H,8,FALSE))</f>
        <v>4017</v>
      </c>
      <c r="P21" s="46">
        <f t="shared" ca="1" si="2"/>
        <v>9.5370370370370368E-4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input_369010!A$2</f>
        <v>369010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IFERROR(VLOOKUP(B22,input_369010!L:R,7,FALSE),VLOOKUP(tables_369010!C22,input_369010!A:H,8,FALSE))</f>
        <v>41223</v>
      </c>
      <c r="P22" s="46">
        <f t="shared" ca="1" si="2"/>
        <v>9.7870370370370368E-3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input_369010!A$2</f>
        <v>369010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IFERROR(VLOOKUP(B23,input_369010!L:R,7,FALSE),VLOOKUP(tables_369010!C23,input_369010!A:H,8,FALSE))</f>
        <v>4017</v>
      </c>
      <c r="P23" s="46">
        <f t="shared" ca="1" si="2"/>
        <v>9.5370370370370368E-4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input_369010!A$2</f>
        <v>369010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IFERROR(VLOOKUP(B24,input_369010!L:R,7,FALSE),VLOOKUP(tables_369010!C24,input_369010!A:H,8,FALSE))</f>
        <v>41223</v>
      </c>
      <c r="P24" s="46">
        <f t="shared" ca="1" si="2"/>
        <v>9.7870370370370368E-3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input_369010!A$2</f>
        <v>369010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IFERROR(VLOOKUP(B25,input_369010!L:R,7,FALSE),VLOOKUP(tables_369010!C25,input_369010!A:H,8,FALSE))</f>
        <v>4017</v>
      </c>
      <c r="P25" s="46">
        <f t="shared" ca="1" si="2"/>
        <v>9.5370370370370368E-4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input_369010!A$2</f>
        <v>369010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IFERROR(VLOOKUP(B26,input_369010!L:R,7,FALSE),VLOOKUP(tables_369010!C26,input_369010!A:H,8,FALSE))</f>
        <v>41223</v>
      </c>
      <c r="P26" s="46">
        <f t="shared" ca="1" si="2"/>
        <v>9.7870370370370368E-3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input_369010!A$2</f>
        <v>369010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IFERROR(VLOOKUP(B27,input_369010!L:R,7,FALSE),VLOOKUP(tables_369010!C27,input_369010!A:H,8,FALSE))</f>
        <v>4017</v>
      </c>
      <c r="P27" s="46">
        <f t="shared" ca="1" si="2"/>
        <v>9.5370370370370368E-4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input_369010!A$2</f>
        <v>369010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IFERROR(VLOOKUP(B28,input_369010!L:R,7,FALSE),VLOOKUP(tables_369010!C28,input_369010!A:H,8,FALSE))</f>
        <v>41223</v>
      </c>
      <c r="P28" s="46">
        <f t="shared" ca="1" si="2"/>
        <v>9.7870370370370368E-3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input_369010!A$2</f>
        <v>369010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IFERROR(VLOOKUP(B29,input_369010!L:R,7,FALSE),VLOOKUP(tables_369010!C29,input_369010!A:H,8,FALSE))</f>
        <v>4017</v>
      </c>
      <c r="P29" s="46">
        <f t="shared" ca="1" si="2"/>
        <v>9.5370370370370368E-4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input_369010!A$2</f>
        <v>369010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IFERROR(VLOOKUP(B30,input_369010!L:R,7,FALSE),VLOOKUP(tables_369010!C30,input_369010!A:H,8,FALSE))</f>
        <v>41223</v>
      </c>
      <c r="P30" s="46">
        <f t="shared" ca="1" si="2"/>
        <v>9.7870370370370368E-3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input_369010!A$2</f>
        <v>369010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IFERROR(VLOOKUP(B31,input_369010!L:R,7,FALSE),VLOOKUP(tables_369010!C31,input_369010!A:H,8,FALSE))</f>
        <v>4017</v>
      </c>
      <c r="P31" s="46">
        <f t="shared" ca="1" si="2"/>
        <v>9.5370370370370368E-4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input_369010!A$2</f>
        <v>369010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IFERROR(VLOOKUP(B32,input_369010!L:R,7,FALSE),VLOOKUP(tables_369010!C32,input_369010!A:H,8,FALSE))</f>
        <v>41223</v>
      </c>
      <c r="P32" s="46">
        <f t="shared" ca="1" si="2"/>
        <v>9.7870370370370368E-3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input_369010!A$2</f>
        <v>369010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IFERROR(VLOOKUP(B33,input_369010!L:R,7,FALSE),VLOOKUP(tables_369010!C33,input_369010!A:H,8,FALSE))</f>
        <v>4017</v>
      </c>
      <c r="P33" s="46">
        <f t="shared" ca="1" si="2"/>
        <v>9.5370370370370368E-4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input_369010!A$2</f>
        <v>369010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IFERROR(VLOOKUP(B34,input_369010!L:R,7,FALSE),VLOOKUP(tables_369010!C34,input_369010!A:H,8,FALSE))</f>
        <v>41223</v>
      </c>
      <c r="P34" s="46">
        <f t="shared" ca="1" si="2"/>
        <v>9.7870370370370368E-3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input_369010!A$2</f>
        <v>369010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IFERROR(VLOOKUP(B35,input_369010!L:R,7,FALSE),VLOOKUP(tables_369010!C35,input_369010!A:H,8,FALSE))</f>
        <v>4017</v>
      </c>
      <c r="P35" s="46">
        <f t="shared" ca="1" si="2"/>
        <v>9.5370370370370368E-4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input_369010!A$2</f>
        <v>369010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IFERROR(VLOOKUP(B36,input_369010!L:R,7,FALSE),VLOOKUP(tables_369010!C36,input_369010!A:H,8,FALSE))</f>
        <v>41223</v>
      </c>
      <c r="P36" s="46">
        <f t="shared" ca="1" si="2"/>
        <v>9.7870370370370368E-3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input_369010!A$2</f>
        <v>369010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IFERROR(VLOOKUP(B37,input_369010!L:R,7,FALSE),VLOOKUP(tables_369010!C37,input_369010!A:H,8,FALSE))</f>
        <v>4017</v>
      </c>
      <c r="P37" s="46">
        <f t="shared" ca="1" si="2"/>
        <v>9.5370370370370368E-4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input_369010!A$2</f>
        <v>369010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IFERROR(VLOOKUP(B38,input_369010!L:R,7,FALSE),VLOOKUP(tables_369010!C38,input_369010!A:H,8,FALSE))</f>
        <v>41223</v>
      </c>
      <c r="P38" s="46">
        <f t="shared" ca="1" si="2"/>
        <v>9.7870370370370368E-3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input_369010!A$2</f>
        <v>369010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IFERROR(VLOOKUP(B39,input_369010!L:R,7,FALSE),VLOOKUP(tables_369010!C39,input_369010!A:H,8,FALSE))</f>
        <v>4017</v>
      </c>
      <c r="P39" s="46">
        <f t="shared" ca="1" si="2"/>
        <v>9.5370370370370368E-4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input_369010!A$2</f>
        <v>369010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IFERROR(VLOOKUP(B40,input_369010!L:R,7,FALSE),VLOOKUP(tables_369010!C40,input_369010!A:H,8,FALSE))</f>
        <v>41223</v>
      </c>
      <c r="P40" s="46">
        <f t="shared" ca="1" si="2"/>
        <v>9.7870370370370368E-3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input_369010!A$2</f>
        <v>369010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IFERROR(VLOOKUP(B41,input_369010!L:R,7,FALSE),VLOOKUP(tables_369010!C41,input_369010!A:H,8,FALSE))</f>
        <v>4017</v>
      </c>
      <c r="P41" s="46">
        <f t="shared" ca="1" si="2"/>
        <v>9.5370370370370368E-4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input_369010!A$2</f>
        <v>369010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IFERROR(VLOOKUP(B42,input_369010!L:R,7,FALSE),VLOOKUP(tables_369010!C42,input_369010!A:H,8,FALSE))</f>
        <v>21060</v>
      </c>
      <c r="P42" s="46">
        <f t="shared" ca="1" si="2"/>
        <v>5.0000000000000001E-3</v>
      </c>
      <c r="Q42" s="89"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input_369010!A$2</f>
        <v>369010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IFERROR(VLOOKUP(B43,input_369010!L:R,7,FALSE),VLOOKUP(tables_369010!C43,input_369010!A:H,8,FALSE))</f>
        <v>42120</v>
      </c>
      <c r="P43" s="46">
        <f t="shared" ca="1" si="2"/>
        <v>0.01</v>
      </c>
      <c r="Q43" s="89"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input_369010!A$2</f>
        <v>369010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IFERROR(VLOOKUP(B44,input_369010!L:R,7,FALSE),VLOOKUP(tables_369010!C44,input_369010!A:H,8,FALSE))</f>
        <v>42120</v>
      </c>
      <c r="P44" s="46">
        <f t="shared" ca="1" si="2"/>
        <v>0.01</v>
      </c>
      <c r="Q44" s="89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input_369010!A$2</f>
        <v>369010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IFERROR(VLOOKUP(B45,input_369010!L:R,7,FALSE),VLOOKUP(tables_369010!C45,input_369010!A:H,8,FALSE))</f>
        <v>21060</v>
      </c>
      <c r="P45" s="46">
        <f t="shared" ca="1" si="2"/>
        <v>5.0000000000000001E-3</v>
      </c>
      <c r="Q45" s="89"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input_369010!A$2</f>
        <v>369010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IFERROR(VLOOKUP(B46,input_369010!L:R,7,FALSE),VLOOKUP(tables_369010!C46,input_369010!A:H,8,FALSE))</f>
        <v>42120</v>
      </c>
      <c r="P46" s="46">
        <f t="shared" ca="1" si="2"/>
        <v>0.01</v>
      </c>
      <c r="Q46" s="89"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input_369010!A$2</f>
        <v>369010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IFERROR(VLOOKUP(B47,input_369010!L:R,7,FALSE),VLOOKUP(tables_369010!C47,input_369010!A:H,8,FALSE))</f>
        <v>42120</v>
      </c>
      <c r="P47" s="46">
        <f t="shared" ca="1" si="2"/>
        <v>0.01</v>
      </c>
      <c r="Q47" s="89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input_369010!A$2</f>
        <v>369010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IFERROR(VLOOKUP(B48,input_369010!L:R,7,FALSE),VLOOKUP(tables_369010!C48,input_369010!A:H,8,FALSE))</f>
        <v>21060</v>
      </c>
      <c r="P48" s="46">
        <f t="shared" ca="1" si="2"/>
        <v>5.0000000000000001E-3</v>
      </c>
      <c r="Q48" s="89"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input_369010!A$2</f>
        <v>369010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IFERROR(VLOOKUP(B49,input_369010!L:R,7,FALSE),VLOOKUP(tables_369010!C49,input_369010!A:H,8,FALSE))</f>
        <v>42120</v>
      </c>
      <c r="P49" s="46">
        <f t="shared" ca="1" si="2"/>
        <v>0.01</v>
      </c>
      <c r="Q49" s="89"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input_369010!A$2</f>
        <v>369010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IFERROR(VLOOKUP(B50,input_369010!L:R,7,FALSE),VLOOKUP(tables_369010!C50,input_369010!A:H,8,FALSE))</f>
        <v>42120</v>
      </c>
      <c r="P50" s="46">
        <f t="shared" ca="1" si="2"/>
        <v>0.01</v>
      </c>
      <c r="Q50" s="89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input_369010!A$2</f>
        <v>369010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IFERROR(VLOOKUP(B51,input_369010!L:R,7,FALSE),VLOOKUP(tables_369010!C51,input_369010!A:H,8,FALSE))</f>
        <v>22620</v>
      </c>
      <c r="P51" s="46">
        <f t="shared" ca="1" si="2"/>
        <v>5.37037037037037E-3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input_369010!A$2</f>
        <v>369010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IFERROR(VLOOKUP(B52,input_369010!L:R,7,FALSE),VLOOKUP(tables_369010!C52,input_369010!A:H,8,FALSE))</f>
        <v>20358</v>
      </c>
      <c r="P52" s="46">
        <f t="shared" ca="1" si="2"/>
        <v>4.8333333333333336E-3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input_369010!A$2</f>
        <v>369010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IFERROR(VLOOKUP(B53,input_369010!L:R,7,FALSE),VLOOKUP(tables_369010!C53,input_369010!A:H,8,FALSE))</f>
        <v>2262</v>
      </c>
      <c r="P53" s="46">
        <f t="shared" ca="1" si="2"/>
        <v>5.3703703703703704E-4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input_369010!A$2</f>
        <v>369010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IFERROR(VLOOKUP(B54,input_369010!L:R,7,FALSE),VLOOKUP(tables_369010!C54,input_369010!A:H,8,FALSE))</f>
        <v>22620</v>
      </c>
      <c r="P54" s="46">
        <f t="shared" ca="1" si="2"/>
        <v>5.37037037037037E-3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input_369010!A$2</f>
        <v>369010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IFERROR(VLOOKUP(B55,input_369010!L:R,7,FALSE),VLOOKUP(tables_369010!C55,input_369010!A:H,8,FALSE))</f>
        <v>20358</v>
      </c>
      <c r="P55" s="46">
        <f t="shared" ca="1" si="2"/>
        <v>4.8333333333333336E-3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input_369010!A$2</f>
        <v>369010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IFERROR(VLOOKUP(B56,input_369010!L:R,7,FALSE),VLOOKUP(tables_369010!C56,input_369010!A:H,8,FALSE))</f>
        <v>2262</v>
      </c>
      <c r="P56" s="46">
        <f t="shared" ca="1" si="2"/>
        <v>5.3703703703703704E-4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input_369010!A$2</f>
        <v>369010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IFERROR(VLOOKUP(B57,input_369010!L:R,7,FALSE),VLOOKUP(tables_369010!C57,input_369010!A:H,8,FALSE))</f>
        <v>22620</v>
      </c>
      <c r="P57" s="46">
        <f t="shared" ca="1" si="2"/>
        <v>5.37037037037037E-3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input_369010!A$2</f>
        <v>369010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IFERROR(VLOOKUP(B58,input_369010!L:R,7,FALSE),VLOOKUP(tables_369010!C58,input_369010!A:H,8,FALSE))</f>
        <v>20358</v>
      </c>
      <c r="P58" s="46">
        <f t="shared" ca="1" si="2"/>
        <v>4.8333333333333336E-3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input_369010!A$2</f>
        <v>369010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IFERROR(VLOOKUP(B59,input_369010!L:R,7,FALSE),VLOOKUP(tables_369010!C59,input_369010!A:H,8,FALSE))</f>
        <v>2262</v>
      </c>
      <c r="P59" s="46">
        <f t="shared" ca="1" si="2"/>
        <v>5.3703703703703704E-4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input_369010!A$2</f>
        <v>369010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IFERROR(VLOOKUP(B60,input_369010!L:R,7,FALSE),VLOOKUP(tables_369010!C60,input_369010!A:H,8,FALSE))</f>
        <v>22620</v>
      </c>
      <c r="P60" s="46">
        <f t="shared" ca="1" si="2"/>
        <v>5.37037037037037E-3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input_369010!A$2</f>
        <v>369010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IFERROR(VLOOKUP(B61,input_369010!L:R,7,FALSE),VLOOKUP(tables_369010!C61,input_369010!A:H,8,FALSE))</f>
        <v>20358</v>
      </c>
      <c r="P61" s="46">
        <f t="shared" ca="1" si="2"/>
        <v>4.8333333333333336E-3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input_369010!A$2</f>
        <v>369010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IFERROR(VLOOKUP(B62,input_369010!L:R,7,FALSE),VLOOKUP(tables_369010!C62,input_369010!A:H,8,FALSE))</f>
        <v>2262</v>
      </c>
      <c r="P62" s="46">
        <f t="shared" ca="1" si="2"/>
        <v>5.3703703703703704E-4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input_369010!A$2</f>
        <v>369010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IFERROR(VLOOKUP(B63,input_369010!L:R,7,FALSE),VLOOKUP(tables_369010!C63,input_369010!A:H,8,FALSE))</f>
        <v>22620</v>
      </c>
      <c r="P63" s="46">
        <f t="shared" ca="1" si="2"/>
        <v>5.37037037037037E-3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input_369010!A$2</f>
        <v>369010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IFERROR(VLOOKUP(B64,input_369010!L:R,7,FALSE),VLOOKUP(tables_369010!C64,input_369010!A:H,8,FALSE))</f>
        <v>20358</v>
      </c>
      <c r="P64" s="46">
        <f t="shared" ca="1" si="2"/>
        <v>4.8333333333333336E-3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input_369010!A$2</f>
        <v>369010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IFERROR(VLOOKUP(B65,input_369010!L:R,7,FALSE),VLOOKUP(tables_369010!C65,input_369010!A:H,8,FALSE))</f>
        <v>2262</v>
      </c>
      <c r="P65" s="46">
        <f t="shared" ca="1" si="2"/>
        <v>5.3703703703703704E-4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input_369010!A$2</f>
        <v>369010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IFERROR(VLOOKUP(B66,input_369010!L:R,7,FALSE),VLOOKUP(tables_369010!C66,input_369010!A:H,8,FALSE))</f>
        <v>22620</v>
      </c>
      <c r="P66" s="46">
        <f t="shared" ca="1" si="2"/>
        <v>5.37037037037037E-3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input_369010!A$2</f>
        <v>369010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IFERROR(VLOOKUP(B67,input_369010!L:R,7,FALSE),VLOOKUP(tables_369010!C67,input_369010!A:H,8,FALSE))</f>
        <v>20358</v>
      </c>
      <c r="P67" s="46">
        <f t="shared" ca="1" si="2"/>
        <v>4.8333333333333336E-3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input_369010!A$2</f>
        <v>369010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IFERROR(VLOOKUP(B68,input_369010!L:R,7,FALSE),VLOOKUP(tables_369010!C68,input_369010!A:H,8,FALSE))</f>
        <v>2262</v>
      </c>
      <c r="P68" s="46">
        <f t="shared" ca="1" si="2"/>
        <v>5.3703703703703704E-4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input_369010!A$2</f>
        <v>369010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IFERROR(VLOOKUP(B69,input_369010!L:R,7,FALSE),VLOOKUP(tables_369010!C69,input_369010!A:H,8,FALSE))</f>
        <v>22620</v>
      </c>
      <c r="P69" s="46">
        <f t="shared" ca="1" si="2"/>
        <v>5.37037037037037E-3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input_369010!A$2</f>
        <v>369010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IFERROR(VLOOKUP(B70,input_369010!L:R,7,FALSE),VLOOKUP(tables_369010!C70,input_369010!A:H,8,FALSE))</f>
        <v>20358</v>
      </c>
      <c r="P70" s="46">
        <f t="shared" ca="1" si="2"/>
        <v>4.8333333333333336E-3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input_369010!A$2</f>
        <v>369010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IFERROR(VLOOKUP(B71,input_369010!L:R,7,FALSE),VLOOKUP(tables_369010!C71,input_369010!A:H,8,FALSE))</f>
        <v>2262</v>
      </c>
      <c r="P71" s="46">
        <f t="shared" ca="1" si="2"/>
        <v>5.3703703703703704E-4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input_369010!A$2</f>
        <v>369010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IFERROR(VLOOKUP(B72,input_369010!L:R,7,FALSE),VLOOKUP(tables_369010!C72,input_369010!A:H,8,FALSE))</f>
        <v>22620</v>
      </c>
      <c r="P72" s="46">
        <f t="shared" ca="1" si="2"/>
        <v>5.37037037037037E-3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input_369010!A$2</f>
        <v>369010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IFERROR(VLOOKUP(B73,input_369010!L:R,7,FALSE),VLOOKUP(tables_369010!C73,input_369010!A:H,8,FALSE))</f>
        <v>20358</v>
      </c>
      <c r="P73" s="46">
        <f t="shared" ca="1" si="2"/>
        <v>4.8333333333333336E-3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input_369010!A$2</f>
        <v>369010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IFERROR(VLOOKUP(B74,input_369010!L:R,7,FALSE),VLOOKUP(tables_369010!C74,input_369010!A:H,8,FALSE))</f>
        <v>2262</v>
      </c>
      <c r="P74" s="46">
        <f t="shared" ca="1" si="2"/>
        <v>5.3703703703703704E-4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input_369010!A$2</f>
        <v>369010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IFERROR(VLOOKUP(B75,input_369010!L:R,7,FALSE),VLOOKUP(tables_369010!C75,input_369010!A:H,8,FALSE))</f>
        <v>22620</v>
      </c>
      <c r="P75" s="46">
        <f t="shared" ca="1" si="2"/>
        <v>5.37037037037037E-3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input_369010!A$2</f>
        <v>369010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IFERROR(VLOOKUP(B76,input_369010!L:R,7,FALSE),VLOOKUP(tables_369010!C76,input_369010!A:H,8,FALSE))</f>
        <v>20358</v>
      </c>
      <c r="P76" s="46">
        <f t="shared" ca="1" si="2"/>
        <v>4.8333333333333336E-3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input_369010!A$2</f>
        <v>369010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IFERROR(VLOOKUP(B77,input_369010!L:R,7,FALSE),VLOOKUP(tables_369010!C77,input_369010!A:H,8,FALSE))</f>
        <v>2262</v>
      </c>
      <c r="P77" s="46">
        <f t="shared" ca="1" si="2"/>
        <v>5.3703703703703704E-4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input_369010!A$2</f>
        <v>369010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IFERROR(VLOOKUP(B78,input_369010!L:R,7,FALSE),VLOOKUP(tables_369010!C78,input_369010!A:H,8,FALSE))</f>
        <v>22620</v>
      </c>
      <c r="P78" s="46">
        <f t="shared" ca="1" si="2"/>
        <v>5.37037037037037E-3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input_369010!A$2</f>
        <v>369010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IFERROR(VLOOKUP(B79,input_369010!L:R,7,FALSE),VLOOKUP(tables_369010!C79,input_369010!A:H,8,FALSE))</f>
        <v>20358</v>
      </c>
      <c r="P79" s="46">
        <f t="shared" ref="P79:P142" ca="1" si="5">O79/SUM(O:O)</f>
        <v>4.8333333333333336E-3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input_369010!A$2</f>
        <v>369010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IFERROR(VLOOKUP(B80,input_369010!L:R,7,FALSE),VLOOKUP(tables_369010!C80,input_369010!A:H,8,FALSE))</f>
        <v>2262</v>
      </c>
      <c r="P80" s="46">
        <f t="shared" ca="1" si="5"/>
        <v>5.3703703703703704E-4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input_369010!A$2</f>
        <v>369010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IFERROR(VLOOKUP(B81,input_369010!L:R,7,FALSE),VLOOKUP(tables_369010!C81,input_369010!A:H,8,FALSE))</f>
        <v>22620</v>
      </c>
      <c r="P81" s="46">
        <f t="shared" ca="1" si="5"/>
        <v>5.37037037037037E-3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input_369010!A$2</f>
        <v>369010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IFERROR(VLOOKUP(B82,input_369010!L:R,7,FALSE),VLOOKUP(tables_369010!C82,input_369010!A:H,8,FALSE))</f>
        <v>20358</v>
      </c>
      <c r="P82" s="46">
        <f t="shared" ca="1" si="5"/>
        <v>4.8333333333333336E-3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input_369010!A$2</f>
        <v>369010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IFERROR(VLOOKUP(B83,input_369010!L:R,7,FALSE),VLOOKUP(tables_369010!C83,input_369010!A:H,8,FALSE))</f>
        <v>2262</v>
      </c>
      <c r="P83" s="46">
        <f t="shared" ca="1" si="5"/>
        <v>5.3703703703703704E-4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input_369010!A$2</f>
        <v>369010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IFERROR(VLOOKUP(B84,input_369010!L:R,7,FALSE),VLOOKUP(tables_369010!C84,input_369010!A:H,8,FALSE))</f>
        <v>22620</v>
      </c>
      <c r="P84" s="46">
        <f t="shared" ca="1" si="5"/>
        <v>5.37037037037037E-3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input_369010!A$2</f>
        <v>369010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IFERROR(VLOOKUP(B85,input_369010!L:R,7,FALSE),VLOOKUP(tables_369010!C85,input_369010!A:H,8,FALSE))</f>
        <v>20358</v>
      </c>
      <c r="P85" s="46">
        <f t="shared" ca="1" si="5"/>
        <v>4.8333333333333336E-3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input_369010!A$2</f>
        <v>369010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IFERROR(VLOOKUP(B86,input_369010!L:R,7,FALSE),VLOOKUP(tables_369010!C86,input_369010!A:H,8,FALSE))</f>
        <v>2262</v>
      </c>
      <c r="P86" s="46">
        <f t="shared" ca="1" si="5"/>
        <v>5.3703703703703704E-4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input_369010!A$2</f>
        <v>369010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IFERROR(VLOOKUP(B87,input_369010!L:R,7,FALSE),VLOOKUP(tables_369010!C87,input_369010!A:H,8,FALSE))</f>
        <v>22620</v>
      </c>
      <c r="P87" s="46">
        <f t="shared" ca="1" si="5"/>
        <v>5.37037037037037E-3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input_369010!A$2</f>
        <v>369010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IFERROR(VLOOKUP(B88,input_369010!L:R,7,FALSE),VLOOKUP(tables_369010!C88,input_369010!A:H,8,FALSE))</f>
        <v>20358</v>
      </c>
      <c r="P88" s="46">
        <f t="shared" ca="1" si="5"/>
        <v>4.8333333333333336E-3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input_369010!A$2</f>
        <v>369010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IFERROR(VLOOKUP(B89,input_369010!L:R,7,FALSE),VLOOKUP(tables_369010!C89,input_369010!A:H,8,FALSE))</f>
        <v>2262</v>
      </c>
      <c r="P89" s="46">
        <f t="shared" ca="1" si="5"/>
        <v>5.3703703703703704E-4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input_369010!A$2</f>
        <v>369010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IFERROR(VLOOKUP(B90,input_369010!L:R,7,FALSE),VLOOKUP(tables_369010!C90,input_369010!A:H,8,FALSE))</f>
        <v>22620</v>
      </c>
      <c r="P90" s="46">
        <f t="shared" ca="1" si="5"/>
        <v>5.37037037037037E-3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input_369010!A$2</f>
        <v>369010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IFERROR(VLOOKUP(B91,input_369010!L:R,7,FALSE),VLOOKUP(tables_369010!C91,input_369010!A:H,8,FALSE))</f>
        <v>20358</v>
      </c>
      <c r="P91" s="46">
        <f t="shared" ca="1" si="5"/>
        <v>4.8333333333333336E-3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input_369010!A$2</f>
        <v>369010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IFERROR(VLOOKUP(B92,input_369010!L:R,7,FALSE),VLOOKUP(tables_369010!C92,input_369010!A:H,8,FALSE))</f>
        <v>2262</v>
      </c>
      <c r="P92" s="46">
        <f t="shared" ca="1" si="5"/>
        <v>5.3703703703703704E-4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input_369010!A$2</f>
        <v>369010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IFERROR(VLOOKUP(B93,input_369010!L:R,7,FALSE),VLOOKUP(tables_369010!C93,input_369010!A:H,8,FALSE))</f>
        <v>22620</v>
      </c>
      <c r="P93" s="46">
        <f t="shared" ca="1" si="5"/>
        <v>5.37037037037037E-3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input_369010!A$2</f>
        <v>369010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IFERROR(VLOOKUP(B94,input_369010!L:R,7,FALSE),VLOOKUP(tables_369010!C94,input_369010!A:H,8,FALSE))</f>
        <v>20358</v>
      </c>
      <c r="P94" s="46">
        <f t="shared" ca="1" si="5"/>
        <v>4.8333333333333336E-3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input_369010!A$2</f>
        <v>369010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IFERROR(VLOOKUP(B95,input_369010!L:R,7,FALSE),VLOOKUP(tables_369010!C95,input_369010!A:H,8,FALSE))</f>
        <v>2262</v>
      </c>
      <c r="P95" s="46">
        <f t="shared" ca="1" si="5"/>
        <v>5.3703703703703704E-4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input_369010!A$2</f>
        <v>369010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IFERROR(VLOOKUP(B96,input_369010!L:R,7,FALSE),VLOOKUP(tables_369010!C96,input_369010!A:H,8,FALSE))</f>
        <v>22620</v>
      </c>
      <c r="P96" s="46">
        <f t="shared" ca="1" si="5"/>
        <v>5.37037037037037E-3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input_369010!A$2</f>
        <v>369010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IFERROR(VLOOKUP(B97,input_369010!L:R,7,FALSE),VLOOKUP(tables_369010!C97,input_369010!A:H,8,FALSE))</f>
        <v>20358</v>
      </c>
      <c r="P97" s="46">
        <f t="shared" ca="1" si="5"/>
        <v>4.8333333333333336E-3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input_369010!A$2</f>
        <v>369010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IFERROR(VLOOKUP(B98,input_369010!L:R,7,FALSE),VLOOKUP(tables_369010!C98,input_369010!A:H,8,FALSE))</f>
        <v>2262</v>
      </c>
      <c r="P98" s="46">
        <f t="shared" ca="1" si="5"/>
        <v>5.3703703703703704E-4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input_369010!A$2</f>
        <v>369010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IFERROR(VLOOKUP(B99,input_369010!L:R,7,FALSE),VLOOKUP(tables_369010!C99,input_369010!A:H,8,FALSE))</f>
        <v>22620</v>
      </c>
      <c r="P99" s="46">
        <f t="shared" ca="1" si="5"/>
        <v>5.37037037037037E-3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input_369010!A$2</f>
        <v>369010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IFERROR(VLOOKUP(B100,input_369010!L:R,7,FALSE),VLOOKUP(tables_369010!C100,input_369010!A:H,8,FALSE))</f>
        <v>20358</v>
      </c>
      <c r="P100" s="46">
        <f t="shared" ca="1" si="5"/>
        <v>4.8333333333333336E-3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input_369010!A$2</f>
        <v>369010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IFERROR(VLOOKUP(B101,input_369010!L:R,7,FALSE),VLOOKUP(tables_369010!C101,input_369010!A:H,8,FALSE))</f>
        <v>2262</v>
      </c>
      <c r="P101" s="46">
        <f t="shared" ca="1" si="5"/>
        <v>5.3703703703703704E-4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input_369010!A$2</f>
        <v>369010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IFERROR(VLOOKUP(B102,input_369010!L:R,7,FALSE),VLOOKUP(tables_369010!C102,input_369010!A:H,8,FALSE))</f>
        <v>22620</v>
      </c>
      <c r="P102" s="46">
        <f t="shared" ca="1" si="5"/>
        <v>5.37037037037037E-3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input_369010!A$2</f>
        <v>369010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IFERROR(VLOOKUP(B103,input_369010!L:R,7,FALSE),VLOOKUP(tables_369010!C103,input_369010!A:H,8,FALSE))</f>
        <v>20358</v>
      </c>
      <c r="P103" s="46">
        <f t="shared" ca="1" si="5"/>
        <v>4.8333333333333336E-3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input_369010!A$2</f>
        <v>369010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IFERROR(VLOOKUP(B104,input_369010!L:R,7,FALSE),VLOOKUP(tables_369010!C104,input_369010!A:H,8,FALSE))</f>
        <v>2262</v>
      </c>
      <c r="P104" s="46">
        <f t="shared" ca="1" si="5"/>
        <v>5.3703703703703704E-4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input_369010!A$2</f>
        <v>369010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IFERROR(VLOOKUP(B105,input_369010!L:R,7,FALSE),VLOOKUP(tables_369010!C105,input_369010!A:H,8,FALSE))</f>
        <v>22620</v>
      </c>
      <c r="P105" s="46">
        <f t="shared" ca="1" si="5"/>
        <v>5.37037037037037E-3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input_369010!A$2</f>
        <v>369010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IFERROR(VLOOKUP(B106,input_369010!L:R,7,FALSE),VLOOKUP(tables_369010!C106,input_369010!A:H,8,FALSE))</f>
        <v>20358</v>
      </c>
      <c r="P106" s="46">
        <f t="shared" ca="1" si="5"/>
        <v>4.8333333333333336E-3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input_369010!A$2</f>
        <v>369010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IFERROR(VLOOKUP(B107,input_369010!L:R,7,FALSE),VLOOKUP(tables_369010!C107,input_369010!A:H,8,FALSE))</f>
        <v>2262</v>
      </c>
      <c r="P107" s="46">
        <f t="shared" ca="1" si="5"/>
        <v>5.3703703703703704E-4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input_369010!A$2</f>
        <v>369010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IFERROR(VLOOKUP(B108,input_369010!L:R,7,FALSE),VLOOKUP(tables_369010!C108,input_369010!A:H,8,FALSE))</f>
        <v>22620</v>
      </c>
      <c r="P108" s="46">
        <f t="shared" ca="1" si="5"/>
        <v>5.37037037037037E-3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input_369010!A$2</f>
        <v>369010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IFERROR(VLOOKUP(B109,input_369010!L:R,7,FALSE),VLOOKUP(tables_369010!C109,input_369010!A:H,8,FALSE))</f>
        <v>20358</v>
      </c>
      <c r="P109" s="46">
        <f t="shared" ca="1" si="5"/>
        <v>4.8333333333333336E-3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input_369010!A$2</f>
        <v>369010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IFERROR(VLOOKUP(B110,input_369010!L:R,7,FALSE),VLOOKUP(tables_369010!C110,input_369010!A:H,8,FALSE))</f>
        <v>2262</v>
      </c>
      <c r="P110" s="46">
        <f t="shared" ca="1" si="5"/>
        <v>5.3703703703703704E-4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input_369010!A$2</f>
        <v>369010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IFERROR(VLOOKUP(B111,input_369010!L:R,7,FALSE),VLOOKUP(tables_369010!C111,input_369010!A:H,8,FALSE))</f>
        <v>21060</v>
      </c>
      <c r="P111" s="46">
        <f t="shared" ca="1" si="5"/>
        <v>5.0000000000000001E-3</v>
      </c>
      <c r="Q111" s="89"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input_369010!A$2</f>
        <v>369010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IFERROR(VLOOKUP(B112,input_369010!L:R,7,FALSE),VLOOKUP(tables_369010!C112,input_369010!A:H,8,FALSE))</f>
        <v>42120</v>
      </c>
      <c r="P112" s="46">
        <f t="shared" ca="1" si="5"/>
        <v>0.01</v>
      </c>
      <c r="Q112" s="89"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input_369010!A$2</f>
        <v>369010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IFERROR(VLOOKUP(B113,input_369010!L:R,7,FALSE),VLOOKUP(tables_369010!C113,input_369010!A:H,8,FALSE))</f>
        <v>42120</v>
      </c>
      <c r="P113" s="46">
        <f t="shared" ca="1" si="5"/>
        <v>0.01</v>
      </c>
      <c r="Q113" s="89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input_369010!A$2</f>
        <v>369010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IFERROR(VLOOKUP(B114,input_369010!L:R,7,FALSE),VLOOKUP(tables_369010!C114,input_369010!A:H,8,FALSE))</f>
        <v>22620</v>
      </c>
      <c r="P114" s="46">
        <f t="shared" ca="1" si="5"/>
        <v>5.37037037037037E-3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input_369010!A$2</f>
        <v>369010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IFERROR(VLOOKUP(B115,input_369010!L:R,7,FALSE),VLOOKUP(tables_369010!C115,input_369010!A:H,8,FALSE))</f>
        <v>20358</v>
      </c>
      <c r="P115" s="46">
        <f t="shared" ca="1" si="5"/>
        <v>4.8333333333333336E-3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input_369010!A$2</f>
        <v>369010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IFERROR(VLOOKUP(B116,input_369010!L:R,7,FALSE),VLOOKUP(tables_369010!C116,input_369010!A:H,8,FALSE))</f>
        <v>2262</v>
      </c>
      <c r="P116" s="46">
        <f t="shared" ca="1" si="5"/>
        <v>5.3703703703703704E-4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input_369010!A$2</f>
        <v>369010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IFERROR(VLOOKUP(B117,input_369010!L:R,7,FALSE),VLOOKUP(tables_369010!C117,input_369010!A:H,8,FALSE))</f>
        <v>22620</v>
      </c>
      <c r="P117" s="46">
        <f t="shared" ca="1" si="5"/>
        <v>5.37037037037037E-3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input_369010!A$2</f>
        <v>369010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IFERROR(VLOOKUP(B118,input_369010!L:R,7,FALSE),VLOOKUP(tables_369010!C118,input_369010!A:H,8,FALSE))</f>
        <v>20358</v>
      </c>
      <c r="P118" s="46">
        <f t="shared" ca="1" si="5"/>
        <v>4.8333333333333336E-3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input_369010!A$2</f>
        <v>369010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IFERROR(VLOOKUP(B119,input_369010!L:R,7,FALSE),VLOOKUP(tables_369010!C119,input_369010!A:H,8,FALSE))</f>
        <v>2262</v>
      </c>
      <c r="P119" s="46">
        <f t="shared" ca="1" si="5"/>
        <v>5.3703703703703704E-4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input_369010!A$2</f>
        <v>369010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IFERROR(VLOOKUP(B120,input_369010!L:R,7,FALSE),VLOOKUP(tables_369010!C120,input_369010!A:H,8,FALSE))</f>
        <v>22620</v>
      </c>
      <c r="P120" s="46">
        <f t="shared" ca="1" si="5"/>
        <v>5.37037037037037E-3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input_369010!A$2</f>
        <v>369010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IFERROR(VLOOKUP(B121,input_369010!L:R,7,FALSE),VLOOKUP(tables_369010!C121,input_369010!A:H,8,FALSE))</f>
        <v>20358</v>
      </c>
      <c r="P121" s="46">
        <f t="shared" ca="1" si="5"/>
        <v>4.8333333333333336E-3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input_369010!A$2</f>
        <v>369010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IFERROR(VLOOKUP(B122,input_369010!L:R,7,FALSE),VLOOKUP(tables_369010!C122,input_369010!A:H,8,FALSE))</f>
        <v>2262</v>
      </c>
      <c r="P122" s="46">
        <f t="shared" ca="1" si="5"/>
        <v>5.3703703703703704E-4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input_369010!A$2</f>
        <v>369010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IFERROR(VLOOKUP(B123,input_369010!L:R,7,FALSE),VLOOKUP(tables_369010!C123,input_369010!A:H,8,FALSE))</f>
        <v>22620</v>
      </c>
      <c r="P123" s="46">
        <f t="shared" ca="1" si="5"/>
        <v>5.37037037037037E-3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input_369010!A$2</f>
        <v>369010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IFERROR(VLOOKUP(B124,input_369010!L:R,7,FALSE),VLOOKUP(tables_369010!C124,input_369010!A:H,8,FALSE))</f>
        <v>20358</v>
      </c>
      <c r="P124" s="46">
        <f t="shared" ca="1" si="5"/>
        <v>4.8333333333333336E-3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input_369010!A$2</f>
        <v>369010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IFERROR(VLOOKUP(B125,input_369010!L:R,7,FALSE),VLOOKUP(tables_369010!C125,input_369010!A:H,8,FALSE))</f>
        <v>2262</v>
      </c>
      <c r="P125" s="46">
        <f t="shared" ca="1" si="5"/>
        <v>5.3703703703703704E-4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input_369010!A$2</f>
        <v>369010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IFERROR(VLOOKUP(B126,input_369010!L:R,7,FALSE),VLOOKUP(tables_369010!C126,input_369010!A:H,8,FALSE))</f>
        <v>22620</v>
      </c>
      <c r="P126" s="46">
        <f t="shared" ca="1" si="5"/>
        <v>5.37037037037037E-3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input_369010!A$2</f>
        <v>369010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IFERROR(VLOOKUP(B127,input_369010!L:R,7,FALSE),VLOOKUP(tables_369010!C127,input_369010!A:H,8,FALSE))</f>
        <v>20358</v>
      </c>
      <c r="P127" s="46">
        <f t="shared" ca="1" si="5"/>
        <v>4.8333333333333336E-3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input_369010!A$2</f>
        <v>369010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IFERROR(VLOOKUP(B128,input_369010!L:R,7,FALSE),VLOOKUP(tables_369010!C128,input_369010!A:H,8,FALSE))</f>
        <v>2262</v>
      </c>
      <c r="P128" s="46">
        <f t="shared" ca="1" si="5"/>
        <v>5.3703703703703704E-4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input_369010!A$2</f>
        <v>369010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IFERROR(VLOOKUP(B129,input_369010!L:R,7,FALSE),VLOOKUP(tables_369010!C129,input_369010!A:H,8,FALSE))</f>
        <v>22620</v>
      </c>
      <c r="P129" s="46">
        <f t="shared" ca="1" si="5"/>
        <v>5.37037037037037E-3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input_369010!A$2</f>
        <v>369010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IFERROR(VLOOKUP(B130,input_369010!L:R,7,FALSE),VLOOKUP(tables_369010!C130,input_369010!A:H,8,FALSE))</f>
        <v>20358</v>
      </c>
      <c r="P130" s="46">
        <f t="shared" ca="1" si="5"/>
        <v>4.8333333333333336E-3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input_369010!A$2</f>
        <v>369010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IFERROR(VLOOKUP(B131,input_369010!L:R,7,FALSE),VLOOKUP(tables_369010!C131,input_369010!A:H,8,FALSE))</f>
        <v>2262</v>
      </c>
      <c r="P131" s="46">
        <f t="shared" ca="1" si="5"/>
        <v>5.3703703703703704E-4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input_369010!A$2</f>
        <v>369010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IFERROR(VLOOKUP(B132,input_369010!L:R,7,FALSE),VLOOKUP(tables_369010!C132,input_369010!A:H,8,FALSE))</f>
        <v>22620</v>
      </c>
      <c r="P132" s="46">
        <f t="shared" ca="1" si="5"/>
        <v>5.37037037037037E-3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input_369010!A$2</f>
        <v>369010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IFERROR(VLOOKUP(B133,input_369010!L:R,7,FALSE),VLOOKUP(tables_369010!C133,input_369010!A:H,8,FALSE))</f>
        <v>20358</v>
      </c>
      <c r="P133" s="46">
        <f t="shared" ca="1" si="5"/>
        <v>4.8333333333333336E-3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input_369010!A$2</f>
        <v>369010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IFERROR(VLOOKUP(B134,input_369010!L:R,7,FALSE),VLOOKUP(tables_369010!C134,input_369010!A:H,8,FALSE))</f>
        <v>2262</v>
      </c>
      <c r="P134" s="46">
        <f t="shared" ca="1" si="5"/>
        <v>5.3703703703703704E-4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input_369010!A$2</f>
        <v>369010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IFERROR(VLOOKUP(B135,input_369010!L:R,7,FALSE),VLOOKUP(tables_369010!C135,input_369010!A:H,8,FALSE))</f>
        <v>22620</v>
      </c>
      <c r="P135" s="46">
        <f t="shared" ca="1" si="5"/>
        <v>5.37037037037037E-3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input_369010!A$2</f>
        <v>369010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IFERROR(VLOOKUP(B136,input_369010!L:R,7,FALSE),VLOOKUP(tables_369010!C136,input_369010!A:H,8,FALSE))</f>
        <v>20358</v>
      </c>
      <c r="P136" s="46">
        <f t="shared" ca="1" si="5"/>
        <v>4.8333333333333336E-3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input_369010!A$2</f>
        <v>369010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IFERROR(VLOOKUP(B137,input_369010!L:R,7,FALSE),VLOOKUP(tables_369010!C137,input_369010!A:H,8,FALSE))</f>
        <v>2262</v>
      </c>
      <c r="P137" s="46">
        <f t="shared" ca="1" si="5"/>
        <v>5.3703703703703704E-4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input_369010!A$2</f>
        <v>369010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IFERROR(VLOOKUP(B138,input_369010!L:R,7,FALSE),VLOOKUP(tables_369010!C138,input_369010!A:H,8,FALSE))</f>
        <v>3078</v>
      </c>
      <c r="P138" s="46">
        <f t="shared" ca="1" si="5"/>
        <v>7.307692307692308E-4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input_369010!A$2</f>
        <v>369010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IFERROR(VLOOKUP(B139,input_369010!L:R,7,FALSE),VLOOKUP(tables_369010!C139,input_369010!A:H,8,FALSE))</f>
        <v>162</v>
      </c>
      <c r="P139" s="46">
        <f t="shared" ca="1" si="5"/>
        <v>3.8461538461538463E-5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input_369010!A$2</f>
        <v>369010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IFERROR(VLOOKUP(B140,input_369010!L:R,7,FALSE),VLOOKUP(tables_369010!C140,input_369010!A:H,8,FALSE))</f>
        <v>3078</v>
      </c>
      <c r="P140" s="46">
        <f t="shared" ca="1" si="5"/>
        <v>7.307692307692308E-4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input_369010!A$2</f>
        <v>369010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IFERROR(VLOOKUP(B141,input_369010!L:R,7,FALSE),VLOOKUP(tables_369010!C141,input_369010!A:H,8,FALSE))</f>
        <v>162</v>
      </c>
      <c r="P141" s="46">
        <f t="shared" ca="1" si="5"/>
        <v>3.8461538461538463E-5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input_369010!A$2</f>
        <v>369010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IFERROR(VLOOKUP(B142,input_369010!L:R,7,FALSE),VLOOKUP(tables_369010!C142,input_369010!A:H,8,FALSE))</f>
        <v>3078</v>
      </c>
      <c r="P142" s="46">
        <f t="shared" ca="1" si="5"/>
        <v>7.307692307692308E-4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input_369010!A$2</f>
        <v>369010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IFERROR(VLOOKUP(B143,input_369010!L:R,7,FALSE),VLOOKUP(tables_369010!C143,input_369010!A:H,8,FALSE))</f>
        <v>162</v>
      </c>
      <c r="P143" s="46">
        <f t="shared" ref="P143:P206" ca="1" si="8">O143/SUM(O:O)</f>
        <v>3.8461538461538463E-5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input_369010!A$2</f>
        <v>369010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IFERROR(VLOOKUP(B144,input_369010!L:R,7,FALSE),VLOOKUP(tables_369010!C144,input_369010!A:H,8,FALSE))</f>
        <v>3078</v>
      </c>
      <c r="P144" s="46">
        <f t="shared" ca="1" si="8"/>
        <v>7.307692307692308E-4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input_369010!A$2</f>
        <v>369010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IFERROR(VLOOKUP(B145,input_369010!L:R,7,FALSE),VLOOKUP(tables_369010!C145,input_369010!A:H,8,FALSE))</f>
        <v>162</v>
      </c>
      <c r="P145" s="46">
        <f t="shared" ca="1" si="8"/>
        <v>3.8461538461538463E-5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input_369010!A$2</f>
        <v>369010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IFERROR(VLOOKUP(B146,input_369010!L:R,7,FALSE),VLOOKUP(tables_369010!C146,input_369010!A:H,8,FALSE))</f>
        <v>22620</v>
      </c>
      <c r="P146" s="46">
        <f t="shared" ca="1" si="8"/>
        <v>5.37037037037037E-3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input_369010!A$2</f>
        <v>369010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IFERROR(VLOOKUP(B147,input_369010!L:R,7,FALSE),VLOOKUP(tables_369010!C147,input_369010!A:H,8,FALSE))</f>
        <v>20358</v>
      </c>
      <c r="P147" s="46">
        <f t="shared" ca="1" si="8"/>
        <v>4.8333333333333336E-3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input_369010!A$2</f>
        <v>369010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IFERROR(VLOOKUP(B148,input_369010!L:R,7,FALSE),VLOOKUP(tables_369010!C148,input_369010!A:H,8,FALSE))</f>
        <v>2262</v>
      </c>
      <c r="P148" s="46">
        <f t="shared" ca="1" si="8"/>
        <v>5.3703703703703704E-4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input_369010!A$2</f>
        <v>369010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IFERROR(VLOOKUP(B149,input_369010!L:R,7,FALSE),VLOOKUP(tables_369010!C149,input_369010!A:H,8,FALSE))</f>
        <v>3078</v>
      </c>
      <c r="P149" s="46">
        <f t="shared" ca="1" si="8"/>
        <v>7.307692307692308E-4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input_369010!A$2</f>
        <v>369010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IFERROR(VLOOKUP(B150,input_369010!L:R,7,FALSE),VLOOKUP(tables_369010!C150,input_369010!A:H,8,FALSE))</f>
        <v>162</v>
      </c>
      <c r="P150" s="46">
        <f t="shared" ca="1" si="8"/>
        <v>3.8461538461538463E-5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input_369010!A$2</f>
        <v>369010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IFERROR(VLOOKUP(B151,input_369010!L:R,7,FALSE),VLOOKUP(tables_369010!C151,input_369010!A:H,8,FALSE))</f>
        <v>3078</v>
      </c>
      <c r="P151" s="46">
        <f t="shared" ca="1" si="8"/>
        <v>7.307692307692308E-4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input_369010!A$2</f>
        <v>369010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IFERROR(VLOOKUP(B152,input_369010!L:R,7,FALSE),VLOOKUP(tables_369010!C152,input_369010!A:H,8,FALSE))</f>
        <v>162</v>
      </c>
      <c r="P152" s="46">
        <f t="shared" ca="1" si="8"/>
        <v>3.8461538461538463E-5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input_369010!A$2</f>
        <v>369010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IFERROR(VLOOKUP(B153,input_369010!L:R,7,FALSE),VLOOKUP(tables_369010!C153,input_369010!A:H,8,FALSE))</f>
        <v>22620</v>
      </c>
      <c r="P153" s="46">
        <f t="shared" ca="1" si="8"/>
        <v>5.37037037037037E-3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input_369010!A$2</f>
        <v>369010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IFERROR(VLOOKUP(B154,input_369010!L:R,7,FALSE),VLOOKUP(tables_369010!C154,input_369010!A:H,8,FALSE))</f>
        <v>20358</v>
      </c>
      <c r="P154" s="46">
        <f t="shared" ca="1" si="8"/>
        <v>4.8333333333333336E-3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input_369010!A$2</f>
        <v>369010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IFERROR(VLOOKUP(B155,input_369010!L:R,7,FALSE),VLOOKUP(tables_369010!C155,input_369010!A:H,8,FALSE))</f>
        <v>2262</v>
      </c>
      <c r="P155" s="46">
        <f t="shared" ca="1" si="8"/>
        <v>5.3703703703703704E-4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input_369010!A$2</f>
        <v>369010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IFERROR(VLOOKUP(B156,input_369010!L:R,7,FALSE),VLOOKUP(tables_369010!C156,input_369010!A:H,8,FALSE))</f>
        <v>3078</v>
      </c>
      <c r="P156" s="46">
        <f t="shared" ca="1" si="8"/>
        <v>7.307692307692308E-4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input_369010!A$2</f>
        <v>369010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IFERROR(VLOOKUP(B157,input_369010!L:R,7,FALSE),VLOOKUP(tables_369010!C157,input_369010!A:H,8,FALSE))</f>
        <v>162</v>
      </c>
      <c r="P157" s="46">
        <f t="shared" ca="1" si="8"/>
        <v>3.8461538461538463E-5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input_369010!A$2</f>
        <v>369010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IFERROR(VLOOKUP(B158,input_369010!L:R,7,FALSE),VLOOKUP(tables_369010!C158,input_369010!A:H,8,FALSE))</f>
        <v>22620</v>
      </c>
      <c r="P158" s="46">
        <f t="shared" ca="1" si="8"/>
        <v>5.37037037037037E-3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input_369010!A$2</f>
        <v>369010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IFERROR(VLOOKUP(B159,input_369010!L:R,7,FALSE),VLOOKUP(tables_369010!C159,input_369010!A:H,8,FALSE))</f>
        <v>20358</v>
      </c>
      <c r="P159" s="46">
        <f t="shared" ca="1" si="8"/>
        <v>4.8333333333333336E-3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input_369010!A$2</f>
        <v>369010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IFERROR(VLOOKUP(B160,input_369010!L:R,7,FALSE),VLOOKUP(tables_369010!C160,input_369010!A:H,8,FALSE))</f>
        <v>2262</v>
      </c>
      <c r="P160" s="46">
        <f t="shared" ca="1" si="8"/>
        <v>5.3703703703703704E-4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input_369010!A$2</f>
        <v>369010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IFERROR(VLOOKUP(B161,input_369010!L:R,7,FALSE),VLOOKUP(tables_369010!C161,input_369010!A:H,8,FALSE))</f>
        <v>22620</v>
      </c>
      <c r="P161" s="46">
        <f t="shared" ca="1" si="8"/>
        <v>5.37037037037037E-3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input_369010!A$2</f>
        <v>369010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IFERROR(VLOOKUP(B162,input_369010!L:R,7,FALSE),VLOOKUP(tables_369010!C162,input_369010!A:H,8,FALSE))</f>
        <v>20358</v>
      </c>
      <c r="P162" s="46">
        <f t="shared" ca="1" si="8"/>
        <v>4.8333333333333336E-3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input_369010!A$2</f>
        <v>369010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IFERROR(VLOOKUP(B163,input_369010!L:R,7,FALSE),VLOOKUP(tables_369010!C163,input_369010!A:H,8,FALSE))</f>
        <v>2262</v>
      </c>
      <c r="P163" s="46">
        <f t="shared" ca="1" si="8"/>
        <v>5.3703703703703704E-4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input_369010!A$2</f>
        <v>369010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IFERROR(VLOOKUP(B164,input_369010!L:R,7,FALSE),VLOOKUP(tables_369010!C164,input_369010!A:H,8,FALSE))</f>
        <v>3078</v>
      </c>
      <c r="P164" s="46">
        <f t="shared" ca="1" si="8"/>
        <v>7.307692307692308E-4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input_369010!A$2</f>
        <v>369010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IFERROR(VLOOKUP(B165,input_369010!L:R,7,FALSE),VLOOKUP(tables_369010!C165,input_369010!A:H,8,FALSE))</f>
        <v>162</v>
      </c>
      <c r="P165" s="46">
        <f t="shared" ca="1" si="8"/>
        <v>3.8461538461538463E-5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input_369010!A$2</f>
        <v>369010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IFERROR(VLOOKUP(B166,input_369010!L:R,7,FALSE),VLOOKUP(tables_369010!C166,input_369010!A:H,8,FALSE))</f>
        <v>22620</v>
      </c>
      <c r="P166" s="46">
        <f t="shared" ca="1" si="8"/>
        <v>5.37037037037037E-3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input_369010!A$2</f>
        <v>369010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IFERROR(VLOOKUP(B167,input_369010!L:R,7,FALSE),VLOOKUP(tables_369010!C167,input_369010!A:H,8,FALSE))</f>
        <v>20358</v>
      </c>
      <c r="P167" s="46">
        <f t="shared" ca="1" si="8"/>
        <v>4.8333333333333336E-3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input_369010!A$2</f>
        <v>369010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IFERROR(VLOOKUP(B168,input_369010!L:R,7,FALSE),VLOOKUP(tables_369010!C168,input_369010!A:H,8,FALSE))</f>
        <v>2262</v>
      </c>
      <c r="P168" s="46">
        <f t="shared" ca="1" si="8"/>
        <v>5.3703703703703704E-4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input_369010!A$2</f>
        <v>369010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IFERROR(VLOOKUP(B169,input_369010!L:R,7,FALSE),VLOOKUP(tables_369010!C169,input_369010!A:H,8,FALSE))</f>
        <v>3078</v>
      </c>
      <c r="P169" s="46">
        <f t="shared" ca="1" si="8"/>
        <v>7.307692307692308E-4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input_369010!A$2</f>
        <v>369010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IFERROR(VLOOKUP(B170,input_369010!L:R,7,FALSE),VLOOKUP(tables_369010!C170,input_369010!A:H,8,FALSE))</f>
        <v>162</v>
      </c>
      <c r="P170" s="46">
        <f t="shared" ca="1" si="8"/>
        <v>3.8461538461538463E-5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input_369010!A$2</f>
        <v>369010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IFERROR(VLOOKUP(B171,input_369010!L:R,7,FALSE),VLOOKUP(tables_369010!C171,input_369010!A:H,8,FALSE))</f>
        <v>22620</v>
      </c>
      <c r="P171" s="46">
        <f t="shared" ca="1" si="8"/>
        <v>5.37037037037037E-3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input_369010!A$2</f>
        <v>369010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IFERROR(VLOOKUP(B172,input_369010!L:R,7,FALSE),VLOOKUP(tables_369010!C172,input_369010!A:H,8,FALSE))</f>
        <v>20358</v>
      </c>
      <c r="P172" s="46">
        <f t="shared" ca="1" si="8"/>
        <v>4.8333333333333336E-3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input_369010!A$2</f>
        <v>369010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IFERROR(VLOOKUP(B173,input_369010!L:R,7,FALSE),VLOOKUP(tables_369010!C173,input_369010!A:H,8,FALSE))</f>
        <v>2262</v>
      </c>
      <c r="P173" s="46">
        <f t="shared" ca="1" si="8"/>
        <v>5.3703703703703704E-4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input_369010!A$2</f>
        <v>369010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IFERROR(VLOOKUP(B174,input_369010!L:R,7,FALSE),VLOOKUP(tables_369010!C174,input_369010!A:H,8,FALSE))</f>
        <v>3078</v>
      </c>
      <c r="P174" s="46">
        <f t="shared" ca="1" si="8"/>
        <v>7.307692307692308E-4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input_369010!A$2</f>
        <v>369010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IFERROR(VLOOKUP(B175,input_369010!L:R,7,FALSE),VLOOKUP(tables_369010!C175,input_369010!A:H,8,FALSE))</f>
        <v>162</v>
      </c>
      <c r="P175" s="46">
        <f t="shared" ca="1" si="8"/>
        <v>3.8461538461538463E-5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input_369010!A$2</f>
        <v>369010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IFERROR(VLOOKUP(B176,input_369010!L:R,7,FALSE),VLOOKUP(tables_369010!C176,input_369010!A:H,8,FALSE))</f>
        <v>3078</v>
      </c>
      <c r="P176" s="46">
        <f t="shared" ca="1" si="8"/>
        <v>7.307692307692308E-4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input_369010!A$2</f>
        <v>369010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IFERROR(VLOOKUP(B177,input_369010!L:R,7,FALSE),VLOOKUP(tables_369010!C177,input_369010!A:H,8,FALSE))</f>
        <v>162</v>
      </c>
      <c r="P177" s="46">
        <f t="shared" ca="1" si="8"/>
        <v>3.8461538461538463E-5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input_369010!A$2</f>
        <v>369010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IFERROR(VLOOKUP(B178,input_369010!L:R,7,FALSE),VLOOKUP(tables_369010!C178,input_369010!A:H,8,FALSE))</f>
        <v>22620</v>
      </c>
      <c r="P178" s="46">
        <f t="shared" ca="1" si="8"/>
        <v>5.37037037037037E-3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input_369010!A$2</f>
        <v>369010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IFERROR(VLOOKUP(B179,input_369010!L:R,7,FALSE),VLOOKUP(tables_369010!C179,input_369010!A:H,8,FALSE))</f>
        <v>20358</v>
      </c>
      <c r="P179" s="46">
        <f t="shared" ca="1" si="8"/>
        <v>4.8333333333333336E-3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input_369010!A$2</f>
        <v>369010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IFERROR(VLOOKUP(B180,input_369010!L:R,7,FALSE),VLOOKUP(tables_369010!C180,input_369010!A:H,8,FALSE))</f>
        <v>2262</v>
      </c>
      <c r="P180" s="46">
        <f t="shared" ca="1" si="8"/>
        <v>5.3703703703703704E-4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input_369010!A$2</f>
        <v>369010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IFERROR(VLOOKUP(B181,input_369010!L:R,7,FALSE),VLOOKUP(tables_369010!C181,input_369010!A:H,8,FALSE))</f>
        <v>22620</v>
      </c>
      <c r="P181" s="46">
        <f t="shared" ca="1" si="8"/>
        <v>5.37037037037037E-3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input_369010!A$2</f>
        <v>369010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IFERROR(VLOOKUP(B182,input_369010!L:R,7,FALSE),VLOOKUP(tables_369010!C182,input_369010!A:H,8,FALSE))</f>
        <v>20358</v>
      </c>
      <c r="P182" s="46">
        <f t="shared" ca="1" si="8"/>
        <v>4.8333333333333336E-3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input_369010!A$2</f>
        <v>369010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IFERROR(VLOOKUP(B183,input_369010!L:R,7,FALSE),VLOOKUP(tables_369010!C183,input_369010!A:H,8,FALSE))</f>
        <v>2262</v>
      </c>
      <c r="P183" s="46">
        <f t="shared" ca="1" si="8"/>
        <v>5.3703703703703704E-4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input_369010!A$2</f>
        <v>369010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IFERROR(VLOOKUP(B184,input_369010!L:R,7,FALSE),VLOOKUP(tables_369010!C184,input_369010!A:H,8,FALSE))</f>
        <v>3078</v>
      </c>
      <c r="P184" s="46">
        <f t="shared" ca="1" si="8"/>
        <v>7.307692307692308E-4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input_369010!A$2</f>
        <v>369010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IFERROR(VLOOKUP(B185,input_369010!L:R,7,FALSE),VLOOKUP(tables_369010!C185,input_369010!A:H,8,FALSE))</f>
        <v>162</v>
      </c>
      <c r="P185" s="46">
        <f t="shared" ca="1" si="8"/>
        <v>3.8461538461538463E-5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input_369010!A$2</f>
        <v>369010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IFERROR(VLOOKUP(B186,input_369010!L:R,7,FALSE),VLOOKUP(tables_369010!C186,input_369010!A:H,8,FALSE))</f>
        <v>22620</v>
      </c>
      <c r="P186" s="46">
        <f t="shared" ca="1" si="8"/>
        <v>5.37037037037037E-3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input_369010!A$2</f>
        <v>369010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IFERROR(VLOOKUP(B187,input_369010!L:R,7,FALSE),VLOOKUP(tables_369010!C187,input_369010!A:H,8,FALSE))</f>
        <v>20358</v>
      </c>
      <c r="P187" s="46">
        <f t="shared" ca="1" si="8"/>
        <v>4.8333333333333336E-3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input_369010!A$2</f>
        <v>369010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IFERROR(VLOOKUP(B188,input_369010!L:R,7,FALSE),VLOOKUP(tables_369010!C188,input_369010!A:H,8,FALSE))</f>
        <v>2262</v>
      </c>
      <c r="P188" s="46">
        <f t="shared" ca="1" si="8"/>
        <v>5.3703703703703704E-4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input_369010!A$2</f>
        <v>369010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IFERROR(VLOOKUP(B189,input_369010!L:R,7,FALSE),VLOOKUP(tables_369010!C189,input_369010!A:H,8,FALSE))</f>
        <v>3078</v>
      </c>
      <c r="P189" s="46">
        <f t="shared" ca="1" si="8"/>
        <v>7.307692307692308E-4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input_369010!A$2</f>
        <v>369010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IFERROR(VLOOKUP(B190,input_369010!L:R,7,FALSE),VLOOKUP(tables_369010!C190,input_369010!A:H,8,FALSE))</f>
        <v>162</v>
      </c>
      <c r="P190" s="46">
        <f t="shared" ca="1" si="8"/>
        <v>3.8461538461538463E-5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input_369010!A$2</f>
        <v>369010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IFERROR(VLOOKUP(B191,input_369010!L:R,7,FALSE),VLOOKUP(tables_369010!C191,input_369010!A:H,8,FALSE))</f>
        <v>3078</v>
      </c>
      <c r="P191" s="46">
        <f t="shared" ca="1" si="8"/>
        <v>7.307692307692308E-4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input_369010!A$2</f>
        <v>369010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IFERROR(VLOOKUP(B192,input_369010!L:R,7,FALSE),VLOOKUP(tables_369010!C192,input_369010!A:H,8,FALSE))</f>
        <v>162</v>
      </c>
      <c r="P192" s="46">
        <f t="shared" ca="1" si="8"/>
        <v>3.8461538461538463E-5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input_369010!A$2</f>
        <v>369010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IFERROR(VLOOKUP(B193,input_369010!L:R,7,FALSE),VLOOKUP(tables_369010!C193,input_369010!A:H,8,FALSE))</f>
        <v>22620</v>
      </c>
      <c r="P193" s="46">
        <f t="shared" ca="1" si="8"/>
        <v>5.37037037037037E-3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input_369010!A$2</f>
        <v>369010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IFERROR(VLOOKUP(B194,input_369010!L:R,7,FALSE),VLOOKUP(tables_369010!C194,input_369010!A:H,8,FALSE))</f>
        <v>20358</v>
      </c>
      <c r="P194" s="46">
        <f t="shared" ca="1" si="8"/>
        <v>4.8333333333333336E-3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input_369010!A$2</f>
        <v>369010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IFERROR(VLOOKUP(B195,input_369010!L:R,7,FALSE),VLOOKUP(tables_369010!C195,input_369010!A:H,8,FALSE))</f>
        <v>2262</v>
      </c>
      <c r="P195" s="46">
        <f t="shared" ca="1" si="8"/>
        <v>5.3703703703703704E-4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input_369010!A$2</f>
        <v>369010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IFERROR(VLOOKUP(B196,input_369010!L:R,7,FALSE),VLOOKUP(tables_369010!C196,input_369010!A:H,8,FALSE))</f>
        <v>3078</v>
      </c>
      <c r="P196" s="46">
        <f t="shared" ca="1" si="8"/>
        <v>7.307692307692308E-4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input_369010!A$2</f>
        <v>369010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IFERROR(VLOOKUP(B197,input_369010!L:R,7,FALSE),VLOOKUP(tables_369010!C197,input_369010!A:H,8,FALSE))</f>
        <v>162</v>
      </c>
      <c r="P197" s="46">
        <f t="shared" ca="1" si="8"/>
        <v>3.8461538461538463E-5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input_369010!A$2</f>
        <v>369010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IFERROR(VLOOKUP(B198,input_369010!L:R,7,FALSE),VLOOKUP(tables_369010!C198,input_369010!A:H,8,FALSE))</f>
        <v>22620</v>
      </c>
      <c r="P198" s="46">
        <f t="shared" ca="1" si="8"/>
        <v>5.37037037037037E-3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input_369010!A$2</f>
        <v>369010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IFERROR(VLOOKUP(B199,input_369010!L:R,7,FALSE),VLOOKUP(tables_369010!C199,input_369010!A:H,8,FALSE))</f>
        <v>20358</v>
      </c>
      <c r="P199" s="46">
        <f t="shared" ca="1" si="8"/>
        <v>4.8333333333333336E-3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input_369010!A$2</f>
        <v>369010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IFERROR(VLOOKUP(B200,input_369010!L:R,7,FALSE),VLOOKUP(tables_369010!C200,input_369010!A:H,8,FALSE))</f>
        <v>2262</v>
      </c>
      <c r="P200" s="46">
        <f t="shared" ca="1" si="8"/>
        <v>5.3703703703703704E-4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input_369010!A$2</f>
        <v>369010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IFERROR(VLOOKUP(B201,input_369010!L:R,7,FALSE),VLOOKUP(tables_369010!C201,input_369010!A:H,8,FALSE))</f>
        <v>3078</v>
      </c>
      <c r="P201" s="46">
        <f t="shared" ca="1" si="8"/>
        <v>7.307692307692308E-4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input_369010!A$2</f>
        <v>369010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IFERROR(VLOOKUP(B202,input_369010!L:R,7,FALSE),VLOOKUP(tables_369010!C202,input_369010!A:H,8,FALSE))</f>
        <v>162</v>
      </c>
      <c r="P202" s="46">
        <f t="shared" ca="1" si="8"/>
        <v>3.8461538461538463E-5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input_369010!A$2</f>
        <v>369010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IFERROR(VLOOKUP(B203,input_369010!L:R,7,FALSE),VLOOKUP(tables_369010!C203,input_369010!A:H,8,FALSE))</f>
        <v>22620</v>
      </c>
      <c r="P203" s="46">
        <f t="shared" ca="1" si="8"/>
        <v>5.37037037037037E-3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input_369010!A$2</f>
        <v>369010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IFERROR(VLOOKUP(B204,input_369010!L:R,7,FALSE),VLOOKUP(tables_369010!C204,input_369010!A:H,8,FALSE))</f>
        <v>20358</v>
      </c>
      <c r="P204" s="46">
        <f t="shared" ca="1" si="8"/>
        <v>4.8333333333333336E-3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input_369010!A$2</f>
        <v>369010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IFERROR(VLOOKUP(B205,input_369010!L:R,7,FALSE),VLOOKUP(tables_369010!C205,input_369010!A:H,8,FALSE))</f>
        <v>2262</v>
      </c>
      <c r="P205" s="46">
        <f t="shared" ca="1" si="8"/>
        <v>5.3703703703703704E-4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input_369010!A$2</f>
        <v>369010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IFERROR(VLOOKUP(B206,input_369010!L:R,7,FALSE),VLOOKUP(tables_369010!C206,input_369010!A:H,8,FALSE))</f>
        <v>3078</v>
      </c>
      <c r="P206" s="46">
        <f t="shared" ca="1" si="8"/>
        <v>7.307692307692308E-4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input_369010!A$2</f>
        <v>369010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IFERROR(VLOOKUP(B207,input_369010!L:R,7,FALSE),VLOOKUP(tables_369010!C207,input_369010!A:H,8,FALSE))</f>
        <v>162</v>
      </c>
      <c r="P207" s="46">
        <f t="shared" ref="P207:P270" ca="1" si="11">O207/SUM(O:O)</f>
        <v>3.8461538461538463E-5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input_369010!A$2</f>
        <v>369010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IFERROR(VLOOKUP(B208,input_369010!L:R,7,FALSE),VLOOKUP(tables_369010!C208,input_369010!A:H,8,FALSE))</f>
        <v>3078</v>
      </c>
      <c r="P208" s="46">
        <f t="shared" ca="1" si="11"/>
        <v>7.307692307692308E-4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input_369010!A$2</f>
        <v>369010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IFERROR(VLOOKUP(B209,input_369010!L:R,7,FALSE),VLOOKUP(tables_369010!C209,input_369010!A:H,8,FALSE))</f>
        <v>162</v>
      </c>
      <c r="P209" s="46">
        <f t="shared" ca="1" si="11"/>
        <v>3.8461538461538463E-5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input_369010!A$2</f>
        <v>369010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IFERROR(VLOOKUP(B210,input_369010!L:R,7,FALSE),VLOOKUP(tables_369010!C210,input_369010!A:H,8,FALSE))</f>
        <v>22620</v>
      </c>
      <c r="P210" s="46">
        <f t="shared" ca="1" si="11"/>
        <v>5.37037037037037E-3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input_369010!A$2</f>
        <v>369010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IFERROR(VLOOKUP(B211,input_369010!L:R,7,FALSE),VLOOKUP(tables_369010!C211,input_369010!A:H,8,FALSE))</f>
        <v>20358</v>
      </c>
      <c r="P211" s="46">
        <f t="shared" ca="1" si="11"/>
        <v>4.8333333333333336E-3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input_369010!A$2</f>
        <v>369010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IFERROR(VLOOKUP(B212,input_369010!L:R,7,FALSE),VLOOKUP(tables_369010!C212,input_369010!A:H,8,FALSE))</f>
        <v>2262</v>
      </c>
      <c r="P212" s="46">
        <f t="shared" ca="1" si="11"/>
        <v>5.3703703703703704E-4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input_369010!A$2</f>
        <v>369010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IFERROR(VLOOKUP(B213,input_369010!L:R,7,FALSE),VLOOKUP(tables_369010!C213,input_369010!A:H,8,FALSE))</f>
        <v>3078</v>
      </c>
      <c r="P213" s="46">
        <f t="shared" ca="1" si="11"/>
        <v>7.307692307692308E-4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input_369010!A$2</f>
        <v>369010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IFERROR(VLOOKUP(B214,input_369010!L:R,7,FALSE),VLOOKUP(tables_369010!C214,input_369010!A:H,8,FALSE))</f>
        <v>162</v>
      </c>
      <c r="P214" s="46">
        <f t="shared" ca="1" si="11"/>
        <v>3.8461538461538463E-5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input_369010!A$2</f>
        <v>369010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IFERROR(VLOOKUP(B215,input_369010!L:R,7,FALSE),VLOOKUP(tables_369010!C215,input_369010!A:H,8,FALSE))</f>
        <v>3078</v>
      </c>
      <c r="P215" s="46">
        <f t="shared" ca="1" si="11"/>
        <v>7.307692307692308E-4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input_369010!A$2</f>
        <v>369010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IFERROR(VLOOKUP(B216,input_369010!L:R,7,FALSE),VLOOKUP(tables_369010!C216,input_369010!A:H,8,FALSE))</f>
        <v>162</v>
      </c>
      <c r="P216" s="46">
        <f t="shared" ca="1" si="11"/>
        <v>3.8461538461538463E-5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input_369010!A$2</f>
        <v>369010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IFERROR(VLOOKUP(B217,input_369010!L:R,7,FALSE),VLOOKUP(tables_369010!C217,input_369010!A:H,8,FALSE))</f>
        <v>22620</v>
      </c>
      <c r="P217" s="46">
        <f t="shared" ca="1" si="11"/>
        <v>5.37037037037037E-3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input_369010!A$2</f>
        <v>369010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IFERROR(VLOOKUP(B218,input_369010!L:R,7,FALSE),VLOOKUP(tables_369010!C218,input_369010!A:H,8,FALSE))</f>
        <v>20358</v>
      </c>
      <c r="P218" s="46">
        <f t="shared" ca="1" si="11"/>
        <v>4.8333333333333336E-3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input_369010!A$2</f>
        <v>369010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IFERROR(VLOOKUP(B219,input_369010!L:R,7,FALSE),VLOOKUP(tables_369010!C219,input_369010!A:H,8,FALSE))</f>
        <v>2262</v>
      </c>
      <c r="P219" s="46">
        <f t="shared" ca="1" si="11"/>
        <v>5.3703703703703704E-4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input_369010!A$2</f>
        <v>369010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IFERROR(VLOOKUP(B220,input_369010!L:R,7,FALSE),VLOOKUP(tables_369010!C220,input_369010!A:H,8,FALSE))</f>
        <v>22620</v>
      </c>
      <c r="P220" s="46">
        <f t="shared" ca="1" si="11"/>
        <v>5.37037037037037E-3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input_369010!A$2</f>
        <v>369010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IFERROR(VLOOKUP(B221,input_369010!L:R,7,FALSE),VLOOKUP(tables_369010!C221,input_369010!A:H,8,FALSE))</f>
        <v>20358</v>
      </c>
      <c r="P221" s="46">
        <f t="shared" ca="1" si="11"/>
        <v>4.8333333333333336E-3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input_369010!A$2</f>
        <v>369010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IFERROR(VLOOKUP(B222,input_369010!L:R,7,FALSE),VLOOKUP(tables_369010!C222,input_369010!A:H,8,FALSE))</f>
        <v>2262</v>
      </c>
      <c r="P222" s="46">
        <f t="shared" ca="1" si="11"/>
        <v>5.3703703703703704E-4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input_369010!A$2</f>
        <v>369010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IFERROR(VLOOKUP(B223,input_369010!L:R,7,FALSE),VLOOKUP(tables_369010!C223,input_369010!A:H,8,FALSE))</f>
        <v>3078</v>
      </c>
      <c r="P223" s="46">
        <f t="shared" ca="1" si="11"/>
        <v>7.307692307692308E-4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input_369010!A$2</f>
        <v>369010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IFERROR(VLOOKUP(B224,input_369010!L:R,7,FALSE),VLOOKUP(tables_369010!C224,input_369010!A:H,8,FALSE))</f>
        <v>162</v>
      </c>
      <c r="P224" s="46">
        <f t="shared" ca="1" si="11"/>
        <v>3.8461538461538463E-5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input_369010!A$2</f>
        <v>369010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IFERROR(VLOOKUP(B225,input_369010!L:R,7,FALSE),VLOOKUP(tables_369010!C225,input_369010!A:H,8,FALSE))</f>
        <v>22620</v>
      </c>
      <c r="P225" s="46">
        <f t="shared" ca="1" si="11"/>
        <v>5.37037037037037E-3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input_369010!A$2</f>
        <v>369010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IFERROR(VLOOKUP(B226,input_369010!L:R,7,FALSE),VLOOKUP(tables_369010!C226,input_369010!A:H,8,FALSE))</f>
        <v>20358</v>
      </c>
      <c r="P226" s="46">
        <f t="shared" ca="1" si="11"/>
        <v>4.8333333333333336E-3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input_369010!A$2</f>
        <v>369010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IFERROR(VLOOKUP(B227,input_369010!L:R,7,FALSE),VLOOKUP(tables_369010!C227,input_369010!A:H,8,FALSE))</f>
        <v>2262</v>
      </c>
      <c r="P227" s="46">
        <f t="shared" ca="1" si="11"/>
        <v>5.3703703703703704E-4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input_369010!A$2</f>
        <v>369010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IFERROR(VLOOKUP(B228,input_369010!L:R,7,FALSE),VLOOKUP(tables_369010!C228,input_369010!A:H,8,FALSE))</f>
        <v>22620</v>
      </c>
      <c r="P228" s="46">
        <f t="shared" ca="1" si="11"/>
        <v>5.37037037037037E-3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input_369010!A$2</f>
        <v>369010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IFERROR(VLOOKUP(B229,input_369010!L:R,7,FALSE),VLOOKUP(tables_369010!C229,input_369010!A:H,8,FALSE))</f>
        <v>20358</v>
      </c>
      <c r="P229" s="46">
        <f t="shared" ca="1" si="11"/>
        <v>4.8333333333333336E-3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input_369010!A$2</f>
        <v>369010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IFERROR(VLOOKUP(B230,input_369010!L:R,7,FALSE),VLOOKUP(tables_369010!C230,input_369010!A:H,8,FALSE))</f>
        <v>2262</v>
      </c>
      <c r="P230" s="46">
        <f t="shared" ca="1" si="11"/>
        <v>5.3703703703703704E-4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input_369010!A$2</f>
        <v>369010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IFERROR(VLOOKUP(B231,input_369010!L:R,7,FALSE),VLOOKUP(tables_369010!C231,input_369010!A:H,8,FALSE))</f>
        <v>3078</v>
      </c>
      <c r="P231" s="46">
        <f t="shared" ca="1" si="11"/>
        <v>7.307692307692308E-4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input_369010!A$2</f>
        <v>369010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IFERROR(VLOOKUP(B232,input_369010!L:R,7,FALSE),VLOOKUP(tables_369010!C232,input_369010!A:H,8,FALSE))</f>
        <v>162</v>
      </c>
      <c r="P232" s="46">
        <f t="shared" ca="1" si="11"/>
        <v>3.8461538461538463E-5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input_369010!A$2</f>
        <v>369010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IFERROR(VLOOKUP(B233,input_369010!L:R,7,FALSE),VLOOKUP(tables_369010!C233,input_369010!A:H,8,FALSE))</f>
        <v>22620</v>
      </c>
      <c r="P233" s="46">
        <f t="shared" ca="1" si="11"/>
        <v>5.37037037037037E-3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input_369010!A$2</f>
        <v>369010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IFERROR(VLOOKUP(B234,input_369010!L:R,7,FALSE),VLOOKUP(tables_369010!C234,input_369010!A:H,8,FALSE))</f>
        <v>20358</v>
      </c>
      <c r="P234" s="46">
        <f t="shared" ca="1" si="11"/>
        <v>4.8333333333333336E-3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input_369010!A$2</f>
        <v>369010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IFERROR(VLOOKUP(B235,input_369010!L:R,7,FALSE),VLOOKUP(tables_369010!C235,input_369010!A:H,8,FALSE))</f>
        <v>2262</v>
      </c>
      <c r="P235" s="46">
        <f t="shared" ca="1" si="11"/>
        <v>5.3703703703703704E-4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input_369010!A$2</f>
        <v>369010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IFERROR(VLOOKUP(B236,input_369010!L:R,7,FALSE),VLOOKUP(tables_369010!C236,input_369010!A:H,8,FALSE))</f>
        <v>3078</v>
      </c>
      <c r="P236" s="46">
        <f t="shared" ca="1" si="11"/>
        <v>7.307692307692308E-4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input_369010!A$2</f>
        <v>369010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IFERROR(VLOOKUP(B237,input_369010!L:R,7,FALSE),VLOOKUP(tables_369010!C237,input_369010!A:H,8,FALSE))</f>
        <v>162</v>
      </c>
      <c r="P237" s="46">
        <f t="shared" ca="1" si="11"/>
        <v>3.8461538461538463E-5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input_369010!A$2</f>
        <v>369010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IFERROR(VLOOKUP(B238,input_369010!L:R,7,FALSE),VLOOKUP(tables_369010!C238,input_369010!A:H,8,FALSE))</f>
        <v>3078</v>
      </c>
      <c r="P238" s="46">
        <f t="shared" ca="1" si="11"/>
        <v>7.307692307692308E-4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input_369010!A$2</f>
        <v>369010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IFERROR(VLOOKUP(B239,input_369010!L:R,7,FALSE),VLOOKUP(tables_369010!C239,input_369010!A:H,8,FALSE))</f>
        <v>162</v>
      </c>
      <c r="P239" s="46">
        <f t="shared" ca="1" si="11"/>
        <v>3.8461538461538463E-5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input_369010!A$2</f>
        <v>369010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IFERROR(VLOOKUP(B240,input_369010!L:R,7,FALSE),VLOOKUP(tables_369010!C240,input_369010!A:H,8,FALSE))</f>
        <v>22620</v>
      </c>
      <c r="P240" s="46">
        <f t="shared" ca="1" si="11"/>
        <v>5.37037037037037E-3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input_369010!A$2</f>
        <v>369010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IFERROR(VLOOKUP(B241,input_369010!L:R,7,FALSE),VLOOKUP(tables_369010!C241,input_369010!A:H,8,FALSE))</f>
        <v>20358</v>
      </c>
      <c r="P241" s="46">
        <f t="shared" ca="1" si="11"/>
        <v>4.8333333333333336E-3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input_369010!A$2</f>
        <v>369010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IFERROR(VLOOKUP(B242,input_369010!L:R,7,FALSE),VLOOKUP(tables_369010!C242,input_369010!A:H,8,FALSE))</f>
        <v>2262</v>
      </c>
      <c r="P242" s="46">
        <f t="shared" ca="1" si="11"/>
        <v>5.3703703703703704E-4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input_369010!A$2</f>
        <v>369010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IFERROR(VLOOKUP(B243,input_369010!L:R,7,FALSE),VLOOKUP(tables_369010!C243,input_369010!A:H,8,FALSE))</f>
        <v>22620</v>
      </c>
      <c r="P243" s="46">
        <f t="shared" ca="1" si="11"/>
        <v>5.37037037037037E-3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input_369010!A$2</f>
        <v>369010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IFERROR(VLOOKUP(B244,input_369010!L:R,7,FALSE),VLOOKUP(tables_369010!C244,input_369010!A:H,8,FALSE))</f>
        <v>20358</v>
      </c>
      <c r="P244" s="46">
        <f t="shared" ca="1" si="11"/>
        <v>4.8333333333333336E-3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input_369010!A$2</f>
        <v>369010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IFERROR(VLOOKUP(B245,input_369010!L:R,7,FALSE),VLOOKUP(tables_369010!C245,input_369010!A:H,8,FALSE))</f>
        <v>2262</v>
      </c>
      <c r="P245" s="46">
        <f t="shared" ca="1" si="11"/>
        <v>5.3703703703703704E-4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input_369010!A$2</f>
        <v>369010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IFERROR(VLOOKUP(B246,input_369010!L:R,7,FALSE),VLOOKUP(tables_369010!C246,input_369010!A:H,8,FALSE))</f>
        <v>22620</v>
      </c>
      <c r="P246" s="46">
        <f t="shared" ca="1" si="11"/>
        <v>5.37037037037037E-3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input_369010!A$2</f>
        <v>369010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IFERROR(VLOOKUP(B247,input_369010!L:R,7,FALSE),VLOOKUP(tables_369010!C247,input_369010!A:H,8,FALSE))</f>
        <v>20358</v>
      </c>
      <c r="P247" s="46">
        <f t="shared" ca="1" si="11"/>
        <v>4.8333333333333336E-3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input_369010!A$2</f>
        <v>369010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IFERROR(VLOOKUP(B248,input_369010!L:R,7,FALSE),VLOOKUP(tables_369010!C248,input_369010!A:H,8,FALSE))</f>
        <v>2262</v>
      </c>
      <c r="P248" s="46">
        <f t="shared" ca="1" si="11"/>
        <v>5.3703703703703704E-4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input_369010!A$2</f>
        <v>369010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IFERROR(VLOOKUP(B249,input_369010!L:R,7,FALSE),VLOOKUP(tables_369010!C249,input_369010!A:H,8,FALSE))</f>
        <v>22620</v>
      </c>
      <c r="P249" s="46">
        <f t="shared" ca="1" si="11"/>
        <v>5.37037037037037E-3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input_369010!A$2</f>
        <v>369010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IFERROR(VLOOKUP(B250,input_369010!L:R,7,FALSE),VLOOKUP(tables_369010!C250,input_369010!A:H,8,FALSE))</f>
        <v>20358</v>
      </c>
      <c r="P250" s="46">
        <f t="shared" ca="1" si="11"/>
        <v>4.8333333333333336E-3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input_369010!A$2</f>
        <v>369010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IFERROR(VLOOKUP(B251,input_369010!L:R,7,FALSE),VLOOKUP(tables_369010!C251,input_369010!A:H,8,FALSE))</f>
        <v>2262</v>
      </c>
      <c r="P251" s="46">
        <f t="shared" ca="1" si="11"/>
        <v>5.3703703703703704E-4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input_369010!A$2</f>
        <v>369010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IFERROR(VLOOKUP(B252,input_369010!L:R,7,FALSE),VLOOKUP(tables_369010!C252,input_369010!A:H,8,FALSE))</f>
        <v>3078</v>
      </c>
      <c r="P252" s="46">
        <f t="shared" ca="1" si="11"/>
        <v>7.307692307692308E-4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input_369010!A$2</f>
        <v>369010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IFERROR(VLOOKUP(B253,input_369010!L:R,7,FALSE),VLOOKUP(tables_369010!C253,input_369010!A:H,8,FALSE))</f>
        <v>162</v>
      </c>
      <c r="P253" s="46">
        <f t="shared" ca="1" si="11"/>
        <v>3.8461538461538463E-5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input_369010!A$2</f>
        <v>369010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IFERROR(VLOOKUP(B254,input_369010!L:R,7,FALSE),VLOOKUP(tables_369010!C254,input_369010!A:H,8,FALSE))</f>
        <v>3078</v>
      </c>
      <c r="P254" s="46">
        <f t="shared" ca="1" si="11"/>
        <v>7.307692307692308E-4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input_369010!A$2</f>
        <v>369010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IFERROR(VLOOKUP(B255,input_369010!L:R,7,FALSE),VLOOKUP(tables_369010!C255,input_369010!A:H,8,FALSE))</f>
        <v>162</v>
      </c>
      <c r="P255" s="46">
        <f t="shared" ca="1" si="11"/>
        <v>3.8461538461538463E-5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input_369010!A$2</f>
        <v>369010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IFERROR(VLOOKUP(B256,input_369010!L:R,7,FALSE),VLOOKUP(tables_369010!C256,input_369010!A:H,8,FALSE))</f>
        <v>39373.333330000001</v>
      </c>
      <c r="P256" s="46">
        <f t="shared" ca="1" si="11"/>
        <v>9.3478949026590697E-3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input_369010!A$2</f>
        <v>369010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IFERROR(VLOOKUP(B257,input_369010!L:R,7,FALSE),VLOOKUP(tables_369010!C257,input_369010!A:H,8,FALSE))</f>
        <v>5866.6666699999996</v>
      </c>
      <c r="P257" s="46">
        <f t="shared" ca="1" si="11"/>
        <v>1.3928458380816713E-3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input_369010!A$2</f>
        <v>369010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IFERROR(VLOOKUP(B258,input_369010!L:R,7,FALSE),VLOOKUP(tables_369010!C258,input_369010!A:H,8,FALSE))</f>
        <v>39373.333330000001</v>
      </c>
      <c r="P258" s="46">
        <f t="shared" ca="1" si="11"/>
        <v>9.3478949026590697E-3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input_369010!A$2</f>
        <v>369010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IFERROR(VLOOKUP(B259,input_369010!L:R,7,FALSE),VLOOKUP(tables_369010!C259,input_369010!A:H,8,FALSE))</f>
        <v>5866.6666699999996</v>
      </c>
      <c r="P259" s="46">
        <f t="shared" ca="1" si="11"/>
        <v>1.3928458380816713E-3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input_369010!A$2</f>
        <v>369010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IFERROR(VLOOKUP(B260,input_369010!L:R,7,FALSE),VLOOKUP(tables_369010!C260,input_369010!A:H,8,FALSE))</f>
        <v>3240</v>
      </c>
      <c r="P260" s="46">
        <f t="shared" ca="1" si="11"/>
        <v>7.6923076923076923E-4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input_369010!A$2</f>
        <v>369010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IFERROR(VLOOKUP(B261,input_369010!L:R,7,FALSE),VLOOKUP(tables_369010!C261,input_369010!A:H,8,FALSE))</f>
        <v>3240</v>
      </c>
      <c r="P261" s="46">
        <f t="shared" ca="1" si="11"/>
        <v>7.6923076923076923E-4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input_369010!A$2</f>
        <v>369010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IFERROR(VLOOKUP(B262,input_369010!L:R,7,FALSE),VLOOKUP(tables_369010!C262,input_369010!A:H,8,FALSE))</f>
        <v>3078</v>
      </c>
      <c r="P262" s="46">
        <f t="shared" ca="1" si="11"/>
        <v>7.307692307692308E-4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input_369010!A$2</f>
        <v>369010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IFERROR(VLOOKUP(B263,input_369010!L:R,7,FALSE),VLOOKUP(tables_369010!C263,input_369010!A:H,8,FALSE))</f>
        <v>162</v>
      </c>
      <c r="P263" s="46">
        <f t="shared" ca="1" si="11"/>
        <v>3.8461538461538463E-5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input_369010!A$2</f>
        <v>369010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IFERROR(VLOOKUP(B264,input_369010!L:R,7,FALSE),VLOOKUP(tables_369010!C264,input_369010!A:H,8,FALSE))</f>
        <v>3078</v>
      </c>
      <c r="P264" s="46">
        <f t="shared" ca="1" si="11"/>
        <v>7.307692307692308E-4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input_369010!A$2</f>
        <v>369010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IFERROR(VLOOKUP(B265,input_369010!L:R,7,FALSE),VLOOKUP(tables_369010!C265,input_369010!A:H,8,FALSE))</f>
        <v>162</v>
      </c>
      <c r="P265" s="46">
        <f t="shared" ca="1" si="11"/>
        <v>3.8461538461538463E-5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input_369010!A$2</f>
        <v>369010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IFERROR(VLOOKUP(B266,input_369010!L:R,7,FALSE),VLOOKUP(tables_369010!C266,input_369010!A:H,8,FALSE))</f>
        <v>22620</v>
      </c>
      <c r="P266" s="46">
        <f t="shared" ca="1" si="11"/>
        <v>5.37037037037037E-3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input_369010!A$2</f>
        <v>369010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IFERROR(VLOOKUP(B267,input_369010!L:R,7,FALSE),VLOOKUP(tables_369010!C267,input_369010!A:H,8,FALSE))</f>
        <v>20358</v>
      </c>
      <c r="P267" s="46">
        <f t="shared" ca="1" si="11"/>
        <v>4.8333333333333336E-3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input_369010!A$2</f>
        <v>369010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IFERROR(VLOOKUP(B268,input_369010!L:R,7,FALSE),VLOOKUP(tables_369010!C268,input_369010!A:H,8,FALSE))</f>
        <v>2262</v>
      </c>
      <c r="P268" s="46">
        <f t="shared" ca="1" si="11"/>
        <v>5.3703703703703704E-4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input_369010!A$2</f>
        <v>369010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IFERROR(VLOOKUP(B269,input_369010!L:R,7,FALSE),VLOOKUP(tables_369010!C269,input_369010!A:H,8,FALSE))</f>
        <v>22620</v>
      </c>
      <c r="P269" s="46">
        <f t="shared" ca="1" si="11"/>
        <v>5.37037037037037E-3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input_369010!A$2</f>
        <v>369010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IFERROR(VLOOKUP(B270,input_369010!L:R,7,FALSE),VLOOKUP(tables_369010!C270,input_369010!A:H,8,FALSE))</f>
        <v>20358</v>
      </c>
      <c r="P270" s="46">
        <f t="shared" ca="1" si="11"/>
        <v>4.8333333333333336E-3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input_369010!A$2</f>
        <v>369010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IFERROR(VLOOKUP(B271,input_369010!L:R,7,FALSE),VLOOKUP(tables_369010!C271,input_369010!A:H,8,FALSE))</f>
        <v>2262</v>
      </c>
      <c r="P271" s="46">
        <f t="shared" ref="P271:P283" ca="1" si="14">O271/SUM(O:O)</f>
        <v>5.3703703703703704E-4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input_369010!A$2</f>
        <v>369010</v>
      </c>
      <c r="B272" s="83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IFERROR(VLOOKUP(B272,input_369010!L:R,7,FALSE),VLOOKUP(tables_369010!C272,input_369010!A:H,8,FALSE))</f>
        <v>3240</v>
      </c>
      <c r="P272" s="46">
        <f t="shared" ca="1" si="14"/>
        <v>7.6923076923076923E-4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input_369010!A$2</f>
        <v>369010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IFERROR(VLOOKUP(B273,input_369010!L:R,7,FALSE),VLOOKUP(tables_369010!C273,input_369010!A:H,8,FALSE))</f>
        <v>3240</v>
      </c>
      <c r="P273" s="46">
        <f t="shared" ca="1" si="14"/>
        <v>7.6923076923076923E-4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input_369010!A$2</f>
        <v>369010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IFERROR(VLOOKUP(B274,input_369010!L:R,7,FALSE),VLOOKUP(tables_369010!C274,input_369010!A:H,8,FALSE))</f>
        <v>39373.333330000001</v>
      </c>
      <c r="P274" s="46">
        <f t="shared" ca="1" si="14"/>
        <v>9.3478949026590697E-3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input_369010!A$2</f>
        <v>369010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IFERROR(VLOOKUP(B275,input_369010!L:R,7,FALSE),VLOOKUP(tables_369010!C275,input_369010!A:H,8,FALSE))</f>
        <v>5866.6666699999996</v>
      </c>
      <c r="P275" s="46">
        <f t="shared" ca="1" si="14"/>
        <v>1.3928458380816713E-3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input_369010!A$2</f>
        <v>369010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IFERROR(VLOOKUP(B276,input_369010!L:R,7,FALSE),VLOOKUP(tables_369010!C276,input_369010!A:H,8,FALSE))</f>
        <v>39373.333330000001</v>
      </c>
      <c r="P276" s="46">
        <f t="shared" ca="1" si="14"/>
        <v>9.3478949026590697E-3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input_369010!A$2</f>
        <v>369010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IFERROR(VLOOKUP(B277,input_369010!L:R,7,FALSE),VLOOKUP(tables_369010!C277,input_369010!A:H,8,FALSE))</f>
        <v>5866.6666699999996</v>
      </c>
      <c r="P277" s="46">
        <f t="shared" ca="1" si="14"/>
        <v>1.3928458380816713E-3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input_369010!A$2</f>
        <v>369010</v>
      </c>
      <c r="B278" s="83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IFERROR(VLOOKUP(B278,input_369010!L:R,7,FALSE),VLOOKUP(tables_369010!C278,input_369010!A:H,8,FALSE))</f>
        <v>39373.333330000001</v>
      </c>
      <c r="P278" s="46">
        <f t="shared" ca="1" si="14"/>
        <v>9.3478949026590697E-3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input_369010!A$2</f>
        <v>369010</v>
      </c>
      <c r="B279" s="83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IFERROR(VLOOKUP(B279,input_369010!L:R,7,FALSE),VLOOKUP(tables_369010!C279,input_369010!A:H,8,FALSE))</f>
        <v>5866.6666699999996</v>
      </c>
      <c r="P279" s="46">
        <f t="shared" ca="1" si="14"/>
        <v>1.3928458380816713E-3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input_369010!A$2</f>
        <v>369010</v>
      </c>
      <c r="B280" s="83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IFERROR(VLOOKUP(B280,input_369010!L:R,7,FALSE),VLOOKUP(tables_369010!C280,input_369010!A:H,8,FALSE))</f>
        <v>39373.333330000001</v>
      </c>
      <c r="P280" s="46">
        <f t="shared" ca="1" si="14"/>
        <v>9.3478949026590697E-3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input_369010!A$2</f>
        <v>369010</v>
      </c>
      <c r="B281" s="83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IFERROR(VLOOKUP(B281,input_369010!L:R,7,FALSE),VLOOKUP(tables_369010!C281,input_369010!A:H,8,FALSE))</f>
        <v>5866.6666699999996</v>
      </c>
      <c r="P281" s="46">
        <f t="shared" ca="1" si="14"/>
        <v>1.3928458380816713E-3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input_369010!A$2</f>
        <v>369010</v>
      </c>
      <c r="B282" s="83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IFERROR(VLOOKUP(B282,input_369010!L:R,7,FALSE),VLOOKUP(tables_369010!C282,input_369010!A:H,8,FALSE))</f>
        <v>3240</v>
      </c>
      <c r="P282" s="46">
        <f t="shared" ca="1" si="14"/>
        <v>7.6923076923076923E-4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input_369010!A$2</f>
        <v>369010</v>
      </c>
      <c r="B283" s="83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IFERROR(VLOOKUP(B283,input_369010!L:R,7,FALSE),VLOOKUP(tables_369010!C283,input_369010!A:H,8,FALSE))</f>
        <v>3240</v>
      </c>
      <c r="P283" s="46">
        <f t="shared" ca="1" si="14"/>
        <v>7.6923076923076923E-4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input_369010!A$2</f>
        <v>369010</v>
      </c>
      <c r="B284" s="83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IFERROR(VLOOKUP(B284,input_369010!L:R,7,FALSE),VLOOKUP(tables_369010!C284,input_369010!A:H,8,FALSE))</f>
        <v>3240</v>
      </c>
      <c r="P284" s="46">
        <f t="shared" ref="P284:P289" ca="1" si="19">O284/SUM(O:O)</f>
        <v>7.6923076923076923E-4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input_369010!A$2</f>
        <v>369010</v>
      </c>
      <c r="B285" s="83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IFERROR(VLOOKUP(B285,input_369010!L:R,7,FALSE),VLOOKUP(tables_369010!C285,input_369010!A:H,8,FALSE))</f>
        <v>3240</v>
      </c>
      <c r="P285" s="46">
        <f t="shared" ca="1" si="19"/>
        <v>7.6923076923076923E-4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input_369010!A$2</f>
        <v>369010</v>
      </c>
      <c r="B286" s="8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IFERROR(VLOOKUP(B286,input_369010!L:R,7,FALSE),VLOOKUP(tables_369010!C286,input_369010!A:H,8,FALSE))</f>
        <v>39373.333330000001</v>
      </c>
      <c r="P286" s="46">
        <f t="shared" ca="1" si="19"/>
        <v>9.3478949026590697E-3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input_369010!A$2</f>
        <v>369010</v>
      </c>
      <c r="B287" s="83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IFERROR(VLOOKUP(B287,input_369010!L:R,7,FALSE),VLOOKUP(tables_369010!C287,input_369010!A:H,8,FALSE))</f>
        <v>5866.6666699999996</v>
      </c>
      <c r="P287" s="46">
        <f t="shared" ca="1" si="19"/>
        <v>1.3928458380816713E-3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input_369010!A$2</f>
        <v>369010</v>
      </c>
      <c r="B288" s="83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IFERROR(VLOOKUP(B288,input_369010!L:R,7,FALSE),VLOOKUP(tables_369010!C288,input_369010!A:H,8,FALSE))</f>
        <v>39373.333330000001</v>
      </c>
      <c r="P288" s="46">
        <f t="shared" ca="1" si="19"/>
        <v>9.3478949026590697E-3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input_369010!A$2</f>
        <v>369010</v>
      </c>
      <c r="B289" s="83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IFERROR(VLOOKUP(B289,input_369010!L:R,7,FALSE),VLOOKUP(tables_369010!C289,input_369010!A:H,8,FALSE))</f>
        <v>5866.6666699999996</v>
      </c>
      <c r="P289" s="46">
        <f t="shared" ca="1" si="19"/>
        <v>1.3928458380816713E-3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input_369010!A$2</f>
        <v>369010</v>
      </c>
      <c r="B290" s="83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IFERROR(VLOOKUP(B290,input_369010!L:R,7,FALSE),VLOOKUP(tables_369010!C290,input_369010!A:H,8,FALSE))</f>
        <v>3240</v>
      </c>
      <c r="P290" s="46">
        <f t="shared" ref="P290:P294" ca="1" si="22">O290/SUM(O:O)</f>
        <v>7.6923076923076923E-4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input_369010!A$2</f>
        <v>369010</v>
      </c>
      <c r="B291" s="83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IFERROR(VLOOKUP(B291,input_369010!L:R,7,FALSE),VLOOKUP(tables_369010!C291,input_369010!A:H,8,FALSE))</f>
        <v>39373.333330000001</v>
      </c>
      <c r="P291" s="46">
        <f t="shared" ca="1" si="22"/>
        <v>9.3478949026590697E-3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input_369010!A$2</f>
        <v>369010</v>
      </c>
      <c r="B292" s="83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IFERROR(VLOOKUP(B292,input_369010!L:R,7,FALSE),VLOOKUP(tables_369010!C292,input_369010!A:H,8,FALSE))</f>
        <v>5866.6666699999996</v>
      </c>
      <c r="P292" s="46">
        <f t="shared" ca="1" si="22"/>
        <v>1.3928458380816713E-3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input_369010!A$2</f>
        <v>369010</v>
      </c>
      <c r="B293" s="83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IFERROR(VLOOKUP(B293,input_369010!L:R,7,FALSE),VLOOKUP(tables_369010!C293,input_369010!A:H,8,FALSE))</f>
        <v>3240</v>
      </c>
      <c r="P293" s="46">
        <f t="shared" ca="1" si="22"/>
        <v>7.6923076923076923E-4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input_369010!A$2</f>
        <v>369010</v>
      </c>
      <c r="B294" s="83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IFERROR(VLOOKUP(B294,input_369010!L:R,7,FALSE),VLOOKUP(tables_369010!C294,input_369010!A:H,8,FALSE))</f>
        <v>3240</v>
      </c>
      <c r="P294" s="46">
        <f t="shared" ca="1" si="22"/>
        <v>7.6923076923076923E-4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sortState ref="A2:Y189">
    <sortCondition ref="A2:A189"/>
  </sortState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N15" sqref="N1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369100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167</v>
      </c>
      <c r="M3" s="37" t="str">
        <f>VLOOKUP(L3,[1]characters!$A:$C,3,FALSE)</f>
        <v>逆徒 ベリアル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PremiumN</v>
      </c>
      <c r="Q3" s="37" t="str">
        <f>VLOOKUP(L3,tables_369100!B:C,2,FALSE)</f>
        <v>Premium4R6release</v>
      </c>
      <c r="R3" s="62">
        <f t="shared" ref="R3:R20" si="0">N3*A$36</f>
        <v>63180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168</v>
      </c>
      <c r="M4" s="37" t="str">
        <f>VLOOKUP(L4,[1]characters!$A:$C,3,FALSE)</f>
        <v>猛進の大逆者 ベリアル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PremiumN</v>
      </c>
      <c r="Q4" s="37" t="str">
        <f>VLOOKUP(L4,tables_369100!B:C,2,FALSE)</f>
        <v>Premium5R6release</v>
      </c>
      <c r="R4" s="62">
        <f t="shared" si="0"/>
        <v>42120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7.6923076923076923E-4</v>
      </c>
      <c r="F5">
        <f>(COUNTIF(tables_369100!C:C,input_369100!A26)+COUNTIF(tables_369100!C:C,input_369100!A28)+COUNTIF(tables_369100!C:C,input_369100!A29))</f>
        <v>43</v>
      </c>
      <c r="H5" s="86">
        <v>0.1</v>
      </c>
      <c r="I5" s="31">
        <v>4</v>
      </c>
      <c r="L5" s="60">
        <v>170</v>
      </c>
      <c r="M5" s="37" t="str">
        <f>VLOOKUP(L5,[1]characters!$A:$C,3,FALSE)</f>
        <v>識徒 オセ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PremiumN</v>
      </c>
      <c r="Q5" s="37" t="str">
        <f>VLOOKUP(L5,tables_369100!B:C,2,FALSE)</f>
        <v>Premium4R6release</v>
      </c>
      <c r="R5" s="62">
        <f>N5*A$36</f>
        <v>63180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1.074074074074074E-2</v>
      </c>
      <c r="F6">
        <f>(COUNTIF(tables_369100!C:C,input_369100!A18)+COUNTIF(tables_369100!C:C,input_369100!A20)+COUNTIF(tables_369100!C:C,input_369100!A22))</f>
        <v>81</v>
      </c>
      <c r="H6" s="74">
        <v>0</v>
      </c>
      <c r="I6" s="31">
        <v>0</v>
      </c>
      <c r="L6" s="90">
        <v>171</v>
      </c>
      <c r="M6" s="37" t="str">
        <f>VLOOKUP(L6,[1]characters!$A:$C,3,FALSE)</f>
        <v>精解の預知者 オセ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PremiumN</v>
      </c>
      <c r="Q6" s="37" t="str">
        <f>VLOOKUP(L6,tables_369100!B:C,2,FALSE)</f>
        <v>Premium5R6release</v>
      </c>
      <c r="R6" s="62">
        <f t="shared" si="0"/>
        <v>42120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L7" s="90">
        <v>173</v>
      </c>
      <c r="M7" s="37" t="str">
        <f>VLOOKUP(L7,[1]characters!$A:$C,3,FALSE)</f>
        <v>公爵 フォルネウス</v>
      </c>
      <c r="N7" s="63">
        <v>1.4999999999999999E-2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VLOOKUP(L7,tables_369100!B:C,2,FALSE)</f>
        <v>Premium4R6release</v>
      </c>
      <c r="R7" s="62">
        <f t="shared" si="0"/>
        <v>63180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L8" s="90">
        <v>174</v>
      </c>
      <c r="M8" s="37" t="str">
        <f>VLOOKUP(L8,[1]characters!$A:$C,3,FALSE)</f>
        <v>偽愛の大公爵 フォルネウス</v>
      </c>
      <c r="N8" s="63">
        <v>0.01</v>
      </c>
      <c r="O8" s="37">
        <f>VLOOKUP(L8,[1]characters!$A:$I,9,FALSE)</f>
        <v>5</v>
      </c>
      <c r="P8" s="37" t="str">
        <f>VLOOKUP(L8,[1]characters!$A:$J,10,FALSE)</f>
        <v>PremiumN</v>
      </c>
      <c r="Q8" s="37" t="str">
        <f>VLOOKUP(L8,tables_369100!B:C,2,FALSE)</f>
        <v>Premium5R6release</v>
      </c>
      <c r="R8" s="62">
        <f t="shared" si="0"/>
        <v>42120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L9" s="90">
        <v>236</v>
      </c>
      <c r="M9" s="37" t="str">
        <f>VLOOKUP(L9,[1]characters!$A:$C,3,FALSE)</f>
        <v>神産 イザナミ</v>
      </c>
      <c r="N9" s="63">
        <v>1.4999999999999999E-2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VLOOKUP(L9,tables_369100!B:C,2,FALSE)</f>
        <v>Premium4R6release</v>
      </c>
      <c r="R9" s="62">
        <f t="shared" si="0"/>
        <v>63180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0.87</v>
      </c>
      <c r="C10" t="s">
        <v>215</v>
      </c>
      <c r="L10" s="90">
        <v>237</v>
      </c>
      <c r="M10" s="37" t="str">
        <f>VLOOKUP(L10,[1]characters!$A:$C,3,FALSE)</f>
        <v>森羅万象の神母 イザナミ</v>
      </c>
      <c r="N10" s="63">
        <v>0.01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VLOOKUP(L10,tables_369100!B:C,2,FALSE)</f>
        <v>Premium5R6release</v>
      </c>
      <c r="R10" s="62">
        <f t="shared" si="0"/>
        <v>42120</v>
      </c>
      <c r="S10">
        <v>391</v>
      </c>
      <c r="U10" s="33" t="s">
        <v>200</v>
      </c>
      <c r="V10" s="54">
        <f t="shared" si="1"/>
        <v>0.06</v>
      </c>
    </row>
    <row r="11" spans="1:22" x14ac:dyDescent="0.15">
      <c r="A11" s="33" t="s">
        <v>57</v>
      </c>
      <c r="B11" s="91">
        <f>3%+H5</f>
        <v>0.13</v>
      </c>
      <c r="C11" t="s">
        <v>269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VLOOKUP(L11,tables_369100!B:C,2,FALSE)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0.04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VLOOKUP(L12,tables_369100!B:C,2,FALSE)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VLOOKUP(L13,tables_369100!B:C,2,FALSE)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VLOOKUP(L14,tables_369100!B:C,2,FALSE)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VLOOKUP(L15,tables_369100!B:C,2,FALSE)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VLOOKUP(L16,tables_369100!B:C,2,FALSE)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4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COUNTIF(tables_369100!C:C,input_369100!A17)-COUNTIF(Q:Q,A17)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VLOOKUP(L17,tables_369100!B:C,2,FALSE)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0.21481481481481479</v>
      </c>
      <c r="C18" s="75">
        <f t="shared" si="2"/>
        <v>0</v>
      </c>
      <c r="D18" s="76">
        <f t="shared" si="3"/>
        <v>0.21481481481481479</v>
      </c>
      <c r="E18">
        <f>COUNTIF(tables_369100!C:C,input_369100!A18)-COUNTIF(Q:Q,A18)</f>
        <v>20</v>
      </c>
      <c r="F18" s="43">
        <f t="shared" ref="F18:F31" si="7">IFERROR(B18/E18,0)</f>
        <v>1.074074074074074E-2</v>
      </c>
      <c r="G18">
        <f t="shared" ref="G18:G31" si="8">A$36*B18</f>
        <v>904799.99999999988</v>
      </c>
      <c r="H18">
        <f t="shared" si="4"/>
        <v>45240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VLOOKUP(L18,tables_369100!B:C,2,FALSE)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COUNTIF(tables_369100!C:C,input_369100!A19)-COUNTIF(Q:Q,A19)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VLOOKUP(L19,tables_369100!B:C,2,FALSE)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0.53059259259259262</v>
      </c>
      <c r="C20" s="75">
        <f t="shared" si="2"/>
        <v>0</v>
      </c>
      <c r="D20" s="76">
        <f t="shared" si="3"/>
        <v>0.53059259259259262</v>
      </c>
      <c r="E20">
        <f>COUNTIF(tables_369100!C:C,input_369100!A20)-COUNTIF(Q:Q,A20)</f>
        <v>52</v>
      </c>
      <c r="F20" s="43">
        <f t="shared" si="7"/>
        <v>1.0203703703703704E-2</v>
      </c>
      <c r="G20">
        <f t="shared" si="8"/>
        <v>2234856</v>
      </c>
      <c r="H20">
        <f t="shared" si="4"/>
        <v>42978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VLOOKUP(L20,tables_369100!B:C,2,FALSE)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2.7925925925925927E-2</v>
      </c>
      <c r="C21" s="75">
        <f t="shared" si="2"/>
        <v>0</v>
      </c>
      <c r="D21" s="76">
        <f t="shared" si="3"/>
        <v>2.7925925925925927E-2</v>
      </c>
      <c r="E21">
        <f>COUNTIF(tables_369100!C:C,input_369100!A21)-COUNTIF(Q:Q,A21)</f>
        <v>52</v>
      </c>
      <c r="F21" s="43">
        <f t="shared" si="7"/>
        <v>5.3703703703703704E-4</v>
      </c>
      <c r="G21">
        <f t="shared" si="8"/>
        <v>117624</v>
      </c>
      <c r="H21">
        <f t="shared" si="4"/>
        <v>2262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8.4131054131054123E-2</v>
      </c>
      <c r="C22" s="75">
        <f t="shared" si="2"/>
        <v>0</v>
      </c>
      <c r="D22" s="76">
        <f t="shared" si="3"/>
        <v>8.4131054131054123E-2</v>
      </c>
      <c r="E22">
        <f>COUNTIF(tables_369100!C:C,input_369100!A22)-COUNTIF(Q:Q,A22)</f>
        <v>9</v>
      </c>
      <c r="F22" s="43">
        <f t="shared" si="7"/>
        <v>9.3478949034504575E-3</v>
      </c>
      <c r="G22">
        <f t="shared" si="8"/>
        <v>354359.99999999994</v>
      </c>
      <c r="H22">
        <f t="shared" si="4"/>
        <v>39373.333330000001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1.2535612535612538E-2</v>
      </c>
      <c r="C23" s="75">
        <f t="shared" si="2"/>
        <v>0</v>
      </c>
      <c r="D23" s="76">
        <f t="shared" si="3"/>
        <v>1.2535612535612538E-2</v>
      </c>
      <c r="E23">
        <f>COUNTIF(tables_369100!C:C,input_369100!A23)-COUNTIF(Q:Q,A23)</f>
        <v>9</v>
      </c>
      <c r="F23" s="43">
        <f t="shared" si="7"/>
        <v>1.392845837290282E-3</v>
      </c>
      <c r="G23">
        <f t="shared" si="8"/>
        <v>52800.000000000015</v>
      </c>
      <c r="H23">
        <f t="shared" si="4"/>
        <v>5866.6666699999996</v>
      </c>
      <c r="I23">
        <f t="shared" si="5"/>
        <v>0.66666999999961263</v>
      </c>
      <c r="J23">
        <f t="shared" si="6"/>
        <v>1.4999925000383714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COUNTIF(tables_369100!C:C,input_369100!A24)-COUNTIF(Q:Q,A24)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75">
        <f t="shared" si="2"/>
        <v>0.06</v>
      </c>
      <c r="D25" s="76">
        <f t="shared" si="3"/>
        <v>-0.06</v>
      </c>
      <c r="E25">
        <f>COUNTIF(tables_369100!C:C,input_369100!A25)-COUNTIF(Q:Q,A25)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E$5*B6*E25</f>
        <v>0</v>
      </c>
      <c r="C26" s="75">
        <f t="shared" si="2"/>
        <v>0.04</v>
      </c>
      <c r="D26" s="76">
        <f t="shared" si="3"/>
        <v>-0.04</v>
      </c>
      <c r="E26">
        <f>COUNTIF(tables_369100!C:C,input_369100!A26)-COUNTIF(Q:Q,A26)</f>
        <v>0</v>
      </c>
      <c r="F26" s="43">
        <f t="shared" si="7"/>
        <v>0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2.0461538461538458E-2</v>
      </c>
      <c r="C27" s="75">
        <f t="shared" si="2"/>
        <v>0</v>
      </c>
      <c r="D27" s="76">
        <f t="shared" si="3"/>
        <v>2.0461538461538458E-2</v>
      </c>
      <c r="E27">
        <f>COUNTIF(tables_369100!C:C,input_369100!A27)-COUNTIF(Q:Q,A27)</f>
        <v>28</v>
      </c>
      <c r="F27" s="43">
        <f>IFERROR(B27/E27,0)</f>
        <v>7.3076923076923069E-4</v>
      </c>
      <c r="G27">
        <f t="shared" si="8"/>
        <v>86183.999999999985</v>
      </c>
      <c r="H27">
        <f t="shared" si="4"/>
        <v>3078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1.0769230769230769E-3</v>
      </c>
      <c r="C28" s="75">
        <f t="shared" si="2"/>
        <v>0</v>
      </c>
      <c r="D28" s="76">
        <f t="shared" si="3"/>
        <v>1.0769230769230769E-3</v>
      </c>
      <c r="E28">
        <f>COUNTIF(tables_369100!C:C,input_369100!A28)-COUNTIF(Q:Q,A28)</f>
        <v>28</v>
      </c>
      <c r="F28" s="43">
        <f t="shared" si="7"/>
        <v>3.8461538461538463E-5</v>
      </c>
      <c r="G28">
        <f t="shared" si="8"/>
        <v>4536</v>
      </c>
      <c r="H28">
        <f t="shared" si="4"/>
        <v>162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8.4615384615384613E-3</v>
      </c>
      <c r="C29" s="75">
        <f t="shared" si="2"/>
        <v>0</v>
      </c>
      <c r="D29" s="76">
        <f t="shared" si="3"/>
        <v>8.4615384615384613E-3</v>
      </c>
      <c r="E29">
        <f>COUNTIF(tables_369100!C:C,input_369100!A29)-COUNTIF(Q:Q,A29)</f>
        <v>11</v>
      </c>
      <c r="F29" s="43">
        <f t="shared" si="7"/>
        <v>7.6923076923076923E-4</v>
      </c>
      <c r="G29">
        <f t="shared" si="8"/>
        <v>35640</v>
      </c>
      <c r="H29">
        <f t="shared" si="4"/>
        <v>3240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COUNTIF(tables_369100!C:C,input_369100!A30)-COUNTIF(Q:Q,A30)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COUNTIF(tables_369100!C:C,input_369100!A31)-COUNTIF(Q:Q,A31)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0.89999999999999991</v>
      </c>
      <c r="C32" s="41">
        <f>SUM(C19:C31)</f>
        <v>0.1</v>
      </c>
      <c r="D32" s="42">
        <f t="shared" si="3"/>
        <v>0.79999999999999993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4212000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SUMIF(#REF!,input_369100!A40,#REF!)</f>
        <v>#REF!</v>
      </c>
      <c r="C40" s="54" t="e">
        <f t="shared" ref="C40:C46" si="9">B40/B$47</f>
        <v>#REF!</v>
      </c>
      <c r="E40">
        <v>3</v>
      </c>
      <c r="F40" t="e">
        <f>SUMIF(#REF!,input_369100!E40,#REF!)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SUMIF(#REF!,input_369100!A41,#REF!)</f>
        <v>#REF!</v>
      </c>
      <c r="C41" s="54" t="e">
        <f t="shared" si="9"/>
        <v>#REF!</v>
      </c>
      <c r="E41">
        <v>4</v>
      </c>
      <c r="F41" t="e">
        <f>SUMIF(#REF!,input_369100!E41,#REF!)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SUMIF(#REF!,input_369100!A42,#REF!)</f>
        <v>#REF!</v>
      </c>
      <c r="C42" s="54" t="e">
        <f t="shared" si="9"/>
        <v>#REF!</v>
      </c>
      <c r="E42">
        <v>5</v>
      </c>
      <c r="F42" t="e">
        <f>SUMIF(#REF!,input_369100!E42,#REF!)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SUMIF(#REF!,input_369100!A43,#REF!)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SUMIF(#REF!,input_369100!A44,#REF!)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SUMIF(#REF!,input_369100!A45,#REF!)</f>
        <v>#REF!</v>
      </c>
      <c r="C45" s="54" t="e">
        <f t="shared" si="9"/>
        <v>#REF!</v>
      </c>
      <c r="E45" t="s">
        <v>210</v>
      </c>
      <c r="F45" s="55" t="e">
        <f>SUMIF(#REF!,input_369100!E45,#REF!)</f>
        <v>#REF!</v>
      </c>
    </row>
    <row r="46" spans="1:7" x14ac:dyDescent="0.15">
      <c r="A46" s="33" t="s">
        <v>115</v>
      </c>
      <c r="B46" t="e">
        <f>SUMIF(#REF!,input_369100!A46,#REF!)</f>
        <v>#REF!</v>
      </c>
      <c r="C46" s="54" t="e">
        <f t="shared" si="9"/>
        <v>#REF!</v>
      </c>
      <c r="E46" t="s">
        <v>211</v>
      </c>
      <c r="F46" s="55" t="e">
        <f>SUMIF(#REF!,input_369100!E46,#REF!)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SUMIF(#REF!,input_369100!E47,#REF!)</f>
        <v>#REF!</v>
      </c>
    </row>
    <row r="48" spans="1:7" x14ac:dyDescent="0.15">
      <c r="E48" t="s">
        <v>213</v>
      </c>
      <c r="F48" s="55" t="e">
        <f>SUMIF(#REF!,input_369100!E48,#REF!)</f>
        <v>#REF!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74" activePane="bottomLeft" state="frozen"/>
      <selection activeCell="E12" sqref="E12"/>
      <selection pane="bottomLeft" activeCell="A36" sqref="A3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input_369100!A$2</f>
        <v>369100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IFERROR(VLOOKUP(B2,input_369100!L:R,7,FALSE),VLOOKUP(tables_369100!C2,input_369100!A:H,8,FALSE))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input_369100!A$2</f>
        <v>369100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IFERROR(VLOOKUP(B3,input_369100!L:R,7,FALSE),VLOOKUP(tables_369100!C3,input_369100!A:H,8,FALSE))</f>
        <v>45240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input_369100!A$2</f>
        <v>369100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IFERROR(VLOOKUP(B4,input_369100!L:R,7,FALSE),VLOOKUP(tables_369100!C4,input_369100!A:H,8,FALSE))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input_369100!A$2</f>
        <v>369100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IFERROR(VLOOKUP(B5,input_369100!L:R,7,FALSE),VLOOKUP(tables_369100!C5,input_369100!A:H,8,FALSE))</f>
        <v>45240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input_369100!A$2</f>
        <v>369100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IFERROR(VLOOKUP(B6,input_369100!L:R,7,FALSE),VLOOKUP(tables_369100!C6,input_369100!A:H,8,FALSE))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input_369100!A$2</f>
        <v>369100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IFERROR(VLOOKUP(B7,input_369100!L:R,7,FALSE),VLOOKUP(tables_369100!C7,input_369100!A:H,8,FALSE))</f>
        <v>45240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input_369100!A$2</f>
        <v>369100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IFERROR(VLOOKUP(B8,input_369100!L:R,7,FALSE),VLOOKUP(tables_369100!C8,input_369100!A:H,8,FALSE))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input_369100!A$2</f>
        <v>369100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IFERROR(VLOOKUP(B9,input_369100!L:R,7,FALSE),VLOOKUP(tables_369100!C9,input_369100!A:H,8,FALSE))</f>
        <v>45240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input_369100!A$2</f>
        <v>369100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IFERROR(VLOOKUP(B10,input_369100!L:R,7,FALSE),VLOOKUP(tables_369100!C10,input_369100!A:H,8,FALSE))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input_369100!A$2</f>
        <v>369100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IFERROR(VLOOKUP(B11,input_369100!L:R,7,FALSE),VLOOKUP(tables_369100!C11,input_369100!A:H,8,FALSE))</f>
        <v>45240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input_369100!A$2</f>
        <v>369100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IFERROR(VLOOKUP(B12,input_369100!L:R,7,FALSE),VLOOKUP(tables_369100!C12,input_369100!A:H,8,FALSE))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input_369100!A$2</f>
        <v>369100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IFERROR(VLOOKUP(B13,input_369100!L:R,7,FALSE),VLOOKUP(tables_369100!C13,input_369100!A:H,8,FALSE))</f>
        <v>45240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input_369100!A$2</f>
        <v>369100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IFERROR(VLOOKUP(B14,input_369100!L:R,7,FALSE),VLOOKUP(tables_369100!C14,input_369100!A:H,8,FALSE))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input_369100!A$2</f>
        <v>369100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IFERROR(VLOOKUP(B15,input_369100!L:R,7,FALSE),VLOOKUP(tables_369100!C15,input_369100!A:H,8,FALSE))</f>
        <v>45240</v>
      </c>
      <c r="P15" s="46">
        <f t="shared" ref="P15:P78" ca="1" si="2">O15/SUM(O:O)</f>
        <v>1.074074074074074E-2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input_369100!A$2</f>
        <v>369100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IFERROR(VLOOKUP(B16,input_369100!L:R,7,FALSE),VLOOKUP(tables_369100!C16,input_369100!A:H,8,FALSE))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input_369100!A$2</f>
        <v>369100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IFERROR(VLOOKUP(B17,input_369100!L:R,7,FALSE),VLOOKUP(tables_369100!C17,input_369100!A:H,8,FALSE))</f>
        <v>45240</v>
      </c>
      <c r="P17" s="46">
        <f t="shared" ca="1" si="2"/>
        <v>1.074074074074074E-2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input_369100!A$2</f>
        <v>369100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IFERROR(VLOOKUP(B18,input_369100!L:R,7,FALSE),VLOOKUP(tables_369100!C18,input_369100!A:H,8,FALSE))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input_369100!A$2</f>
        <v>369100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IFERROR(VLOOKUP(B19,input_369100!L:R,7,FALSE),VLOOKUP(tables_369100!C19,input_369100!A:H,8,FALSE))</f>
        <v>45240</v>
      </c>
      <c r="P19" s="46">
        <f t="shared" ca="1" si="2"/>
        <v>1.074074074074074E-2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input_369100!A$2</f>
        <v>369100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IFERROR(VLOOKUP(B20,input_369100!L:R,7,FALSE),VLOOKUP(tables_369100!C20,input_369100!A:H,8,FALSE))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input_369100!A$2</f>
        <v>369100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IFERROR(VLOOKUP(B21,input_369100!L:R,7,FALSE),VLOOKUP(tables_369100!C21,input_369100!A:H,8,FALSE))</f>
        <v>45240</v>
      </c>
      <c r="P21" s="46">
        <f t="shared" ca="1" si="2"/>
        <v>1.074074074074074E-2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input_369100!A$2</f>
        <v>369100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IFERROR(VLOOKUP(B22,input_369100!L:R,7,FALSE),VLOOKUP(tables_369100!C22,input_369100!A:H,8,FALSE))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input_369100!A$2</f>
        <v>369100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IFERROR(VLOOKUP(B23,input_369100!L:R,7,FALSE),VLOOKUP(tables_369100!C23,input_369100!A:H,8,FALSE))</f>
        <v>45240</v>
      </c>
      <c r="P23" s="46">
        <f t="shared" ca="1" si="2"/>
        <v>1.074074074074074E-2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input_369100!A$2</f>
        <v>369100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IFERROR(VLOOKUP(B24,input_369100!L:R,7,FALSE),VLOOKUP(tables_369100!C24,input_369100!A:H,8,FALSE))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input_369100!A$2</f>
        <v>369100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IFERROR(VLOOKUP(B25,input_369100!L:R,7,FALSE),VLOOKUP(tables_369100!C25,input_369100!A:H,8,FALSE))</f>
        <v>45240</v>
      </c>
      <c r="P25" s="46">
        <f t="shared" ca="1" si="2"/>
        <v>1.074074074074074E-2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input_369100!A$2</f>
        <v>369100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IFERROR(VLOOKUP(B26,input_369100!L:R,7,FALSE),VLOOKUP(tables_369100!C26,input_369100!A:H,8,FALSE))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input_369100!A$2</f>
        <v>369100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IFERROR(VLOOKUP(B27,input_369100!L:R,7,FALSE),VLOOKUP(tables_369100!C27,input_369100!A:H,8,FALSE))</f>
        <v>45240</v>
      </c>
      <c r="P27" s="46">
        <f t="shared" ca="1" si="2"/>
        <v>1.074074074074074E-2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input_369100!A$2</f>
        <v>369100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IFERROR(VLOOKUP(B28,input_369100!L:R,7,FALSE),VLOOKUP(tables_369100!C28,input_369100!A:H,8,FALSE))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input_369100!A$2</f>
        <v>369100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IFERROR(VLOOKUP(B29,input_369100!L:R,7,FALSE),VLOOKUP(tables_369100!C29,input_369100!A:H,8,FALSE))</f>
        <v>45240</v>
      </c>
      <c r="P29" s="46">
        <f t="shared" ca="1" si="2"/>
        <v>1.074074074074074E-2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input_369100!A$2</f>
        <v>369100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IFERROR(VLOOKUP(B30,input_369100!L:R,7,FALSE),VLOOKUP(tables_369100!C30,input_369100!A:H,8,FALSE))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input_369100!A$2</f>
        <v>369100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IFERROR(VLOOKUP(B31,input_369100!L:R,7,FALSE),VLOOKUP(tables_369100!C31,input_369100!A:H,8,FALSE))</f>
        <v>45240</v>
      </c>
      <c r="P31" s="46">
        <f t="shared" ca="1" si="2"/>
        <v>1.074074074074074E-2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input_369100!A$2</f>
        <v>369100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IFERROR(VLOOKUP(B32,input_369100!L:R,7,FALSE),VLOOKUP(tables_369100!C32,input_369100!A:H,8,FALSE))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input_369100!A$2</f>
        <v>369100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IFERROR(VLOOKUP(B33,input_369100!L:R,7,FALSE),VLOOKUP(tables_369100!C33,input_369100!A:H,8,FALSE))</f>
        <v>45240</v>
      </c>
      <c r="P33" s="46">
        <f t="shared" ca="1" si="2"/>
        <v>1.074074074074074E-2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input_369100!A$2</f>
        <v>369100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IFERROR(VLOOKUP(B34,input_369100!L:R,7,FALSE),VLOOKUP(tables_369100!C34,input_369100!A:H,8,FALSE))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input_369100!A$2</f>
        <v>369100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IFERROR(VLOOKUP(B35,input_369100!L:R,7,FALSE),VLOOKUP(tables_369100!C35,input_369100!A:H,8,FALSE))</f>
        <v>45240</v>
      </c>
      <c r="P35" s="46">
        <f t="shared" ca="1" si="2"/>
        <v>1.074074074074074E-2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input_369100!A$2</f>
        <v>369100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IFERROR(VLOOKUP(B36,input_369100!L:R,7,FALSE),VLOOKUP(tables_369100!C36,input_369100!A:H,8,FALSE))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input_369100!A$2</f>
        <v>369100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IFERROR(VLOOKUP(B37,input_369100!L:R,7,FALSE),VLOOKUP(tables_369100!C37,input_369100!A:H,8,FALSE))</f>
        <v>45240</v>
      </c>
      <c r="P37" s="46">
        <f t="shared" ca="1" si="2"/>
        <v>1.074074074074074E-2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input_369100!A$2</f>
        <v>369100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IFERROR(VLOOKUP(B38,input_369100!L:R,7,FALSE),VLOOKUP(tables_369100!C38,input_369100!A:H,8,FALSE))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input_369100!A$2</f>
        <v>369100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IFERROR(VLOOKUP(B39,input_369100!L:R,7,FALSE),VLOOKUP(tables_369100!C39,input_369100!A:H,8,FALSE))</f>
        <v>45240</v>
      </c>
      <c r="P39" s="46">
        <f t="shared" ca="1" si="2"/>
        <v>1.074074074074074E-2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input_369100!A$2</f>
        <v>369100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IFERROR(VLOOKUP(B40,input_369100!L:R,7,FALSE),VLOOKUP(tables_369100!C40,input_369100!A:H,8,FALSE))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input_369100!A$2</f>
        <v>369100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IFERROR(VLOOKUP(B41,input_369100!L:R,7,FALSE),VLOOKUP(tables_369100!C41,input_369100!A:H,8,FALSE))</f>
        <v>45240</v>
      </c>
      <c r="P41" s="46">
        <f t="shared" ca="1" si="2"/>
        <v>1.074074074074074E-2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input_369100!A$2</f>
        <v>369100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IFERROR(VLOOKUP(B42,input_369100!L:R,7,FALSE),VLOOKUP(tables_369100!C42,input_369100!A:H,8,FALSE))</f>
        <v>0</v>
      </c>
      <c r="P42" s="46">
        <f t="shared" ca="1" si="2"/>
        <v>0</v>
      </c>
      <c r="Q42" s="89"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input_369100!A$2</f>
        <v>369100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IFERROR(VLOOKUP(B43,input_369100!L:R,7,FALSE),VLOOKUP(tables_369100!C43,input_369100!A:H,8,FALSE))</f>
        <v>63180</v>
      </c>
      <c r="P43" s="46">
        <f t="shared" ca="1" si="2"/>
        <v>1.4999999999999999E-2</v>
      </c>
      <c r="Q43" s="89"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input_369100!A$2</f>
        <v>369100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IFERROR(VLOOKUP(B44,input_369100!L:R,7,FALSE),VLOOKUP(tables_369100!C44,input_369100!A:H,8,FALSE))</f>
        <v>42120</v>
      </c>
      <c r="P44" s="46">
        <f t="shared" ca="1" si="2"/>
        <v>0.01</v>
      </c>
      <c r="Q44" s="89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input_369100!A$2</f>
        <v>369100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IFERROR(VLOOKUP(B45,input_369100!L:R,7,FALSE),VLOOKUP(tables_369100!C45,input_369100!A:H,8,FALSE))</f>
        <v>0</v>
      </c>
      <c r="P45" s="46">
        <f t="shared" ca="1" si="2"/>
        <v>0</v>
      </c>
      <c r="Q45" s="89"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input_369100!A$2</f>
        <v>369100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IFERROR(VLOOKUP(B46,input_369100!L:R,7,FALSE),VLOOKUP(tables_369100!C46,input_369100!A:H,8,FALSE))</f>
        <v>63180</v>
      </c>
      <c r="P46" s="46">
        <f t="shared" ca="1" si="2"/>
        <v>1.4999999999999999E-2</v>
      </c>
      <c r="Q46" s="89"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input_369100!A$2</f>
        <v>369100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IFERROR(VLOOKUP(B47,input_369100!L:R,7,FALSE),VLOOKUP(tables_369100!C47,input_369100!A:H,8,FALSE))</f>
        <v>42120</v>
      </c>
      <c r="P47" s="46">
        <f t="shared" ca="1" si="2"/>
        <v>0.01</v>
      </c>
      <c r="Q47" s="89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input_369100!A$2</f>
        <v>369100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IFERROR(VLOOKUP(B48,input_369100!L:R,7,FALSE),VLOOKUP(tables_369100!C48,input_369100!A:H,8,FALSE))</f>
        <v>0</v>
      </c>
      <c r="P48" s="46">
        <f t="shared" ca="1" si="2"/>
        <v>0</v>
      </c>
      <c r="Q48" s="89"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input_369100!A$2</f>
        <v>369100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IFERROR(VLOOKUP(B49,input_369100!L:R,7,FALSE),VLOOKUP(tables_369100!C49,input_369100!A:H,8,FALSE))</f>
        <v>63180</v>
      </c>
      <c r="P49" s="46">
        <f t="shared" ca="1" si="2"/>
        <v>1.4999999999999999E-2</v>
      </c>
      <c r="Q49" s="89"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input_369100!A$2</f>
        <v>369100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IFERROR(VLOOKUP(B50,input_369100!L:R,7,FALSE),VLOOKUP(tables_369100!C50,input_369100!A:H,8,FALSE))</f>
        <v>42120</v>
      </c>
      <c r="P50" s="46">
        <f t="shared" ca="1" si="2"/>
        <v>0.01</v>
      </c>
      <c r="Q50" s="89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input_369100!A$2</f>
        <v>369100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IFERROR(VLOOKUP(B51,input_369100!L:R,7,FALSE),VLOOKUP(tables_369100!C51,input_369100!A:H,8,FALSE))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input_369100!A$2</f>
        <v>369100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IFERROR(VLOOKUP(B52,input_369100!L:R,7,FALSE),VLOOKUP(tables_369100!C52,input_369100!A:H,8,FALSE))</f>
        <v>42978</v>
      </c>
      <c r="P52" s="46">
        <f t="shared" ca="1" si="2"/>
        <v>1.0203703703703704E-2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input_369100!A$2</f>
        <v>369100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IFERROR(VLOOKUP(B53,input_369100!L:R,7,FALSE),VLOOKUP(tables_369100!C53,input_369100!A:H,8,FALSE))</f>
        <v>2262</v>
      </c>
      <c r="P53" s="46">
        <f t="shared" ca="1" si="2"/>
        <v>5.3703703703703704E-4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input_369100!A$2</f>
        <v>369100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IFERROR(VLOOKUP(B54,input_369100!L:R,7,FALSE),VLOOKUP(tables_369100!C54,input_369100!A:H,8,FALSE))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input_369100!A$2</f>
        <v>369100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IFERROR(VLOOKUP(B55,input_369100!L:R,7,FALSE),VLOOKUP(tables_369100!C55,input_369100!A:H,8,FALSE))</f>
        <v>42978</v>
      </c>
      <c r="P55" s="46">
        <f t="shared" ca="1" si="2"/>
        <v>1.0203703703703704E-2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input_369100!A$2</f>
        <v>369100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IFERROR(VLOOKUP(B56,input_369100!L:R,7,FALSE),VLOOKUP(tables_369100!C56,input_369100!A:H,8,FALSE))</f>
        <v>2262</v>
      </c>
      <c r="P56" s="46">
        <f t="shared" ca="1" si="2"/>
        <v>5.3703703703703704E-4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input_369100!A$2</f>
        <v>369100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IFERROR(VLOOKUP(B57,input_369100!L:R,7,FALSE),VLOOKUP(tables_369100!C57,input_369100!A:H,8,FALSE))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input_369100!A$2</f>
        <v>369100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IFERROR(VLOOKUP(B58,input_369100!L:R,7,FALSE),VLOOKUP(tables_369100!C58,input_369100!A:H,8,FALSE))</f>
        <v>42978</v>
      </c>
      <c r="P58" s="46">
        <f t="shared" ca="1" si="2"/>
        <v>1.0203703703703704E-2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input_369100!A$2</f>
        <v>369100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IFERROR(VLOOKUP(B59,input_369100!L:R,7,FALSE),VLOOKUP(tables_369100!C59,input_369100!A:H,8,FALSE))</f>
        <v>2262</v>
      </c>
      <c r="P59" s="46">
        <f t="shared" ca="1" si="2"/>
        <v>5.3703703703703704E-4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input_369100!A$2</f>
        <v>369100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IFERROR(VLOOKUP(B60,input_369100!L:R,7,FALSE),VLOOKUP(tables_369100!C60,input_369100!A:H,8,FALSE))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input_369100!A$2</f>
        <v>369100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IFERROR(VLOOKUP(B61,input_369100!L:R,7,FALSE),VLOOKUP(tables_369100!C61,input_369100!A:H,8,FALSE))</f>
        <v>42978</v>
      </c>
      <c r="P61" s="46">
        <f t="shared" ca="1" si="2"/>
        <v>1.0203703703703704E-2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input_369100!A$2</f>
        <v>369100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IFERROR(VLOOKUP(B62,input_369100!L:R,7,FALSE),VLOOKUP(tables_369100!C62,input_369100!A:H,8,FALSE))</f>
        <v>2262</v>
      </c>
      <c r="P62" s="46">
        <f t="shared" ca="1" si="2"/>
        <v>5.3703703703703704E-4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input_369100!A$2</f>
        <v>369100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IFERROR(VLOOKUP(B63,input_369100!L:R,7,FALSE),VLOOKUP(tables_369100!C63,input_369100!A:H,8,FALSE))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input_369100!A$2</f>
        <v>369100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IFERROR(VLOOKUP(B64,input_369100!L:R,7,FALSE),VLOOKUP(tables_369100!C64,input_369100!A:H,8,FALSE))</f>
        <v>42978</v>
      </c>
      <c r="P64" s="46">
        <f t="shared" ca="1" si="2"/>
        <v>1.0203703703703704E-2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input_369100!A$2</f>
        <v>369100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IFERROR(VLOOKUP(B65,input_369100!L:R,7,FALSE),VLOOKUP(tables_369100!C65,input_369100!A:H,8,FALSE))</f>
        <v>2262</v>
      </c>
      <c r="P65" s="46">
        <f t="shared" ca="1" si="2"/>
        <v>5.3703703703703704E-4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input_369100!A$2</f>
        <v>369100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IFERROR(VLOOKUP(B66,input_369100!L:R,7,FALSE),VLOOKUP(tables_369100!C66,input_369100!A:H,8,FALSE))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input_369100!A$2</f>
        <v>369100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IFERROR(VLOOKUP(B67,input_369100!L:R,7,FALSE),VLOOKUP(tables_369100!C67,input_369100!A:H,8,FALSE))</f>
        <v>42978</v>
      </c>
      <c r="P67" s="46">
        <f t="shared" ca="1" si="2"/>
        <v>1.0203703703703704E-2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input_369100!A$2</f>
        <v>369100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IFERROR(VLOOKUP(B68,input_369100!L:R,7,FALSE),VLOOKUP(tables_369100!C68,input_369100!A:H,8,FALSE))</f>
        <v>2262</v>
      </c>
      <c r="P68" s="46">
        <f t="shared" ca="1" si="2"/>
        <v>5.3703703703703704E-4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input_369100!A$2</f>
        <v>369100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IFERROR(VLOOKUP(B69,input_369100!L:R,7,FALSE),VLOOKUP(tables_369100!C69,input_369100!A:H,8,FALSE))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input_369100!A$2</f>
        <v>369100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IFERROR(VLOOKUP(B70,input_369100!L:R,7,FALSE),VLOOKUP(tables_369100!C70,input_369100!A:H,8,FALSE))</f>
        <v>42978</v>
      </c>
      <c r="P70" s="46">
        <f t="shared" ca="1" si="2"/>
        <v>1.0203703703703704E-2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input_369100!A$2</f>
        <v>369100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IFERROR(VLOOKUP(B71,input_369100!L:R,7,FALSE),VLOOKUP(tables_369100!C71,input_369100!A:H,8,FALSE))</f>
        <v>2262</v>
      </c>
      <c r="P71" s="46">
        <f t="shared" ca="1" si="2"/>
        <v>5.3703703703703704E-4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input_369100!A$2</f>
        <v>369100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IFERROR(VLOOKUP(B72,input_369100!L:R,7,FALSE),VLOOKUP(tables_369100!C72,input_369100!A:H,8,FALSE))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input_369100!A$2</f>
        <v>369100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IFERROR(VLOOKUP(B73,input_369100!L:R,7,FALSE),VLOOKUP(tables_369100!C73,input_369100!A:H,8,FALSE))</f>
        <v>42978</v>
      </c>
      <c r="P73" s="46">
        <f t="shared" ca="1" si="2"/>
        <v>1.0203703703703704E-2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input_369100!A$2</f>
        <v>369100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IFERROR(VLOOKUP(B74,input_369100!L:R,7,FALSE),VLOOKUP(tables_369100!C74,input_369100!A:H,8,FALSE))</f>
        <v>2262</v>
      </c>
      <c r="P74" s="46">
        <f t="shared" ca="1" si="2"/>
        <v>5.3703703703703704E-4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input_369100!A$2</f>
        <v>369100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IFERROR(VLOOKUP(B75,input_369100!L:R,7,FALSE),VLOOKUP(tables_369100!C75,input_369100!A:H,8,FALSE))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input_369100!A$2</f>
        <v>369100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IFERROR(VLOOKUP(B76,input_369100!L:R,7,FALSE),VLOOKUP(tables_369100!C76,input_369100!A:H,8,FALSE))</f>
        <v>42978</v>
      </c>
      <c r="P76" s="46">
        <f t="shared" ca="1" si="2"/>
        <v>1.0203703703703704E-2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input_369100!A$2</f>
        <v>369100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IFERROR(VLOOKUP(B77,input_369100!L:R,7,FALSE),VLOOKUP(tables_369100!C77,input_369100!A:H,8,FALSE))</f>
        <v>2262</v>
      </c>
      <c r="P77" s="46">
        <f t="shared" ca="1" si="2"/>
        <v>5.3703703703703704E-4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input_369100!A$2</f>
        <v>369100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IFERROR(VLOOKUP(B78,input_369100!L:R,7,FALSE),VLOOKUP(tables_369100!C78,input_369100!A:H,8,FALSE))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input_369100!A$2</f>
        <v>369100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IFERROR(VLOOKUP(B79,input_369100!L:R,7,FALSE),VLOOKUP(tables_369100!C79,input_369100!A:H,8,FALSE))</f>
        <v>42978</v>
      </c>
      <c r="P79" s="46">
        <f t="shared" ref="P79:P142" ca="1" si="5">O79/SUM(O:O)</f>
        <v>1.0203703703703704E-2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input_369100!A$2</f>
        <v>369100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IFERROR(VLOOKUP(B80,input_369100!L:R,7,FALSE),VLOOKUP(tables_369100!C80,input_369100!A:H,8,FALSE))</f>
        <v>2262</v>
      </c>
      <c r="P80" s="46">
        <f t="shared" ca="1" si="5"/>
        <v>5.3703703703703704E-4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input_369100!A$2</f>
        <v>369100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IFERROR(VLOOKUP(B81,input_369100!L:R,7,FALSE),VLOOKUP(tables_369100!C81,input_369100!A:H,8,FALSE))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input_369100!A$2</f>
        <v>369100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IFERROR(VLOOKUP(B82,input_369100!L:R,7,FALSE),VLOOKUP(tables_369100!C82,input_369100!A:H,8,FALSE))</f>
        <v>42978</v>
      </c>
      <c r="P82" s="46">
        <f t="shared" ca="1" si="5"/>
        <v>1.0203703703703704E-2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input_369100!A$2</f>
        <v>369100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IFERROR(VLOOKUP(B83,input_369100!L:R,7,FALSE),VLOOKUP(tables_369100!C83,input_369100!A:H,8,FALSE))</f>
        <v>2262</v>
      </c>
      <c r="P83" s="46">
        <f t="shared" ca="1" si="5"/>
        <v>5.3703703703703704E-4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input_369100!A$2</f>
        <v>369100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IFERROR(VLOOKUP(B84,input_369100!L:R,7,FALSE),VLOOKUP(tables_369100!C84,input_369100!A:H,8,FALSE))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input_369100!A$2</f>
        <v>369100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IFERROR(VLOOKUP(B85,input_369100!L:R,7,FALSE),VLOOKUP(tables_369100!C85,input_369100!A:H,8,FALSE))</f>
        <v>42978</v>
      </c>
      <c r="P85" s="46">
        <f t="shared" ca="1" si="5"/>
        <v>1.0203703703703704E-2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input_369100!A$2</f>
        <v>369100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IFERROR(VLOOKUP(B86,input_369100!L:R,7,FALSE),VLOOKUP(tables_369100!C86,input_369100!A:H,8,FALSE))</f>
        <v>2262</v>
      </c>
      <c r="P86" s="46">
        <f t="shared" ca="1" si="5"/>
        <v>5.3703703703703704E-4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input_369100!A$2</f>
        <v>369100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IFERROR(VLOOKUP(B87,input_369100!L:R,7,FALSE),VLOOKUP(tables_369100!C87,input_369100!A:H,8,FALSE))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input_369100!A$2</f>
        <v>369100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IFERROR(VLOOKUP(B88,input_369100!L:R,7,FALSE),VLOOKUP(tables_369100!C88,input_369100!A:H,8,FALSE))</f>
        <v>42978</v>
      </c>
      <c r="P88" s="46">
        <f t="shared" ca="1" si="5"/>
        <v>1.0203703703703704E-2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input_369100!A$2</f>
        <v>369100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IFERROR(VLOOKUP(B89,input_369100!L:R,7,FALSE),VLOOKUP(tables_369100!C89,input_369100!A:H,8,FALSE))</f>
        <v>2262</v>
      </c>
      <c r="P89" s="46">
        <f t="shared" ca="1" si="5"/>
        <v>5.3703703703703704E-4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input_369100!A$2</f>
        <v>369100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IFERROR(VLOOKUP(B90,input_369100!L:R,7,FALSE),VLOOKUP(tables_369100!C90,input_369100!A:H,8,FALSE))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input_369100!A$2</f>
        <v>369100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IFERROR(VLOOKUP(B91,input_369100!L:R,7,FALSE),VLOOKUP(tables_369100!C91,input_369100!A:H,8,FALSE))</f>
        <v>42978</v>
      </c>
      <c r="P91" s="46">
        <f t="shared" ca="1" si="5"/>
        <v>1.0203703703703704E-2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input_369100!A$2</f>
        <v>369100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IFERROR(VLOOKUP(B92,input_369100!L:R,7,FALSE),VLOOKUP(tables_369100!C92,input_369100!A:H,8,FALSE))</f>
        <v>2262</v>
      </c>
      <c r="P92" s="46">
        <f t="shared" ca="1" si="5"/>
        <v>5.3703703703703704E-4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input_369100!A$2</f>
        <v>369100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IFERROR(VLOOKUP(B93,input_369100!L:R,7,FALSE),VLOOKUP(tables_369100!C93,input_369100!A:H,8,FALSE))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input_369100!A$2</f>
        <v>369100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IFERROR(VLOOKUP(B94,input_369100!L:R,7,FALSE),VLOOKUP(tables_369100!C94,input_369100!A:H,8,FALSE))</f>
        <v>42978</v>
      </c>
      <c r="P94" s="46">
        <f t="shared" ca="1" si="5"/>
        <v>1.0203703703703704E-2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input_369100!A$2</f>
        <v>369100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IFERROR(VLOOKUP(B95,input_369100!L:R,7,FALSE),VLOOKUP(tables_369100!C95,input_369100!A:H,8,FALSE))</f>
        <v>2262</v>
      </c>
      <c r="P95" s="46">
        <f t="shared" ca="1" si="5"/>
        <v>5.3703703703703704E-4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input_369100!A$2</f>
        <v>369100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IFERROR(VLOOKUP(B96,input_369100!L:R,7,FALSE),VLOOKUP(tables_369100!C96,input_369100!A:H,8,FALSE))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input_369100!A$2</f>
        <v>369100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IFERROR(VLOOKUP(B97,input_369100!L:R,7,FALSE),VLOOKUP(tables_369100!C97,input_369100!A:H,8,FALSE))</f>
        <v>42978</v>
      </c>
      <c r="P97" s="46">
        <f t="shared" ca="1" si="5"/>
        <v>1.0203703703703704E-2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input_369100!A$2</f>
        <v>369100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IFERROR(VLOOKUP(B98,input_369100!L:R,7,FALSE),VLOOKUP(tables_369100!C98,input_369100!A:H,8,FALSE))</f>
        <v>2262</v>
      </c>
      <c r="P98" s="46">
        <f t="shared" ca="1" si="5"/>
        <v>5.3703703703703704E-4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input_369100!A$2</f>
        <v>369100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IFERROR(VLOOKUP(B99,input_369100!L:R,7,FALSE),VLOOKUP(tables_369100!C99,input_369100!A:H,8,FALSE))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input_369100!A$2</f>
        <v>369100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IFERROR(VLOOKUP(B100,input_369100!L:R,7,FALSE),VLOOKUP(tables_369100!C100,input_369100!A:H,8,FALSE))</f>
        <v>42978</v>
      </c>
      <c r="P100" s="46">
        <f t="shared" ca="1" si="5"/>
        <v>1.0203703703703704E-2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input_369100!A$2</f>
        <v>369100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IFERROR(VLOOKUP(B101,input_369100!L:R,7,FALSE),VLOOKUP(tables_369100!C101,input_369100!A:H,8,FALSE))</f>
        <v>2262</v>
      </c>
      <c r="P101" s="46">
        <f t="shared" ca="1" si="5"/>
        <v>5.3703703703703704E-4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input_369100!A$2</f>
        <v>369100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IFERROR(VLOOKUP(B102,input_369100!L:R,7,FALSE),VLOOKUP(tables_369100!C102,input_369100!A:H,8,FALSE))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input_369100!A$2</f>
        <v>369100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IFERROR(VLOOKUP(B103,input_369100!L:R,7,FALSE),VLOOKUP(tables_369100!C103,input_369100!A:H,8,FALSE))</f>
        <v>42978</v>
      </c>
      <c r="P103" s="46">
        <f t="shared" ca="1" si="5"/>
        <v>1.0203703703703704E-2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input_369100!A$2</f>
        <v>369100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IFERROR(VLOOKUP(B104,input_369100!L:R,7,FALSE),VLOOKUP(tables_369100!C104,input_369100!A:H,8,FALSE))</f>
        <v>2262</v>
      </c>
      <c r="P104" s="46">
        <f t="shared" ca="1" si="5"/>
        <v>5.3703703703703704E-4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input_369100!A$2</f>
        <v>369100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IFERROR(VLOOKUP(B105,input_369100!L:R,7,FALSE),VLOOKUP(tables_369100!C105,input_369100!A:H,8,FALSE))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input_369100!A$2</f>
        <v>369100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IFERROR(VLOOKUP(B106,input_369100!L:R,7,FALSE),VLOOKUP(tables_369100!C106,input_369100!A:H,8,FALSE))</f>
        <v>42978</v>
      </c>
      <c r="P106" s="46">
        <f t="shared" ca="1" si="5"/>
        <v>1.0203703703703704E-2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input_369100!A$2</f>
        <v>369100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IFERROR(VLOOKUP(B107,input_369100!L:R,7,FALSE),VLOOKUP(tables_369100!C107,input_369100!A:H,8,FALSE))</f>
        <v>2262</v>
      </c>
      <c r="P107" s="46">
        <f t="shared" ca="1" si="5"/>
        <v>5.3703703703703704E-4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input_369100!A$2</f>
        <v>369100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IFERROR(VLOOKUP(B108,input_369100!L:R,7,FALSE),VLOOKUP(tables_369100!C108,input_369100!A:H,8,FALSE))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input_369100!A$2</f>
        <v>369100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IFERROR(VLOOKUP(B109,input_369100!L:R,7,FALSE),VLOOKUP(tables_369100!C109,input_369100!A:H,8,FALSE))</f>
        <v>42978</v>
      </c>
      <c r="P109" s="46">
        <f t="shared" ca="1" si="5"/>
        <v>1.0203703703703704E-2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input_369100!A$2</f>
        <v>369100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IFERROR(VLOOKUP(B110,input_369100!L:R,7,FALSE),VLOOKUP(tables_369100!C110,input_369100!A:H,8,FALSE))</f>
        <v>2262</v>
      </c>
      <c r="P110" s="46">
        <f t="shared" ca="1" si="5"/>
        <v>5.3703703703703704E-4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input_369100!A$2</f>
        <v>369100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IFERROR(VLOOKUP(B111,input_369100!L:R,7,FALSE),VLOOKUP(tables_369100!C111,input_369100!A:H,8,FALSE))</f>
        <v>0</v>
      </c>
      <c r="P111" s="46">
        <f t="shared" ca="1" si="5"/>
        <v>0</v>
      </c>
      <c r="Q111" s="89"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input_369100!A$2</f>
        <v>369100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IFERROR(VLOOKUP(B112,input_369100!L:R,7,FALSE),VLOOKUP(tables_369100!C112,input_369100!A:H,8,FALSE))</f>
        <v>63180</v>
      </c>
      <c r="P112" s="46">
        <f t="shared" ca="1" si="5"/>
        <v>1.4999999999999999E-2</v>
      </c>
      <c r="Q112" s="89"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input_369100!A$2</f>
        <v>369100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IFERROR(VLOOKUP(B113,input_369100!L:R,7,FALSE),VLOOKUP(tables_369100!C113,input_369100!A:H,8,FALSE))</f>
        <v>42120</v>
      </c>
      <c r="P113" s="46">
        <f t="shared" ca="1" si="5"/>
        <v>0.01</v>
      </c>
      <c r="Q113" s="89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input_369100!A$2</f>
        <v>369100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IFERROR(VLOOKUP(B114,input_369100!L:R,7,FALSE),VLOOKUP(tables_369100!C114,input_369100!A:H,8,FALSE))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input_369100!A$2</f>
        <v>369100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IFERROR(VLOOKUP(B115,input_369100!L:R,7,FALSE),VLOOKUP(tables_369100!C115,input_369100!A:H,8,FALSE))</f>
        <v>42978</v>
      </c>
      <c r="P115" s="46">
        <f t="shared" ca="1" si="5"/>
        <v>1.0203703703703704E-2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input_369100!A$2</f>
        <v>369100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IFERROR(VLOOKUP(B116,input_369100!L:R,7,FALSE),VLOOKUP(tables_369100!C116,input_369100!A:H,8,FALSE))</f>
        <v>2262</v>
      </c>
      <c r="P116" s="46">
        <f t="shared" ca="1" si="5"/>
        <v>5.3703703703703704E-4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input_369100!A$2</f>
        <v>369100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IFERROR(VLOOKUP(B117,input_369100!L:R,7,FALSE),VLOOKUP(tables_369100!C117,input_369100!A:H,8,FALSE))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input_369100!A$2</f>
        <v>369100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IFERROR(VLOOKUP(B118,input_369100!L:R,7,FALSE),VLOOKUP(tables_369100!C118,input_369100!A:H,8,FALSE))</f>
        <v>42978</v>
      </c>
      <c r="P118" s="46">
        <f t="shared" ca="1" si="5"/>
        <v>1.0203703703703704E-2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input_369100!A$2</f>
        <v>369100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IFERROR(VLOOKUP(B119,input_369100!L:R,7,FALSE),VLOOKUP(tables_369100!C119,input_369100!A:H,8,FALSE))</f>
        <v>2262</v>
      </c>
      <c r="P119" s="46">
        <f t="shared" ca="1" si="5"/>
        <v>5.3703703703703704E-4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input_369100!A$2</f>
        <v>369100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IFERROR(VLOOKUP(B120,input_369100!L:R,7,FALSE),VLOOKUP(tables_369100!C120,input_369100!A:H,8,FALSE))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input_369100!A$2</f>
        <v>369100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IFERROR(VLOOKUP(B121,input_369100!L:R,7,FALSE),VLOOKUP(tables_369100!C121,input_369100!A:H,8,FALSE))</f>
        <v>42978</v>
      </c>
      <c r="P121" s="46">
        <f t="shared" ca="1" si="5"/>
        <v>1.0203703703703704E-2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input_369100!A$2</f>
        <v>369100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IFERROR(VLOOKUP(B122,input_369100!L:R,7,FALSE),VLOOKUP(tables_369100!C122,input_369100!A:H,8,FALSE))</f>
        <v>2262</v>
      </c>
      <c r="P122" s="46">
        <f t="shared" ca="1" si="5"/>
        <v>5.3703703703703704E-4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input_369100!A$2</f>
        <v>369100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IFERROR(VLOOKUP(B123,input_369100!L:R,7,FALSE),VLOOKUP(tables_369100!C123,input_369100!A:H,8,FALSE))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input_369100!A$2</f>
        <v>369100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IFERROR(VLOOKUP(B124,input_369100!L:R,7,FALSE),VLOOKUP(tables_369100!C124,input_369100!A:H,8,FALSE))</f>
        <v>42978</v>
      </c>
      <c r="P124" s="46">
        <f t="shared" ca="1" si="5"/>
        <v>1.0203703703703704E-2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input_369100!A$2</f>
        <v>369100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IFERROR(VLOOKUP(B125,input_369100!L:R,7,FALSE),VLOOKUP(tables_369100!C125,input_369100!A:H,8,FALSE))</f>
        <v>2262</v>
      </c>
      <c r="P125" s="46">
        <f t="shared" ca="1" si="5"/>
        <v>5.3703703703703704E-4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input_369100!A$2</f>
        <v>369100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IFERROR(VLOOKUP(B126,input_369100!L:R,7,FALSE),VLOOKUP(tables_369100!C126,input_369100!A:H,8,FALSE))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input_369100!A$2</f>
        <v>369100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IFERROR(VLOOKUP(B127,input_369100!L:R,7,FALSE),VLOOKUP(tables_369100!C127,input_369100!A:H,8,FALSE))</f>
        <v>42978</v>
      </c>
      <c r="P127" s="46">
        <f t="shared" ca="1" si="5"/>
        <v>1.0203703703703704E-2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input_369100!A$2</f>
        <v>369100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IFERROR(VLOOKUP(B128,input_369100!L:R,7,FALSE),VLOOKUP(tables_369100!C128,input_369100!A:H,8,FALSE))</f>
        <v>2262</v>
      </c>
      <c r="P128" s="46">
        <f t="shared" ca="1" si="5"/>
        <v>5.3703703703703704E-4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input_369100!A$2</f>
        <v>369100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IFERROR(VLOOKUP(B129,input_369100!L:R,7,FALSE),VLOOKUP(tables_369100!C129,input_369100!A:H,8,FALSE))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input_369100!A$2</f>
        <v>369100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IFERROR(VLOOKUP(B130,input_369100!L:R,7,FALSE),VLOOKUP(tables_369100!C130,input_369100!A:H,8,FALSE))</f>
        <v>42978</v>
      </c>
      <c r="P130" s="46">
        <f t="shared" ca="1" si="5"/>
        <v>1.0203703703703704E-2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input_369100!A$2</f>
        <v>369100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IFERROR(VLOOKUP(B131,input_369100!L:R,7,FALSE),VLOOKUP(tables_369100!C131,input_369100!A:H,8,FALSE))</f>
        <v>2262</v>
      </c>
      <c r="P131" s="46">
        <f t="shared" ca="1" si="5"/>
        <v>5.3703703703703704E-4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input_369100!A$2</f>
        <v>369100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IFERROR(VLOOKUP(B132,input_369100!L:R,7,FALSE),VLOOKUP(tables_369100!C132,input_369100!A:H,8,FALSE))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input_369100!A$2</f>
        <v>369100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IFERROR(VLOOKUP(B133,input_369100!L:R,7,FALSE),VLOOKUP(tables_369100!C133,input_369100!A:H,8,FALSE))</f>
        <v>42978</v>
      </c>
      <c r="P133" s="46">
        <f t="shared" ca="1" si="5"/>
        <v>1.0203703703703704E-2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input_369100!A$2</f>
        <v>369100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IFERROR(VLOOKUP(B134,input_369100!L:R,7,FALSE),VLOOKUP(tables_369100!C134,input_369100!A:H,8,FALSE))</f>
        <v>2262</v>
      </c>
      <c r="P134" s="46">
        <f t="shared" ca="1" si="5"/>
        <v>5.3703703703703704E-4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input_369100!A$2</f>
        <v>369100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IFERROR(VLOOKUP(B135,input_369100!L:R,7,FALSE),VLOOKUP(tables_369100!C135,input_369100!A:H,8,FALSE))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input_369100!A$2</f>
        <v>369100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IFERROR(VLOOKUP(B136,input_369100!L:R,7,FALSE),VLOOKUP(tables_369100!C136,input_369100!A:H,8,FALSE))</f>
        <v>42978</v>
      </c>
      <c r="P136" s="46">
        <f t="shared" ca="1" si="5"/>
        <v>1.0203703703703704E-2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input_369100!A$2</f>
        <v>369100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IFERROR(VLOOKUP(B137,input_369100!L:R,7,FALSE),VLOOKUP(tables_369100!C137,input_369100!A:H,8,FALSE))</f>
        <v>2262</v>
      </c>
      <c r="P137" s="46">
        <f t="shared" ca="1" si="5"/>
        <v>5.3703703703703704E-4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input_369100!A$2</f>
        <v>369100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IFERROR(VLOOKUP(B138,input_369100!L:R,7,FALSE),VLOOKUP(tables_369100!C138,input_369100!A:H,8,FALSE))</f>
        <v>3078</v>
      </c>
      <c r="P138" s="46">
        <f t="shared" ca="1" si="5"/>
        <v>7.307692307692308E-4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input_369100!A$2</f>
        <v>369100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IFERROR(VLOOKUP(B139,input_369100!L:R,7,FALSE),VLOOKUP(tables_369100!C139,input_369100!A:H,8,FALSE))</f>
        <v>162</v>
      </c>
      <c r="P139" s="46">
        <f t="shared" ca="1" si="5"/>
        <v>3.8461538461538463E-5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input_369100!A$2</f>
        <v>369100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IFERROR(VLOOKUP(B140,input_369100!L:R,7,FALSE),VLOOKUP(tables_369100!C140,input_369100!A:H,8,FALSE))</f>
        <v>3078</v>
      </c>
      <c r="P140" s="46">
        <f t="shared" ca="1" si="5"/>
        <v>7.307692307692308E-4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input_369100!A$2</f>
        <v>369100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IFERROR(VLOOKUP(B141,input_369100!L:R,7,FALSE),VLOOKUP(tables_369100!C141,input_369100!A:H,8,FALSE))</f>
        <v>162</v>
      </c>
      <c r="P141" s="46">
        <f t="shared" ca="1" si="5"/>
        <v>3.8461538461538463E-5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input_369100!A$2</f>
        <v>369100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IFERROR(VLOOKUP(B142,input_369100!L:R,7,FALSE),VLOOKUP(tables_369100!C142,input_369100!A:H,8,FALSE))</f>
        <v>3078</v>
      </c>
      <c r="P142" s="46">
        <f t="shared" ca="1" si="5"/>
        <v>7.307692307692308E-4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input_369100!A$2</f>
        <v>369100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IFERROR(VLOOKUP(B143,input_369100!L:R,7,FALSE),VLOOKUP(tables_369100!C143,input_369100!A:H,8,FALSE))</f>
        <v>162</v>
      </c>
      <c r="P143" s="46">
        <f t="shared" ref="P143:P206" ca="1" si="8">O143/SUM(O:O)</f>
        <v>3.8461538461538463E-5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input_369100!A$2</f>
        <v>369100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IFERROR(VLOOKUP(B144,input_369100!L:R,7,FALSE),VLOOKUP(tables_369100!C144,input_369100!A:H,8,FALSE))</f>
        <v>3078</v>
      </c>
      <c r="P144" s="46">
        <f t="shared" ca="1" si="8"/>
        <v>7.307692307692308E-4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input_369100!A$2</f>
        <v>369100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IFERROR(VLOOKUP(B145,input_369100!L:R,7,FALSE),VLOOKUP(tables_369100!C145,input_369100!A:H,8,FALSE))</f>
        <v>162</v>
      </c>
      <c r="P145" s="46">
        <f t="shared" ca="1" si="8"/>
        <v>3.8461538461538463E-5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input_369100!A$2</f>
        <v>369100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IFERROR(VLOOKUP(B146,input_369100!L:R,7,FALSE),VLOOKUP(tables_369100!C146,input_369100!A:H,8,FALSE))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input_369100!A$2</f>
        <v>369100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IFERROR(VLOOKUP(B147,input_369100!L:R,7,FALSE),VLOOKUP(tables_369100!C147,input_369100!A:H,8,FALSE))</f>
        <v>42978</v>
      </c>
      <c r="P147" s="46">
        <f t="shared" ca="1" si="8"/>
        <v>1.0203703703703704E-2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input_369100!A$2</f>
        <v>369100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IFERROR(VLOOKUP(B148,input_369100!L:R,7,FALSE),VLOOKUP(tables_369100!C148,input_369100!A:H,8,FALSE))</f>
        <v>2262</v>
      </c>
      <c r="P148" s="46">
        <f t="shared" ca="1" si="8"/>
        <v>5.3703703703703704E-4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input_369100!A$2</f>
        <v>369100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IFERROR(VLOOKUP(B149,input_369100!L:R,7,FALSE),VLOOKUP(tables_369100!C149,input_369100!A:H,8,FALSE))</f>
        <v>3078</v>
      </c>
      <c r="P149" s="46">
        <f t="shared" ca="1" si="8"/>
        <v>7.307692307692308E-4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input_369100!A$2</f>
        <v>369100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IFERROR(VLOOKUP(B150,input_369100!L:R,7,FALSE),VLOOKUP(tables_369100!C150,input_369100!A:H,8,FALSE))</f>
        <v>162</v>
      </c>
      <c r="P150" s="46">
        <f t="shared" ca="1" si="8"/>
        <v>3.8461538461538463E-5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input_369100!A$2</f>
        <v>369100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IFERROR(VLOOKUP(B151,input_369100!L:R,7,FALSE),VLOOKUP(tables_369100!C151,input_369100!A:H,8,FALSE))</f>
        <v>3078</v>
      </c>
      <c r="P151" s="46">
        <f t="shared" ca="1" si="8"/>
        <v>7.307692307692308E-4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input_369100!A$2</f>
        <v>369100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IFERROR(VLOOKUP(B152,input_369100!L:R,7,FALSE),VLOOKUP(tables_369100!C152,input_369100!A:H,8,FALSE))</f>
        <v>162</v>
      </c>
      <c r="P152" s="46">
        <f t="shared" ca="1" si="8"/>
        <v>3.8461538461538463E-5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input_369100!A$2</f>
        <v>369100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IFERROR(VLOOKUP(B153,input_369100!L:R,7,FALSE),VLOOKUP(tables_369100!C153,input_369100!A:H,8,FALSE))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input_369100!A$2</f>
        <v>369100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IFERROR(VLOOKUP(B154,input_369100!L:R,7,FALSE),VLOOKUP(tables_369100!C154,input_369100!A:H,8,FALSE))</f>
        <v>42978</v>
      </c>
      <c r="P154" s="46">
        <f t="shared" ca="1" si="8"/>
        <v>1.0203703703703704E-2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input_369100!A$2</f>
        <v>369100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IFERROR(VLOOKUP(B155,input_369100!L:R,7,FALSE),VLOOKUP(tables_369100!C155,input_369100!A:H,8,FALSE))</f>
        <v>2262</v>
      </c>
      <c r="P155" s="46">
        <f t="shared" ca="1" si="8"/>
        <v>5.3703703703703704E-4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input_369100!A$2</f>
        <v>369100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IFERROR(VLOOKUP(B156,input_369100!L:R,7,FALSE),VLOOKUP(tables_369100!C156,input_369100!A:H,8,FALSE))</f>
        <v>3078</v>
      </c>
      <c r="P156" s="46">
        <f t="shared" ca="1" si="8"/>
        <v>7.307692307692308E-4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input_369100!A$2</f>
        <v>369100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IFERROR(VLOOKUP(B157,input_369100!L:R,7,FALSE),VLOOKUP(tables_369100!C157,input_369100!A:H,8,FALSE))</f>
        <v>162</v>
      </c>
      <c r="P157" s="46">
        <f t="shared" ca="1" si="8"/>
        <v>3.8461538461538463E-5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input_369100!A$2</f>
        <v>369100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IFERROR(VLOOKUP(B158,input_369100!L:R,7,FALSE),VLOOKUP(tables_369100!C158,input_369100!A:H,8,FALSE))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input_369100!A$2</f>
        <v>369100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IFERROR(VLOOKUP(B159,input_369100!L:R,7,FALSE),VLOOKUP(tables_369100!C159,input_369100!A:H,8,FALSE))</f>
        <v>42978</v>
      </c>
      <c r="P159" s="46">
        <f t="shared" ca="1" si="8"/>
        <v>1.0203703703703704E-2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input_369100!A$2</f>
        <v>369100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IFERROR(VLOOKUP(B160,input_369100!L:R,7,FALSE),VLOOKUP(tables_369100!C160,input_369100!A:H,8,FALSE))</f>
        <v>2262</v>
      </c>
      <c r="P160" s="46">
        <f t="shared" ca="1" si="8"/>
        <v>5.3703703703703704E-4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input_369100!A$2</f>
        <v>369100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IFERROR(VLOOKUP(B161,input_369100!L:R,7,FALSE),VLOOKUP(tables_369100!C161,input_369100!A:H,8,FALSE))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input_369100!A$2</f>
        <v>369100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IFERROR(VLOOKUP(B162,input_369100!L:R,7,FALSE),VLOOKUP(tables_369100!C162,input_369100!A:H,8,FALSE))</f>
        <v>42978</v>
      </c>
      <c r="P162" s="46">
        <f t="shared" ca="1" si="8"/>
        <v>1.0203703703703704E-2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input_369100!A$2</f>
        <v>369100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IFERROR(VLOOKUP(B163,input_369100!L:R,7,FALSE),VLOOKUP(tables_369100!C163,input_369100!A:H,8,FALSE))</f>
        <v>2262</v>
      </c>
      <c r="P163" s="46">
        <f t="shared" ca="1" si="8"/>
        <v>5.3703703703703704E-4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input_369100!A$2</f>
        <v>369100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IFERROR(VLOOKUP(B164,input_369100!L:R,7,FALSE),VLOOKUP(tables_369100!C164,input_369100!A:H,8,FALSE))</f>
        <v>3078</v>
      </c>
      <c r="P164" s="46">
        <f t="shared" ca="1" si="8"/>
        <v>7.307692307692308E-4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input_369100!A$2</f>
        <v>369100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IFERROR(VLOOKUP(B165,input_369100!L:R,7,FALSE),VLOOKUP(tables_369100!C165,input_369100!A:H,8,FALSE))</f>
        <v>162</v>
      </c>
      <c r="P165" s="46">
        <f t="shared" ca="1" si="8"/>
        <v>3.8461538461538463E-5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input_369100!A$2</f>
        <v>369100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IFERROR(VLOOKUP(B166,input_369100!L:R,7,FALSE),VLOOKUP(tables_369100!C166,input_369100!A:H,8,FALSE))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input_369100!A$2</f>
        <v>369100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IFERROR(VLOOKUP(B167,input_369100!L:R,7,FALSE),VLOOKUP(tables_369100!C167,input_369100!A:H,8,FALSE))</f>
        <v>42978</v>
      </c>
      <c r="P167" s="46">
        <f t="shared" ca="1" si="8"/>
        <v>1.0203703703703704E-2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input_369100!A$2</f>
        <v>369100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IFERROR(VLOOKUP(B168,input_369100!L:R,7,FALSE),VLOOKUP(tables_369100!C168,input_369100!A:H,8,FALSE))</f>
        <v>2262</v>
      </c>
      <c r="P168" s="46">
        <f t="shared" ca="1" si="8"/>
        <v>5.3703703703703704E-4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input_369100!A$2</f>
        <v>369100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IFERROR(VLOOKUP(B169,input_369100!L:R,7,FALSE),VLOOKUP(tables_369100!C169,input_369100!A:H,8,FALSE))</f>
        <v>3078</v>
      </c>
      <c r="P169" s="46">
        <f t="shared" ca="1" si="8"/>
        <v>7.307692307692308E-4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input_369100!A$2</f>
        <v>369100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IFERROR(VLOOKUP(B170,input_369100!L:R,7,FALSE),VLOOKUP(tables_369100!C170,input_369100!A:H,8,FALSE))</f>
        <v>162</v>
      </c>
      <c r="P170" s="46">
        <f t="shared" ca="1" si="8"/>
        <v>3.8461538461538463E-5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input_369100!A$2</f>
        <v>369100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IFERROR(VLOOKUP(B171,input_369100!L:R,7,FALSE),VLOOKUP(tables_369100!C171,input_369100!A:H,8,FALSE))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input_369100!A$2</f>
        <v>369100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IFERROR(VLOOKUP(B172,input_369100!L:R,7,FALSE),VLOOKUP(tables_369100!C172,input_369100!A:H,8,FALSE))</f>
        <v>42978</v>
      </c>
      <c r="P172" s="46">
        <f t="shared" ca="1" si="8"/>
        <v>1.0203703703703704E-2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input_369100!A$2</f>
        <v>369100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IFERROR(VLOOKUP(B173,input_369100!L:R,7,FALSE),VLOOKUP(tables_369100!C173,input_369100!A:H,8,FALSE))</f>
        <v>2262</v>
      </c>
      <c r="P173" s="46">
        <f t="shared" ca="1" si="8"/>
        <v>5.3703703703703704E-4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input_369100!A$2</f>
        <v>369100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IFERROR(VLOOKUP(B174,input_369100!L:R,7,FALSE),VLOOKUP(tables_369100!C174,input_369100!A:H,8,FALSE))</f>
        <v>3078</v>
      </c>
      <c r="P174" s="46">
        <f t="shared" ca="1" si="8"/>
        <v>7.307692307692308E-4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input_369100!A$2</f>
        <v>369100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IFERROR(VLOOKUP(B175,input_369100!L:R,7,FALSE),VLOOKUP(tables_369100!C175,input_369100!A:H,8,FALSE))</f>
        <v>162</v>
      </c>
      <c r="P175" s="46">
        <f t="shared" ca="1" si="8"/>
        <v>3.8461538461538463E-5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input_369100!A$2</f>
        <v>369100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IFERROR(VLOOKUP(B176,input_369100!L:R,7,FALSE),VLOOKUP(tables_369100!C176,input_369100!A:H,8,FALSE))</f>
        <v>3078</v>
      </c>
      <c r="P176" s="46">
        <f t="shared" ca="1" si="8"/>
        <v>7.307692307692308E-4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input_369100!A$2</f>
        <v>369100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IFERROR(VLOOKUP(B177,input_369100!L:R,7,FALSE),VLOOKUP(tables_369100!C177,input_369100!A:H,8,FALSE))</f>
        <v>162</v>
      </c>
      <c r="P177" s="46">
        <f t="shared" ca="1" si="8"/>
        <v>3.8461538461538463E-5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input_369100!A$2</f>
        <v>369100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IFERROR(VLOOKUP(B178,input_369100!L:R,7,FALSE),VLOOKUP(tables_369100!C178,input_369100!A:H,8,FALSE))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input_369100!A$2</f>
        <v>369100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IFERROR(VLOOKUP(B179,input_369100!L:R,7,FALSE),VLOOKUP(tables_369100!C179,input_369100!A:H,8,FALSE))</f>
        <v>42978</v>
      </c>
      <c r="P179" s="46">
        <f t="shared" ca="1" si="8"/>
        <v>1.0203703703703704E-2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input_369100!A$2</f>
        <v>369100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IFERROR(VLOOKUP(B180,input_369100!L:R,7,FALSE),VLOOKUP(tables_369100!C180,input_369100!A:H,8,FALSE))</f>
        <v>2262</v>
      </c>
      <c r="P180" s="46">
        <f t="shared" ca="1" si="8"/>
        <v>5.3703703703703704E-4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input_369100!A$2</f>
        <v>369100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IFERROR(VLOOKUP(B181,input_369100!L:R,7,FALSE),VLOOKUP(tables_369100!C181,input_369100!A:H,8,FALSE))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input_369100!A$2</f>
        <v>369100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IFERROR(VLOOKUP(B182,input_369100!L:R,7,FALSE),VLOOKUP(tables_369100!C182,input_369100!A:H,8,FALSE))</f>
        <v>42978</v>
      </c>
      <c r="P182" s="46">
        <f t="shared" ca="1" si="8"/>
        <v>1.0203703703703704E-2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input_369100!A$2</f>
        <v>369100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IFERROR(VLOOKUP(B183,input_369100!L:R,7,FALSE),VLOOKUP(tables_369100!C183,input_369100!A:H,8,FALSE))</f>
        <v>2262</v>
      </c>
      <c r="P183" s="46">
        <f t="shared" ca="1" si="8"/>
        <v>5.3703703703703704E-4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input_369100!A$2</f>
        <v>369100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IFERROR(VLOOKUP(B184,input_369100!L:R,7,FALSE),VLOOKUP(tables_369100!C184,input_369100!A:H,8,FALSE))</f>
        <v>3078</v>
      </c>
      <c r="P184" s="46">
        <f t="shared" ca="1" si="8"/>
        <v>7.307692307692308E-4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input_369100!A$2</f>
        <v>369100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IFERROR(VLOOKUP(B185,input_369100!L:R,7,FALSE),VLOOKUP(tables_369100!C185,input_369100!A:H,8,FALSE))</f>
        <v>162</v>
      </c>
      <c r="P185" s="46">
        <f t="shared" ca="1" si="8"/>
        <v>3.8461538461538463E-5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input_369100!A$2</f>
        <v>369100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IFERROR(VLOOKUP(B186,input_369100!L:R,7,FALSE),VLOOKUP(tables_369100!C186,input_369100!A:H,8,FALSE))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input_369100!A$2</f>
        <v>369100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IFERROR(VLOOKUP(B187,input_369100!L:R,7,FALSE),VLOOKUP(tables_369100!C187,input_369100!A:H,8,FALSE))</f>
        <v>42978</v>
      </c>
      <c r="P187" s="46">
        <f t="shared" ca="1" si="8"/>
        <v>1.0203703703703704E-2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input_369100!A$2</f>
        <v>369100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IFERROR(VLOOKUP(B188,input_369100!L:R,7,FALSE),VLOOKUP(tables_369100!C188,input_369100!A:H,8,FALSE))</f>
        <v>2262</v>
      </c>
      <c r="P188" s="46">
        <f t="shared" ca="1" si="8"/>
        <v>5.3703703703703704E-4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input_369100!A$2</f>
        <v>369100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IFERROR(VLOOKUP(B189,input_369100!L:R,7,FALSE),VLOOKUP(tables_369100!C189,input_369100!A:H,8,FALSE))</f>
        <v>3078</v>
      </c>
      <c r="P189" s="46">
        <f t="shared" ca="1" si="8"/>
        <v>7.307692307692308E-4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input_369100!A$2</f>
        <v>369100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IFERROR(VLOOKUP(B190,input_369100!L:R,7,FALSE),VLOOKUP(tables_369100!C190,input_369100!A:H,8,FALSE))</f>
        <v>162</v>
      </c>
      <c r="P190" s="46">
        <f t="shared" ca="1" si="8"/>
        <v>3.8461538461538463E-5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input_369100!A$2</f>
        <v>369100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IFERROR(VLOOKUP(B191,input_369100!L:R,7,FALSE),VLOOKUP(tables_369100!C191,input_369100!A:H,8,FALSE))</f>
        <v>3078</v>
      </c>
      <c r="P191" s="46">
        <f t="shared" ca="1" si="8"/>
        <v>7.307692307692308E-4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input_369100!A$2</f>
        <v>369100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IFERROR(VLOOKUP(B192,input_369100!L:R,7,FALSE),VLOOKUP(tables_369100!C192,input_369100!A:H,8,FALSE))</f>
        <v>162</v>
      </c>
      <c r="P192" s="46">
        <f t="shared" ca="1" si="8"/>
        <v>3.8461538461538463E-5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input_369100!A$2</f>
        <v>369100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IFERROR(VLOOKUP(B193,input_369100!L:R,7,FALSE),VLOOKUP(tables_369100!C193,input_369100!A:H,8,FALSE))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input_369100!A$2</f>
        <v>369100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IFERROR(VLOOKUP(B194,input_369100!L:R,7,FALSE),VLOOKUP(tables_369100!C194,input_369100!A:H,8,FALSE))</f>
        <v>42978</v>
      </c>
      <c r="P194" s="46">
        <f t="shared" ca="1" si="8"/>
        <v>1.0203703703703704E-2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input_369100!A$2</f>
        <v>369100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IFERROR(VLOOKUP(B195,input_369100!L:R,7,FALSE),VLOOKUP(tables_369100!C195,input_369100!A:H,8,FALSE))</f>
        <v>2262</v>
      </c>
      <c r="P195" s="46">
        <f t="shared" ca="1" si="8"/>
        <v>5.3703703703703704E-4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input_369100!A$2</f>
        <v>369100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IFERROR(VLOOKUP(B196,input_369100!L:R,7,FALSE),VLOOKUP(tables_369100!C196,input_369100!A:H,8,FALSE))</f>
        <v>3078</v>
      </c>
      <c r="P196" s="46">
        <f t="shared" ca="1" si="8"/>
        <v>7.307692307692308E-4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input_369100!A$2</f>
        <v>369100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IFERROR(VLOOKUP(B197,input_369100!L:R,7,FALSE),VLOOKUP(tables_369100!C197,input_369100!A:H,8,FALSE))</f>
        <v>162</v>
      </c>
      <c r="P197" s="46">
        <f t="shared" ca="1" si="8"/>
        <v>3.8461538461538463E-5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input_369100!A$2</f>
        <v>369100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IFERROR(VLOOKUP(B198,input_369100!L:R,7,FALSE),VLOOKUP(tables_369100!C198,input_369100!A:H,8,FALSE))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input_369100!A$2</f>
        <v>369100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IFERROR(VLOOKUP(B199,input_369100!L:R,7,FALSE),VLOOKUP(tables_369100!C199,input_369100!A:H,8,FALSE))</f>
        <v>42978</v>
      </c>
      <c r="P199" s="46">
        <f t="shared" ca="1" si="8"/>
        <v>1.0203703703703704E-2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input_369100!A$2</f>
        <v>369100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IFERROR(VLOOKUP(B200,input_369100!L:R,7,FALSE),VLOOKUP(tables_369100!C200,input_369100!A:H,8,FALSE))</f>
        <v>2262</v>
      </c>
      <c r="P200" s="46">
        <f t="shared" ca="1" si="8"/>
        <v>5.3703703703703704E-4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input_369100!A$2</f>
        <v>369100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IFERROR(VLOOKUP(B201,input_369100!L:R,7,FALSE),VLOOKUP(tables_369100!C201,input_369100!A:H,8,FALSE))</f>
        <v>3078</v>
      </c>
      <c r="P201" s="46">
        <f t="shared" ca="1" si="8"/>
        <v>7.307692307692308E-4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input_369100!A$2</f>
        <v>369100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IFERROR(VLOOKUP(B202,input_369100!L:R,7,FALSE),VLOOKUP(tables_369100!C202,input_369100!A:H,8,FALSE))</f>
        <v>162</v>
      </c>
      <c r="P202" s="46">
        <f t="shared" ca="1" si="8"/>
        <v>3.8461538461538463E-5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input_369100!A$2</f>
        <v>369100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IFERROR(VLOOKUP(B203,input_369100!L:R,7,FALSE),VLOOKUP(tables_369100!C203,input_369100!A:H,8,FALSE))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input_369100!A$2</f>
        <v>369100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IFERROR(VLOOKUP(B204,input_369100!L:R,7,FALSE),VLOOKUP(tables_369100!C204,input_369100!A:H,8,FALSE))</f>
        <v>42978</v>
      </c>
      <c r="P204" s="46">
        <f t="shared" ca="1" si="8"/>
        <v>1.0203703703703704E-2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input_369100!A$2</f>
        <v>369100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IFERROR(VLOOKUP(B205,input_369100!L:R,7,FALSE),VLOOKUP(tables_369100!C205,input_369100!A:H,8,FALSE))</f>
        <v>2262</v>
      </c>
      <c r="P205" s="46">
        <f t="shared" ca="1" si="8"/>
        <v>5.3703703703703704E-4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input_369100!A$2</f>
        <v>369100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IFERROR(VLOOKUP(B206,input_369100!L:R,7,FALSE),VLOOKUP(tables_369100!C206,input_369100!A:H,8,FALSE))</f>
        <v>3078</v>
      </c>
      <c r="P206" s="46">
        <f t="shared" ca="1" si="8"/>
        <v>7.307692307692308E-4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input_369100!A$2</f>
        <v>369100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IFERROR(VLOOKUP(B207,input_369100!L:R,7,FALSE),VLOOKUP(tables_369100!C207,input_369100!A:H,8,FALSE))</f>
        <v>162</v>
      </c>
      <c r="P207" s="46">
        <f t="shared" ref="P207:P270" ca="1" si="11">O207/SUM(O:O)</f>
        <v>3.8461538461538463E-5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input_369100!A$2</f>
        <v>369100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IFERROR(VLOOKUP(B208,input_369100!L:R,7,FALSE),VLOOKUP(tables_369100!C208,input_369100!A:H,8,FALSE))</f>
        <v>3078</v>
      </c>
      <c r="P208" s="46">
        <f t="shared" ca="1" si="11"/>
        <v>7.307692307692308E-4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input_369100!A$2</f>
        <v>369100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IFERROR(VLOOKUP(B209,input_369100!L:R,7,FALSE),VLOOKUP(tables_369100!C209,input_369100!A:H,8,FALSE))</f>
        <v>162</v>
      </c>
      <c r="P209" s="46">
        <f t="shared" ca="1" si="11"/>
        <v>3.8461538461538463E-5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input_369100!A$2</f>
        <v>369100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IFERROR(VLOOKUP(B210,input_369100!L:R,7,FALSE),VLOOKUP(tables_369100!C210,input_369100!A:H,8,FALSE))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input_369100!A$2</f>
        <v>369100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IFERROR(VLOOKUP(B211,input_369100!L:R,7,FALSE),VLOOKUP(tables_369100!C211,input_369100!A:H,8,FALSE))</f>
        <v>42978</v>
      </c>
      <c r="P211" s="46">
        <f t="shared" ca="1" si="11"/>
        <v>1.0203703703703704E-2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input_369100!A$2</f>
        <v>369100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IFERROR(VLOOKUP(B212,input_369100!L:R,7,FALSE),VLOOKUP(tables_369100!C212,input_369100!A:H,8,FALSE))</f>
        <v>2262</v>
      </c>
      <c r="P212" s="46">
        <f t="shared" ca="1" si="11"/>
        <v>5.3703703703703704E-4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input_369100!A$2</f>
        <v>369100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IFERROR(VLOOKUP(B213,input_369100!L:R,7,FALSE),VLOOKUP(tables_369100!C213,input_369100!A:H,8,FALSE))</f>
        <v>3078</v>
      </c>
      <c r="P213" s="46">
        <f t="shared" ca="1" si="11"/>
        <v>7.307692307692308E-4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input_369100!A$2</f>
        <v>369100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IFERROR(VLOOKUP(B214,input_369100!L:R,7,FALSE),VLOOKUP(tables_369100!C214,input_369100!A:H,8,FALSE))</f>
        <v>162</v>
      </c>
      <c r="P214" s="46">
        <f t="shared" ca="1" si="11"/>
        <v>3.8461538461538463E-5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input_369100!A$2</f>
        <v>369100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IFERROR(VLOOKUP(B215,input_369100!L:R,7,FALSE),VLOOKUP(tables_369100!C215,input_369100!A:H,8,FALSE))</f>
        <v>3078</v>
      </c>
      <c r="P215" s="46">
        <f t="shared" ca="1" si="11"/>
        <v>7.307692307692308E-4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input_369100!A$2</f>
        <v>369100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IFERROR(VLOOKUP(B216,input_369100!L:R,7,FALSE),VLOOKUP(tables_369100!C216,input_369100!A:H,8,FALSE))</f>
        <v>162</v>
      </c>
      <c r="P216" s="46">
        <f t="shared" ca="1" si="11"/>
        <v>3.8461538461538463E-5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input_369100!A$2</f>
        <v>369100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IFERROR(VLOOKUP(B217,input_369100!L:R,7,FALSE),VLOOKUP(tables_369100!C217,input_369100!A:H,8,FALSE))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input_369100!A$2</f>
        <v>369100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IFERROR(VLOOKUP(B218,input_369100!L:R,7,FALSE),VLOOKUP(tables_369100!C218,input_369100!A:H,8,FALSE))</f>
        <v>42978</v>
      </c>
      <c r="P218" s="46">
        <f t="shared" ca="1" si="11"/>
        <v>1.0203703703703704E-2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input_369100!A$2</f>
        <v>369100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IFERROR(VLOOKUP(B219,input_369100!L:R,7,FALSE),VLOOKUP(tables_369100!C219,input_369100!A:H,8,FALSE))</f>
        <v>2262</v>
      </c>
      <c r="P219" s="46">
        <f t="shared" ca="1" si="11"/>
        <v>5.3703703703703704E-4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input_369100!A$2</f>
        <v>369100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IFERROR(VLOOKUP(B220,input_369100!L:R,7,FALSE),VLOOKUP(tables_369100!C220,input_369100!A:H,8,FALSE))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input_369100!A$2</f>
        <v>369100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IFERROR(VLOOKUP(B221,input_369100!L:R,7,FALSE),VLOOKUP(tables_369100!C221,input_369100!A:H,8,FALSE))</f>
        <v>42978</v>
      </c>
      <c r="P221" s="46">
        <f t="shared" ca="1" si="11"/>
        <v>1.0203703703703704E-2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input_369100!A$2</f>
        <v>369100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IFERROR(VLOOKUP(B222,input_369100!L:R,7,FALSE),VLOOKUP(tables_369100!C222,input_369100!A:H,8,FALSE))</f>
        <v>2262</v>
      </c>
      <c r="P222" s="46">
        <f t="shared" ca="1" si="11"/>
        <v>5.3703703703703704E-4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input_369100!A$2</f>
        <v>369100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IFERROR(VLOOKUP(B223,input_369100!L:R,7,FALSE),VLOOKUP(tables_369100!C223,input_369100!A:H,8,FALSE))</f>
        <v>3078</v>
      </c>
      <c r="P223" s="46">
        <f t="shared" ca="1" si="11"/>
        <v>7.307692307692308E-4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input_369100!A$2</f>
        <v>369100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IFERROR(VLOOKUP(B224,input_369100!L:R,7,FALSE),VLOOKUP(tables_369100!C224,input_369100!A:H,8,FALSE))</f>
        <v>162</v>
      </c>
      <c r="P224" s="46">
        <f t="shared" ca="1" si="11"/>
        <v>3.8461538461538463E-5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input_369100!A$2</f>
        <v>369100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IFERROR(VLOOKUP(B225,input_369100!L:R,7,FALSE),VLOOKUP(tables_369100!C225,input_369100!A:H,8,FALSE))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input_369100!A$2</f>
        <v>369100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IFERROR(VLOOKUP(B226,input_369100!L:R,7,FALSE),VLOOKUP(tables_369100!C226,input_369100!A:H,8,FALSE))</f>
        <v>42978</v>
      </c>
      <c r="P226" s="46">
        <f t="shared" ca="1" si="11"/>
        <v>1.0203703703703704E-2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input_369100!A$2</f>
        <v>369100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IFERROR(VLOOKUP(B227,input_369100!L:R,7,FALSE),VLOOKUP(tables_369100!C227,input_369100!A:H,8,FALSE))</f>
        <v>2262</v>
      </c>
      <c r="P227" s="46">
        <f t="shared" ca="1" si="11"/>
        <v>5.3703703703703704E-4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input_369100!A$2</f>
        <v>369100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IFERROR(VLOOKUP(B228,input_369100!L:R,7,FALSE),VLOOKUP(tables_369100!C228,input_369100!A:H,8,FALSE))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input_369100!A$2</f>
        <v>369100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IFERROR(VLOOKUP(B229,input_369100!L:R,7,FALSE),VLOOKUP(tables_369100!C229,input_369100!A:H,8,FALSE))</f>
        <v>42978</v>
      </c>
      <c r="P229" s="46">
        <f t="shared" ca="1" si="11"/>
        <v>1.0203703703703704E-2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input_369100!A$2</f>
        <v>369100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IFERROR(VLOOKUP(B230,input_369100!L:R,7,FALSE),VLOOKUP(tables_369100!C230,input_369100!A:H,8,FALSE))</f>
        <v>2262</v>
      </c>
      <c r="P230" s="46">
        <f t="shared" ca="1" si="11"/>
        <v>5.3703703703703704E-4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input_369100!A$2</f>
        <v>369100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IFERROR(VLOOKUP(B231,input_369100!L:R,7,FALSE),VLOOKUP(tables_369100!C231,input_369100!A:H,8,FALSE))</f>
        <v>3078</v>
      </c>
      <c r="P231" s="46">
        <f t="shared" ca="1" si="11"/>
        <v>7.307692307692308E-4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input_369100!A$2</f>
        <v>369100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IFERROR(VLOOKUP(B232,input_369100!L:R,7,FALSE),VLOOKUP(tables_369100!C232,input_369100!A:H,8,FALSE))</f>
        <v>162</v>
      </c>
      <c r="P232" s="46">
        <f t="shared" ca="1" si="11"/>
        <v>3.8461538461538463E-5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input_369100!A$2</f>
        <v>369100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IFERROR(VLOOKUP(B233,input_369100!L:R,7,FALSE),VLOOKUP(tables_369100!C233,input_369100!A:H,8,FALSE))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input_369100!A$2</f>
        <v>369100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IFERROR(VLOOKUP(B234,input_369100!L:R,7,FALSE),VLOOKUP(tables_369100!C234,input_369100!A:H,8,FALSE))</f>
        <v>42978</v>
      </c>
      <c r="P234" s="46">
        <f t="shared" ca="1" si="11"/>
        <v>1.0203703703703704E-2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input_369100!A$2</f>
        <v>369100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IFERROR(VLOOKUP(B235,input_369100!L:R,7,FALSE),VLOOKUP(tables_369100!C235,input_369100!A:H,8,FALSE))</f>
        <v>2262</v>
      </c>
      <c r="P235" s="46">
        <f t="shared" ca="1" si="11"/>
        <v>5.3703703703703704E-4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input_369100!A$2</f>
        <v>369100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IFERROR(VLOOKUP(B236,input_369100!L:R,7,FALSE),VLOOKUP(tables_369100!C236,input_369100!A:H,8,FALSE))</f>
        <v>3078</v>
      </c>
      <c r="P236" s="46">
        <f t="shared" ca="1" si="11"/>
        <v>7.307692307692308E-4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input_369100!A$2</f>
        <v>369100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IFERROR(VLOOKUP(B237,input_369100!L:R,7,FALSE),VLOOKUP(tables_369100!C237,input_369100!A:H,8,FALSE))</f>
        <v>162</v>
      </c>
      <c r="P237" s="46">
        <f t="shared" ca="1" si="11"/>
        <v>3.8461538461538463E-5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input_369100!A$2</f>
        <v>369100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IFERROR(VLOOKUP(B238,input_369100!L:R,7,FALSE),VLOOKUP(tables_369100!C238,input_369100!A:H,8,FALSE))</f>
        <v>3078</v>
      </c>
      <c r="P238" s="46">
        <f t="shared" ca="1" si="11"/>
        <v>7.307692307692308E-4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input_369100!A$2</f>
        <v>369100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IFERROR(VLOOKUP(B239,input_369100!L:R,7,FALSE),VLOOKUP(tables_369100!C239,input_369100!A:H,8,FALSE))</f>
        <v>162</v>
      </c>
      <c r="P239" s="46">
        <f t="shared" ca="1" si="11"/>
        <v>3.8461538461538463E-5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input_369100!A$2</f>
        <v>369100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IFERROR(VLOOKUP(B240,input_369100!L:R,7,FALSE),VLOOKUP(tables_369100!C240,input_369100!A:H,8,FALSE))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input_369100!A$2</f>
        <v>369100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IFERROR(VLOOKUP(B241,input_369100!L:R,7,FALSE),VLOOKUP(tables_369100!C241,input_369100!A:H,8,FALSE))</f>
        <v>42978</v>
      </c>
      <c r="P241" s="46">
        <f t="shared" ca="1" si="11"/>
        <v>1.0203703703703704E-2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input_369100!A$2</f>
        <v>369100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IFERROR(VLOOKUP(B242,input_369100!L:R,7,FALSE),VLOOKUP(tables_369100!C242,input_369100!A:H,8,FALSE))</f>
        <v>2262</v>
      </c>
      <c r="P242" s="46">
        <f t="shared" ca="1" si="11"/>
        <v>5.3703703703703704E-4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input_369100!A$2</f>
        <v>369100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IFERROR(VLOOKUP(B243,input_369100!L:R,7,FALSE),VLOOKUP(tables_369100!C243,input_369100!A:H,8,FALSE))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input_369100!A$2</f>
        <v>369100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IFERROR(VLOOKUP(B244,input_369100!L:R,7,FALSE),VLOOKUP(tables_369100!C244,input_369100!A:H,8,FALSE))</f>
        <v>42978</v>
      </c>
      <c r="P244" s="46">
        <f t="shared" ca="1" si="11"/>
        <v>1.0203703703703704E-2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input_369100!A$2</f>
        <v>369100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IFERROR(VLOOKUP(B245,input_369100!L:R,7,FALSE),VLOOKUP(tables_369100!C245,input_369100!A:H,8,FALSE))</f>
        <v>2262</v>
      </c>
      <c r="P245" s="46">
        <f t="shared" ca="1" si="11"/>
        <v>5.3703703703703704E-4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input_369100!A$2</f>
        <v>369100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IFERROR(VLOOKUP(B246,input_369100!L:R,7,FALSE),VLOOKUP(tables_369100!C246,input_369100!A:H,8,FALSE))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input_369100!A$2</f>
        <v>369100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IFERROR(VLOOKUP(B247,input_369100!L:R,7,FALSE),VLOOKUP(tables_369100!C247,input_369100!A:H,8,FALSE))</f>
        <v>42978</v>
      </c>
      <c r="P247" s="46">
        <f t="shared" ca="1" si="11"/>
        <v>1.0203703703703704E-2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input_369100!A$2</f>
        <v>369100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IFERROR(VLOOKUP(B248,input_369100!L:R,7,FALSE),VLOOKUP(tables_369100!C248,input_369100!A:H,8,FALSE))</f>
        <v>2262</v>
      </c>
      <c r="P248" s="46">
        <f t="shared" ca="1" si="11"/>
        <v>5.3703703703703704E-4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input_369100!A$2</f>
        <v>369100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IFERROR(VLOOKUP(B249,input_369100!L:R,7,FALSE),VLOOKUP(tables_369100!C249,input_369100!A:H,8,FALSE))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input_369100!A$2</f>
        <v>369100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IFERROR(VLOOKUP(B250,input_369100!L:R,7,FALSE),VLOOKUP(tables_369100!C250,input_369100!A:H,8,FALSE))</f>
        <v>42978</v>
      </c>
      <c r="P250" s="46">
        <f t="shared" ca="1" si="11"/>
        <v>1.0203703703703704E-2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input_369100!A$2</f>
        <v>369100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IFERROR(VLOOKUP(B251,input_369100!L:R,7,FALSE),VLOOKUP(tables_369100!C251,input_369100!A:H,8,FALSE))</f>
        <v>2262</v>
      </c>
      <c r="P251" s="46">
        <f t="shared" ca="1" si="11"/>
        <v>5.3703703703703704E-4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input_369100!A$2</f>
        <v>369100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IFERROR(VLOOKUP(B252,input_369100!L:R,7,FALSE),VLOOKUP(tables_369100!C252,input_369100!A:H,8,FALSE))</f>
        <v>3078</v>
      </c>
      <c r="P252" s="46">
        <f t="shared" ca="1" si="11"/>
        <v>7.307692307692308E-4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input_369100!A$2</f>
        <v>369100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IFERROR(VLOOKUP(B253,input_369100!L:R,7,FALSE),VLOOKUP(tables_369100!C253,input_369100!A:H,8,FALSE))</f>
        <v>162</v>
      </c>
      <c r="P253" s="46">
        <f t="shared" ca="1" si="11"/>
        <v>3.8461538461538463E-5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input_369100!A$2</f>
        <v>369100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IFERROR(VLOOKUP(B254,input_369100!L:R,7,FALSE),VLOOKUP(tables_369100!C254,input_369100!A:H,8,FALSE))</f>
        <v>3078</v>
      </c>
      <c r="P254" s="46">
        <f t="shared" ca="1" si="11"/>
        <v>7.307692307692308E-4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input_369100!A$2</f>
        <v>369100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IFERROR(VLOOKUP(B255,input_369100!L:R,7,FALSE),VLOOKUP(tables_369100!C255,input_369100!A:H,8,FALSE))</f>
        <v>162</v>
      </c>
      <c r="P255" s="46">
        <f t="shared" ca="1" si="11"/>
        <v>3.8461538461538463E-5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input_369100!A$2</f>
        <v>369100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IFERROR(VLOOKUP(B256,input_369100!L:R,7,FALSE),VLOOKUP(tables_369100!C256,input_369100!A:H,8,FALSE))</f>
        <v>39373.333330000001</v>
      </c>
      <c r="P256" s="46">
        <f t="shared" ca="1" si="11"/>
        <v>9.3478949026590697E-3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input_369100!A$2</f>
        <v>369100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IFERROR(VLOOKUP(B257,input_369100!L:R,7,FALSE),VLOOKUP(tables_369100!C257,input_369100!A:H,8,FALSE))</f>
        <v>5866.6666699999996</v>
      </c>
      <c r="P257" s="46">
        <f t="shared" ca="1" si="11"/>
        <v>1.3928458380816713E-3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input_369100!A$2</f>
        <v>369100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IFERROR(VLOOKUP(B258,input_369100!L:R,7,FALSE),VLOOKUP(tables_369100!C258,input_369100!A:H,8,FALSE))</f>
        <v>39373.333330000001</v>
      </c>
      <c r="P258" s="46">
        <f t="shared" ca="1" si="11"/>
        <v>9.3478949026590697E-3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input_369100!A$2</f>
        <v>369100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IFERROR(VLOOKUP(B259,input_369100!L:R,7,FALSE),VLOOKUP(tables_369100!C259,input_369100!A:H,8,FALSE))</f>
        <v>5866.6666699999996</v>
      </c>
      <c r="P259" s="46">
        <f t="shared" ca="1" si="11"/>
        <v>1.3928458380816713E-3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input_369100!A$2</f>
        <v>369100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IFERROR(VLOOKUP(B260,input_369100!L:R,7,FALSE),VLOOKUP(tables_369100!C260,input_369100!A:H,8,FALSE))</f>
        <v>3240</v>
      </c>
      <c r="P260" s="46">
        <f t="shared" ca="1" si="11"/>
        <v>7.6923076923076923E-4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input_369100!A$2</f>
        <v>369100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IFERROR(VLOOKUP(B261,input_369100!L:R,7,FALSE),VLOOKUP(tables_369100!C261,input_369100!A:H,8,FALSE))</f>
        <v>3240</v>
      </c>
      <c r="P261" s="46">
        <f t="shared" ca="1" si="11"/>
        <v>7.6923076923076923E-4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input_369100!A$2</f>
        <v>369100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IFERROR(VLOOKUP(B262,input_369100!L:R,7,FALSE),VLOOKUP(tables_369100!C262,input_369100!A:H,8,FALSE))</f>
        <v>3078</v>
      </c>
      <c r="P262" s="46">
        <f t="shared" ca="1" si="11"/>
        <v>7.307692307692308E-4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input_369100!A$2</f>
        <v>369100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IFERROR(VLOOKUP(B263,input_369100!L:R,7,FALSE),VLOOKUP(tables_369100!C263,input_369100!A:H,8,FALSE))</f>
        <v>162</v>
      </c>
      <c r="P263" s="46">
        <f t="shared" ca="1" si="11"/>
        <v>3.8461538461538463E-5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input_369100!A$2</f>
        <v>369100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IFERROR(VLOOKUP(B264,input_369100!L:R,7,FALSE),VLOOKUP(tables_369100!C264,input_369100!A:H,8,FALSE))</f>
        <v>3078</v>
      </c>
      <c r="P264" s="46">
        <f t="shared" ca="1" si="11"/>
        <v>7.307692307692308E-4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input_369100!A$2</f>
        <v>369100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IFERROR(VLOOKUP(B265,input_369100!L:R,7,FALSE),VLOOKUP(tables_369100!C265,input_369100!A:H,8,FALSE))</f>
        <v>162</v>
      </c>
      <c r="P265" s="46">
        <f t="shared" ca="1" si="11"/>
        <v>3.8461538461538463E-5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input_369100!A$2</f>
        <v>369100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IFERROR(VLOOKUP(B266,input_369100!L:R,7,FALSE),VLOOKUP(tables_369100!C266,input_369100!A:H,8,FALSE))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input_369100!A$2</f>
        <v>369100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IFERROR(VLOOKUP(B267,input_369100!L:R,7,FALSE),VLOOKUP(tables_369100!C267,input_369100!A:H,8,FALSE))</f>
        <v>42978</v>
      </c>
      <c r="P267" s="46">
        <f t="shared" ca="1" si="11"/>
        <v>1.0203703703703704E-2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input_369100!A$2</f>
        <v>369100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IFERROR(VLOOKUP(B268,input_369100!L:R,7,FALSE),VLOOKUP(tables_369100!C268,input_369100!A:H,8,FALSE))</f>
        <v>2262</v>
      </c>
      <c r="P268" s="46">
        <f t="shared" ca="1" si="11"/>
        <v>5.3703703703703704E-4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input_369100!A$2</f>
        <v>369100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IFERROR(VLOOKUP(B269,input_369100!L:R,7,FALSE),VLOOKUP(tables_369100!C269,input_369100!A:H,8,FALSE))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input_369100!A$2</f>
        <v>369100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IFERROR(VLOOKUP(B270,input_369100!L:R,7,FALSE),VLOOKUP(tables_369100!C270,input_369100!A:H,8,FALSE))</f>
        <v>42978</v>
      </c>
      <c r="P270" s="46">
        <f t="shared" ca="1" si="11"/>
        <v>1.0203703703703704E-2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input_369100!A$2</f>
        <v>369100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IFERROR(VLOOKUP(B271,input_369100!L:R,7,FALSE),VLOOKUP(tables_369100!C271,input_369100!A:H,8,FALSE))</f>
        <v>2262</v>
      </c>
      <c r="P271" s="46">
        <f t="shared" ref="P271:P283" ca="1" si="14">O271/SUM(O:O)</f>
        <v>5.3703703703703704E-4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input_369100!A$2</f>
        <v>369100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IFERROR(VLOOKUP(B272,input_369100!L:R,7,FALSE),VLOOKUP(tables_369100!C272,input_369100!A:H,8,FALSE))</f>
        <v>3240</v>
      </c>
      <c r="P272" s="46">
        <f t="shared" ca="1" si="14"/>
        <v>7.6923076923076923E-4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input_369100!A$2</f>
        <v>369100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IFERROR(VLOOKUP(B273,input_369100!L:R,7,FALSE),VLOOKUP(tables_369100!C273,input_369100!A:H,8,FALSE))</f>
        <v>3240</v>
      </c>
      <c r="P273" s="46">
        <f t="shared" ca="1" si="14"/>
        <v>7.6923076923076923E-4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input_369100!A$2</f>
        <v>369100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IFERROR(VLOOKUP(B274,input_369100!L:R,7,FALSE),VLOOKUP(tables_369100!C274,input_369100!A:H,8,FALSE))</f>
        <v>39373.333330000001</v>
      </c>
      <c r="P274" s="46">
        <f t="shared" ca="1" si="14"/>
        <v>9.3478949026590697E-3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input_369100!A$2</f>
        <v>369100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IFERROR(VLOOKUP(B275,input_369100!L:R,7,FALSE),VLOOKUP(tables_369100!C275,input_369100!A:H,8,FALSE))</f>
        <v>5866.6666699999996</v>
      </c>
      <c r="P275" s="46">
        <f t="shared" ca="1" si="14"/>
        <v>1.3928458380816713E-3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input_369100!A$2</f>
        <v>369100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IFERROR(VLOOKUP(B276,input_369100!L:R,7,FALSE),VLOOKUP(tables_369100!C276,input_369100!A:H,8,FALSE))</f>
        <v>39373.333330000001</v>
      </c>
      <c r="P276" s="46">
        <f t="shared" ca="1" si="14"/>
        <v>9.3478949026590697E-3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input_369100!A$2</f>
        <v>369100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IFERROR(VLOOKUP(B277,input_369100!L:R,7,FALSE),VLOOKUP(tables_369100!C277,input_369100!A:H,8,FALSE))</f>
        <v>5866.6666699999996</v>
      </c>
      <c r="P277" s="46">
        <f t="shared" ca="1" si="14"/>
        <v>1.3928458380816713E-3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input_369100!A$2</f>
        <v>369100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IFERROR(VLOOKUP(B278,input_369100!L:R,7,FALSE),VLOOKUP(tables_369100!C278,input_369100!A:H,8,FALSE))</f>
        <v>39373.333330000001</v>
      </c>
      <c r="P278" s="46">
        <f t="shared" ca="1" si="14"/>
        <v>9.3478949026590697E-3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input_369100!A$2</f>
        <v>369100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IFERROR(VLOOKUP(B279,input_369100!L:R,7,FALSE),VLOOKUP(tables_369100!C279,input_369100!A:H,8,FALSE))</f>
        <v>5866.6666699999996</v>
      </c>
      <c r="P279" s="46">
        <f t="shared" ca="1" si="14"/>
        <v>1.3928458380816713E-3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input_369100!A$2</f>
        <v>369100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IFERROR(VLOOKUP(B280,input_369100!L:R,7,FALSE),VLOOKUP(tables_369100!C280,input_369100!A:H,8,FALSE))</f>
        <v>39373.333330000001</v>
      </c>
      <c r="P280" s="46">
        <f t="shared" ca="1" si="14"/>
        <v>9.3478949026590697E-3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input_369100!A$2</f>
        <v>369100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IFERROR(VLOOKUP(B281,input_369100!L:R,7,FALSE),VLOOKUP(tables_369100!C281,input_369100!A:H,8,FALSE))</f>
        <v>5866.6666699999996</v>
      </c>
      <c r="P281" s="46">
        <f t="shared" ca="1" si="14"/>
        <v>1.3928458380816713E-3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input_369100!A$2</f>
        <v>369100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IFERROR(VLOOKUP(B282,input_369100!L:R,7,FALSE),VLOOKUP(tables_369100!C282,input_369100!A:H,8,FALSE))</f>
        <v>3240</v>
      </c>
      <c r="P282" s="46">
        <f t="shared" ca="1" si="14"/>
        <v>7.6923076923076923E-4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input_369100!A$2</f>
        <v>369100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IFERROR(VLOOKUP(B283,input_369100!L:R,7,FALSE),VLOOKUP(tables_369100!C283,input_369100!A:H,8,FALSE))</f>
        <v>3240</v>
      </c>
      <c r="P283" s="46">
        <f t="shared" ca="1" si="14"/>
        <v>7.6923076923076923E-4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input_369100!A$2</f>
        <v>369100</v>
      </c>
      <c r="B284" s="83">
        <v>742</v>
      </c>
      <c r="C284" s="7" t="str">
        <f t="shared" ref="C284:C294" si="15">D284&amp;J284&amp;E284&amp;F284&amp;G284</f>
        <v>PremiumSS5R5only</v>
      </c>
      <c r="D284" s="7" t="str">
        <f t="shared" ref="D284:D29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IFERROR(VLOOKUP(B284,input_369100!L:R,7,FALSE),VLOOKUP(tables_369100!C284,input_369100!A:H,8,FALSE))</f>
        <v>3240</v>
      </c>
      <c r="P284" s="46">
        <f t="shared" ref="P284:P294" ca="1" si="17">O284/SUM(O:O)</f>
        <v>7.6923076923076923E-4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input_369100!A$2</f>
        <v>369100</v>
      </c>
      <c r="B285" s="83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IFERROR(VLOOKUP(B285,input_369100!L:R,7,FALSE),VLOOKUP(tables_369100!C285,input_369100!A:H,8,FALSE))</f>
        <v>3240</v>
      </c>
      <c r="P285" s="46">
        <f t="shared" ca="1" si="17"/>
        <v>7.6923076923076923E-4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input_369100!A$2</f>
        <v>369100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IFERROR(VLOOKUP(B286,input_369100!L:R,7,FALSE),VLOOKUP(tables_369100!C286,input_369100!A:H,8,FALSE))</f>
        <v>39373.333330000001</v>
      </c>
      <c r="P286" s="46">
        <f t="shared" ca="1" si="17"/>
        <v>9.3478949026590697E-3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input_369100!A$2</f>
        <v>369100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IFERROR(VLOOKUP(B287,input_369100!L:R,7,FALSE),VLOOKUP(tables_369100!C287,input_369100!A:H,8,FALSE))</f>
        <v>5866.6666699999996</v>
      </c>
      <c r="P287" s="46">
        <f t="shared" ca="1" si="17"/>
        <v>1.3928458380816713E-3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input_369100!A$2</f>
        <v>369100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IFERROR(VLOOKUP(B288,input_369100!L:R,7,FALSE),VLOOKUP(tables_369100!C288,input_369100!A:H,8,FALSE))</f>
        <v>39373.333330000001</v>
      </c>
      <c r="P288" s="46">
        <f t="shared" ca="1" si="17"/>
        <v>9.3478949026590697E-3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input_369100!A$2</f>
        <v>369100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IFERROR(VLOOKUP(B289,input_369100!L:R,7,FALSE),VLOOKUP(tables_369100!C289,input_369100!A:H,8,FALSE))</f>
        <v>5866.6666699999996</v>
      </c>
      <c r="P289" s="46">
        <f t="shared" ca="1" si="17"/>
        <v>1.3928458380816713E-3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input_369100!A$2</f>
        <v>369100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IFERROR(VLOOKUP(B290,input_369100!L:R,7,FALSE),VLOOKUP(tables_369100!C290,input_369100!A:H,8,FALSE))</f>
        <v>3240</v>
      </c>
      <c r="P290" s="46">
        <f t="shared" ca="1" si="17"/>
        <v>7.6923076923076923E-4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input_369100!A$2</f>
        <v>369100</v>
      </c>
      <c r="B291" s="83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IFERROR(VLOOKUP(B291,input_369100!L:R,7,FALSE),VLOOKUP(tables_369100!C291,input_369100!A:H,8,FALSE))</f>
        <v>39373.333330000001</v>
      </c>
      <c r="P291" s="46">
        <f t="shared" ca="1" si="17"/>
        <v>9.3478949026590697E-3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input_369100!A$2</f>
        <v>369100</v>
      </c>
      <c r="B292" s="83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IFERROR(VLOOKUP(B292,input_369100!L:R,7,FALSE),VLOOKUP(tables_369100!C292,input_369100!A:H,8,FALSE))</f>
        <v>5866.6666699999996</v>
      </c>
      <c r="P292" s="46">
        <f t="shared" ca="1" si="17"/>
        <v>1.3928458380816713E-3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input_369100!A$2</f>
        <v>369100</v>
      </c>
      <c r="B293" s="83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IFERROR(VLOOKUP(B293,input_369100!L:R,7,FALSE),VLOOKUP(tables_369100!C293,input_369100!A:H,8,FALSE))</f>
        <v>3240</v>
      </c>
      <c r="P293" s="46">
        <f t="shared" ca="1" si="17"/>
        <v>7.6923076923076923E-4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input_369100!A$2</f>
        <v>369100</v>
      </c>
      <c r="B294" s="83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IFERROR(VLOOKUP(B294,input_369100!L:R,7,FALSE),VLOOKUP(tables_369100!C294,input_369100!A:H,8,FALSE))</f>
        <v>3240</v>
      </c>
      <c r="P294" s="46">
        <f t="shared" ca="1" si="17"/>
        <v>7.6923076923076923E-4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4"/>
  <sheetViews>
    <sheetView showGridLines="0" zoomScale="75" zoomScaleNormal="75" zoomScalePageLayoutView="75" workbookViewId="0">
      <pane ySplit="1" topLeftCell="A2" activePane="bottomLeft" state="frozen"/>
      <selection activeCell="E10" sqref="E10"/>
      <selection pane="bottomLeft" activeCell="Q28" sqref="Q2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369100</f>
        <v>369100</v>
      </c>
      <c r="B2" s="6">
        <v>168</v>
      </c>
      <c r="C2" s="7" t="str">
        <f t="shared" ref="C2" si="0">D2&amp;J2&amp;E2&amp;F2&amp;G2</f>
        <v>Premium5R6release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0.25</v>
      </c>
      <c r="Q2" s="89">
        <v>80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 t="shared" ref="A3:A5" si="2">369100</f>
        <v>369100</v>
      </c>
      <c r="B3" s="6">
        <v>171</v>
      </c>
      <c r="C3" s="7" t="str">
        <f t="shared" ref="C3:C5" si="3">D3&amp;J3&amp;E3&amp;F3&amp;G3</f>
        <v>Premium5R6release</v>
      </c>
      <c r="D3" s="7" t="str">
        <f t="shared" ref="D3:D5" si="4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ref="P3:P5" si="5">O3/SUM(O:O)</f>
        <v>0.25</v>
      </c>
      <c r="Q3" s="89">
        <v>80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 t="shared" si="2"/>
        <v>369100</v>
      </c>
      <c r="B4" s="6">
        <v>174</v>
      </c>
      <c r="C4" s="7" t="str">
        <f t="shared" si="3"/>
        <v>Premium5R6release</v>
      </c>
      <c r="D4" s="7" t="str">
        <f t="shared" si="4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5"/>
        <v>0.25</v>
      </c>
      <c r="Q4" s="89">
        <v>80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 t="shared" si="2"/>
        <v>369100</v>
      </c>
      <c r="B5" s="5">
        <v>237</v>
      </c>
      <c r="C5" s="7" t="str">
        <f t="shared" si="3"/>
        <v>Premium5R6release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5"/>
        <v>0.25</v>
      </c>
      <c r="Q5" s="89">
        <v>80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/>
      <c r="B6" s="60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2"/>
      <c r="B7" s="60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45"/>
      <c r="P7" s="46"/>
      <c r="Q7" s="30"/>
      <c r="R7" s="30"/>
      <c r="S7" s="30"/>
      <c r="T7" s="30"/>
      <c r="U7" s="30"/>
      <c r="V7" s="30"/>
    </row>
    <row r="8" spans="1:22" ht="21" customHeight="1" x14ac:dyDescent="0.15">
      <c r="A8" s="2"/>
      <c r="B8" s="60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45"/>
      <c r="P8" s="46"/>
      <c r="Q8" s="30"/>
      <c r="R8" s="30"/>
      <c r="S8" s="30"/>
      <c r="T8" s="30"/>
      <c r="U8" s="30"/>
      <c r="V8" s="30"/>
    </row>
    <row r="9" spans="1:22" ht="21" customHeight="1" x14ac:dyDescent="0.15">
      <c r="A9" s="2"/>
      <c r="B9" s="60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45"/>
      <c r="P9" s="46"/>
      <c r="Q9" s="30"/>
      <c r="R9" s="30"/>
      <c r="S9" s="30"/>
      <c r="T9" s="30"/>
      <c r="U9" s="30"/>
      <c r="V9" s="30"/>
    </row>
    <row r="10" spans="1:22" ht="21" customHeight="1" x14ac:dyDescent="0.15">
      <c r="A10" s="2"/>
      <c r="B10" s="60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45"/>
      <c r="P10" s="46"/>
      <c r="Q10" s="30"/>
      <c r="R10" s="30"/>
      <c r="S10" s="30"/>
      <c r="T10" s="30"/>
      <c r="U10" s="30"/>
      <c r="V10" s="30"/>
    </row>
    <row r="11" spans="1:22" ht="21" customHeight="1" x14ac:dyDescent="0.15">
      <c r="A11" s="2"/>
      <c r="B11" s="60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45"/>
      <c r="P11" s="46"/>
      <c r="Q11" s="30"/>
      <c r="R11" s="30"/>
      <c r="S11" s="30"/>
      <c r="T11" s="30"/>
      <c r="U11" s="30"/>
      <c r="V11" s="30"/>
    </row>
    <row r="12" spans="1:22" ht="21" customHeight="1" x14ac:dyDescent="0.15">
      <c r="A12" s="2"/>
      <c r="B12" s="60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45"/>
      <c r="P12" s="46"/>
      <c r="Q12" s="30"/>
      <c r="R12" s="30"/>
      <c r="S12" s="30"/>
      <c r="T12" s="30"/>
      <c r="U12" s="30"/>
      <c r="V12" s="30"/>
    </row>
    <row r="13" spans="1:22" ht="21" customHeight="1" x14ac:dyDescent="0.15">
      <c r="A13" s="2"/>
      <c r="B13" s="60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45"/>
      <c r="P13" s="46"/>
      <c r="Q13" s="30"/>
      <c r="R13" s="30"/>
      <c r="S13" s="30"/>
      <c r="T13" s="30"/>
      <c r="U13" s="30"/>
      <c r="V13" s="30"/>
    </row>
    <row r="14" spans="1:22" ht="21" customHeight="1" x14ac:dyDescent="0.15">
      <c r="A14" s="2"/>
      <c r="B14" s="60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45"/>
      <c r="P14" s="46"/>
      <c r="Q14" s="30"/>
      <c r="R14" s="30"/>
      <c r="S14" s="30"/>
      <c r="T14" s="30"/>
      <c r="U14" s="30"/>
      <c r="V14" s="30"/>
    </row>
    <row r="15" spans="1:22" ht="21" customHeight="1" x14ac:dyDescent="0.15">
      <c r="A15" s="2"/>
      <c r="B15" s="60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45"/>
      <c r="P15" s="46"/>
      <c r="Q15" s="30"/>
      <c r="R15" s="30"/>
      <c r="S15" s="30"/>
      <c r="T15" s="30"/>
      <c r="U15" s="30"/>
      <c r="V15" s="30"/>
    </row>
    <row r="16" spans="1:22" ht="21" customHeight="1" x14ac:dyDescent="0.15">
      <c r="A16" s="2"/>
      <c r="B16" s="8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45"/>
      <c r="P16" s="46"/>
      <c r="Q16" s="30"/>
      <c r="R16" s="30"/>
      <c r="S16" s="30"/>
      <c r="T16" s="30"/>
      <c r="U16" s="30"/>
      <c r="V16" s="30"/>
    </row>
    <row r="17" spans="1:22" ht="21" customHeight="1" x14ac:dyDescent="0.15">
      <c r="A17" s="2"/>
      <c r="B17" s="8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45"/>
      <c r="P17" s="46"/>
      <c r="Q17" s="30"/>
      <c r="R17" s="30"/>
      <c r="S17" s="30"/>
      <c r="T17" s="30"/>
      <c r="U17" s="30"/>
      <c r="V17" s="30"/>
    </row>
    <row r="18" spans="1:22" ht="21" customHeight="1" x14ac:dyDescent="0.15">
      <c r="A18" s="2"/>
      <c r="B18" s="8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45"/>
      <c r="P18" s="46"/>
      <c r="Q18" s="30"/>
      <c r="R18" s="30"/>
      <c r="S18" s="30"/>
      <c r="T18" s="30"/>
      <c r="U18" s="30"/>
      <c r="V18" s="30"/>
    </row>
    <row r="19" spans="1:22" ht="21" customHeight="1" x14ac:dyDescent="0.15">
      <c r="A19" s="2"/>
      <c r="B19" s="8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45"/>
      <c r="P19" s="46"/>
      <c r="Q19" s="30"/>
      <c r="R19" s="30"/>
      <c r="S19" s="30"/>
      <c r="T19" s="30"/>
      <c r="U19" s="30"/>
      <c r="V19" s="30"/>
    </row>
    <row r="20" spans="1:22" ht="21" customHeight="1" x14ac:dyDescent="0.15">
      <c r="A20" s="2"/>
      <c r="B20" s="8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45"/>
      <c r="P20" s="46"/>
      <c r="Q20" s="30"/>
      <c r="R20" s="30"/>
      <c r="S20" s="30"/>
      <c r="T20" s="30"/>
      <c r="U20" s="30"/>
      <c r="V20" s="30"/>
    </row>
    <row r="21" spans="1:22" ht="21" customHeight="1" x14ac:dyDescent="0.15">
      <c r="A21" s="2"/>
      <c r="B21" s="8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45"/>
      <c r="P21" s="46"/>
      <c r="Q21" s="30"/>
      <c r="R21" s="30"/>
      <c r="S21" s="30"/>
      <c r="T21" s="30"/>
      <c r="U21" s="30"/>
      <c r="V21" s="30"/>
    </row>
    <row r="22" spans="1:22" ht="21" customHeight="1" x14ac:dyDescent="0.15">
      <c r="A22" s="2"/>
      <c r="B22" s="8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45"/>
      <c r="P22" s="46"/>
      <c r="Q22" s="30"/>
      <c r="R22" s="30"/>
      <c r="S22" s="30"/>
      <c r="T22" s="30"/>
      <c r="U22" s="30"/>
      <c r="V22" s="30"/>
    </row>
    <row r="23" spans="1:22" ht="21" customHeight="1" x14ac:dyDescent="0.15">
      <c r="A23" s="2"/>
      <c r="B23" s="8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45"/>
      <c r="P23" s="46"/>
      <c r="Q23" s="30"/>
      <c r="R23" s="30"/>
      <c r="S23" s="30"/>
      <c r="T23" s="30"/>
      <c r="U23" s="30"/>
      <c r="V23" s="30"/>
    </row>
    <row r="24" spans="1:22" ht="21" customHeight="1" x14ac:dyDescent="0.15">
      <c r="A24" s="2"/>
      <c r="B24" s="8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45"/>
      <c r="P24" s="46"/>
      <c r="Q24" s="30"/>
      <c r="R24" s="30"/>
      <c r="S24" s="30"/>
      <c r="T24" s="30"/>
      <c r="U24" s="30"/>
      <c r="V24" s="30"/>
    </row>
  </sheetData>
  <autoFilter ref="A1:V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10" sqref="B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255</v>
      </c>
      <c r="B2" s="80" t="s">
        <v>256</v>
      </c>
      <c r="C2" s="81" t="s">
        <v>249</v>
      </c>
      <c r="D2" s="81">
        <v>1000000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221</v>
      </c>
      <c r="O2" s="81" t="s">
        <v>252</v>
      </c>
      <c r="P2" s="81" t="s">
        <v>262</v>
      </c>
      <c r="Q2" s="82" t="s">
        <v>254</v>
      </c>
    </row>
    <row r="3" spans="1:17" ht="21" customHeight="1" x14ac:dyDescent="0.15">
      <c r="A3" s="80" t="s">
        <v>263</v>
      </c>
      <c r="B3" s="80" t="s">
        <v>257</v>
      </c>
      <c r="C3" s="1" t="s">
        <v>253</v>
      </c>
      <c r="D3" s="1">
        <v>1</v>
      </c>
      <c r="E3" s="1">
        <v>5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221</v>
      </c>
      <c r="O3" s="81" t="s">
        <v>260</v>
      </c>
      <c r="P3" s="81" t="s">
        <v>262</v>
      </c>
      <c r="Q3" s="82" t="s">
        <v>266</v>
      </c>
    </row>
    <row r="4" spans="1:17" ht="21" customHeight="1" x14ac:dyDescent="0.15">
      <c r="A4" s="80" t="s">
        <v>264</v>
      </c>
      <c r="B4" s="80" t="s">
        <v>258</v>
      </c>
      <c r="C4" s="1" t="s">
        <v>250</v>
      </c>
      <c r="D4" s="1">
        <v>614</v>
      </c>
      <c r="E4" s="1">
        <v>1</v>
      </c>
      <c r="F4" s="1">
        <v>1</v>
      </c>
      <c r="G4" s="88">
        <v>0</v>
      </c>
      <c r="H4" s="88">
        <v>0</v>
      </c>
      <c r="I4" s="88">
        <v>0</v>
      </c>
      <c r="J4" s="88">
        <v>0</v>
      </c>
      <c r="K4" s="88">
        <v>1</v>
      </c>
      <c r="L4" s="88">
        <v>1</v>
      </c>
      <c r="M4" s="88">
        <v>1</v>
      </c>
      <c r="N4" s="81" t="s">
        <v>221</v>
      </c>
      <c r="O4" s="81" t="s">
        <v>261</v>
      </c>
      <c r="P4" s="81" t="s">
        <v>262</v>
      </c>
      <c r="Q4" s="82" t="s">
        <v>267</v>
      </c>
    </row>
    <row r="5" spans="1:17" ht="21" customHeight="1" x14ac:dyDescent="0.15">
      <c r="A5" s="80" t="s">
        <v>265</v>
      </c>
      <c r="B5" s="80" t="s">
        <v>259</v>
      </c>
      <c r="C5" s="1" t="s">
        <v>251</v>
      </c>
      <c r="D5" s="1">
        <v>837</v>
      </c>
      <c r="E5" s="1">
        <v>1</v>
      </c>
      <c r="F5" s="1">
        <v>1</v>
      </c>
      <c r="G5" s="88">
        <v>0</v>
      </c>
      <c r="H5" s="88">
        <v>0</v>
      </c>
      <c r="I5" s="88">
        <v>0</v>
      </c>
      <c r="J5" s="88">
        <v>0</v>
      </c>
      <c r="K5" s="88">
        <v>1</v>
      </c>
      <c r="L5" s="88">
        <v>1</v>
      </c>
      <c r="M5" s="88">
        <v>1</v>
      </c>
      <c r="N5" s="81" t="s">
        <v>221</v>
      </c>
      <c r="O5" s="81" t="s">
        <v>248</v>
      </c>
      <c r="P5" s="81" t="s">
        <v>262</v>
      </c>
      <c r="Q5" s="82" t="s">
        <v>268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F269" sqref="F26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input_369010</vt:lpstr>
      <vt:lpstr>tables_369010</vt:lpstr>
      <vt:lpstr>input_369100</vt:lpstr>
      <vt:lpstr>tables_369100</vt:lpstr>
      <vt:lpstr>tables_settle_369100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2016-07-13T09:25:50Z</dcterms:modified>
</cp:coreProperties>
</file>